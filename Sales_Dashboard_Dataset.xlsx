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KAVYA\EXCEL DATA\"/>
    </mc:Choice>
  </mc:AlternateContent>
  <xr:revisionPtr revIDLastSave="0" documentId="13_ncr:1_{2E933C92-D247-4C89-B7FF-DD5585A6012F}" xr6:coauthVersionLast="47" xr6:coauthVersionMax="47" xr10:uidLastSave="{00000000-0000-0000-0000-000000000000}"/>
  <bookViews>
    <workbookView xWindow="-108" yWindow="-108" windowWidth="23256" windowHeight="12456" activeTab="1" xr2:uid="{00000000-000D-0000-FFFF-FFFF00000000}"/>
  </bookViews>
  <sheets>
    <sheet name="Sales_Data" sheetId="1" r:id="rId1"/>
    <sheet name="Dashboard" sheetId="7" r:id="rId2"/>
    <sheet name="sheet1" sheetId="6" r:id="rId3"/>
  </sheets>
  <definedNames>
    <definedName name="_xlnm._FilterDatabase" localSheetId="0" hidden="1">Sales_Data!$A$1:$A$601</definedName>
    <definedName name="_xlcn.WorksheetConnection_Sales_DataA1J601" hidden="1">Sales_Data!$A$1:$J$601</definedName>
    <definedName name="Slicer_City">#N/A</definedName>
    <definedName name="Slicer_Product_Category">#N/A</definedName>
    <definedName name="Slicer_Region">#N/A</definedName>
    <definedName name="Timeline_Sale_Date">#N/A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Range" name="Range" connection="WorksheetConnection_Sales_Data!$A$1:$J$601"/>
        </x15:modelTables>
        <x15:extLst>
          <ext xmlns:x16="http://schemas.microsoft.com/office/spreadsheetml/2014/11/main" uri="{9835A34E-60A6-4A7C-AAB8-D5F71C897F49}">
            <x16:modelTimeGroupings>
              <x16:modelTimeGrouping tableName="Range" columnName="Sale Date" columnId="Sale Date">
                <x16:calculatedTimeColumn columnName="Sale Date (Year)" columnId="Sale Date (Year)" contentType="years" isSelected="1"/>
                <x16:calculatedTimeColumn columnName="Sale Date (Quarter)" columnId="Sale Date (Quarter)" contentType="quarters" isSelected="1"/>
                <x16:calculatedTimeColumn columnName="Sale Date (Month Index)" columnId="Sale Date (Month Index)" contentType="monthsindex" isSelected="1"/>
                <x16:calculatedTimeColumn columnName="Sale Date (Month)" columnId="Sal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 l="1"/>
  <c r="N7" i="1"/>
  <c r="N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N5" i="1"/>
  <c r="N4" i="1"/>
  <c r="N3" i="1"/>
  <c r="N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BF3558-79E6-4128-9850-DA71ADA91A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5349ED-FC05-44D3-AE64-9B0829515C9F}" name="WorksheetConnection_Sales_Data!$A$1:$J$601" type="102" refreshedVersion="8" minRefreshableVersion="5">
    <extLst>
      <ext xmlns:x15="http://schemas.microsoft.com/office/spreadsheetml/2010/11/main" uri="{DE250136-89BD-433C-8126-D09CA5730AF9}">
        <x15:connection id="Range" autoDelete="1">
          <x15:rangePr sourceName="_xlcn.WorksheetConnection_Sales_DataA1J601"/>
        </x15:connection>
      </ext>
    </extLst>
  </connection>
</connections>
</file>

<file path=xl/sharedStrings.xml><?xml version="1.0" encoding="utf-8"?>
<sst xmlns="http://schemas.openxmlformats.org/spreadsheetml/2006/main" count="3746" uniqueCount="114">
  <si>
    <t>Sale Date</t>
  </si>
  <si>
    <t>Customer Name</t>
  </si>
  <si>
    <t>City</t>
  </si>
  <si>
    <t>State</t>
  </si>
  <si>
    <t>Region</t>
  </si>
  <si>
    <t>Product Category</t>
  </si>
  <si>
    <t>Product Name</t>
  </si>
  <si>
    <t>Quantity</t>
  </si>
  <si>
    <t>Price per Unit</t>
  </si>
  <si>
    <t>Sales Amount</t>
  </si>
  <si>
    <t>Nishant</t>
  </si>
  <si>
    <t>Dwarka</t>
  </si>
  <si>
    <t>Delhi</t>
  </si>
  <si>
    <t>North</t>
  </si>
  <si>
    <t>Home &amp; Kitchen</t>
  </si>
  <si>
    <t>Lunch Box</t>
  </si>
  <si>
    <t>Rahul</t>
  </si>
  <si>
    <t>New Delhi</t>
  </si>
  <si>
    <t>Apparel</t>
  </si>
  <si>
    <t>Jacket</t>
  </si>
  <si>
    <t>Riya</t>
  </si>
  <si>
    <t>Cap</t>
  </si>
  <si>
    <t>Arjun</t>
  </si>
  <si>
    <t>Mysuru</t>
  </si>
  <si>
    <t>Karnataka</t>
  </si>
  <si>
    <t>South</t>
  </si>
  <si>
    <t>Furniture</t>
  </si>
  <si>
    <t>Bookshelf</t>
  </si>
  <si>
    <t>Ananya</t>
  </si>
  <si>
    <t>Jaipur</t>
  </si>
  <si>
    <t>Rajasthan</t>
  </si>
  <si>
    <t>Storage Jar</t>
  </si>
  <si>
    <t>Study Table</t>
  </si>
  <si>
    <t>Aditi</t>
  </si>
  <si>
    <t>Karol Bagh</t>
  </si>
  <si>
    <t>Meera</t>
  </si>
  <si>
    <t>Coimbatore</t>
  </si>
  <si>
    <t>Tamil Nadu</t>
  </si>
  <si>
    <t>Socks</t>
  </si>
  <si>
    <t>Vihaan</t>
  </si>
  <si>
    <t>Water Bottle</t>
  </si>
  <si>
    <t>Hyderabad</t>
  </si>
  <si>
    <t>Telangana</t>
  </si>
  <si>
    <t>Priya</t>
  </si>
  <si>
    <t>Ahmedabad</t>
  </si>
  <si>
    <t>Gujarat</t>
  </si>
  <si>
    <t>West</t>
  </si>
  <si>
    <t>Steel Plate</t>
  </si>
  <si>
    <t>Rohan</t>
  </si>
  <si>
    <t>Bengaluru</t>
  </si>
  <si>
    <t>Office Chair</t>
  </si>
  <si>
    <t>Kabir</t>
  </si>
  <si>
    <t>Patna</t>
  </si>
  <si>
    <t>Bihar</t>
  </si>
  <si>
    <t>East</t>
  </si>
  <si>
    <t>Electronics</t>
  </si>
  <si>
    <t>Earphones</t>
  </si>
  <si>
    <t>Pune</t>
  </si>
  <si>
    <t>Maharashtra</t>
  </si>
  <si>
    <t>Mouse</t>
  </si>
  <si>
    <t>Yash</t>
  </si>
  <si>
    <t>Chennai</t>
  </si>
  <si>
    <t>Ishita</t>
  </si>
  <si>
    <t>Aarohi</t>
  </si>
  <si>
    <t>Power Bank</t>
  </si>
  <si>
    <t>Kolkata</t>
  </si>
  <si>
    <t>West Bengal</t>
  </si>
  <si>
    <t>Keyboard</t>
  </si>
  <si>
    <t>Stationery</t>
  </si>
  <si>
    <t>Sketch Pens</t>
  </si>
  <si>
    <t>Pencil Box</t>
  </si>
  <si>
    <t>Aarav</t>
  </si>
  <si>
    <t>Mumbai</t>
  </si>
  <si>
    <t>Pen</t>
  </si>
  <si>
    <t>USB Cable</t>
  </si>
  <si>
    <t>T-Shirt</t>
  </si>
  <si>
    <t>Ruler</t>
  </si>
  <si>
    <t>Neha</t>
  </si>
  <si>
    <t>Nagpur</t>
  </si>
  <si>
    <t>Lucknow</t>
  </si>
  <si>
    <t>Uttar Pradesh</t>
  </si>
  <si>
    <t>Sanya</t>
  </si>
  <si>
    <t>Simran</t>
  </si>
  <si>
    <t>Eraser</t>
  </si>
  <si>
    <t>Highlighter</t>
  </si>
  <si>
    <t>Karan</t>
  </si>
  <si>
    <t>Notebook</t>
  </si>
  <si>
    <t xml:space="preserve"> Total Sales Amount</t>
  </si>
  <si>
    <t>Row Labels</t>
  </si>
  <si>
    <t>Grand Total</t>
  </si>
  <si>
    <t>Sum of Sales Amount</t>
  </si>
  <si>
    <t>Total Quantity Sold</t>
  </si>
  <si>
    <t>Average Order Value</t>
  </si>
  <si>
    <t>Total No Of Orders</t>
  </si>
  <si>
    <t>Top Selling Product</t>
  </si>
  <si>
    <t>Top City On The Basis Of Sales Amount</t>
  </si>
  <si>
    <t>Top City On The Basis Of Quantity</t>
  </si>
  <si>
    <t>(blank)</t>
  </si>
  <si>
    <t>2023</t>
  </si>
  <si>
    <t>2024</t>
  </si>
  <si>
    <t>Jan</t>
  </si>
  <si>
    <t>Feb</t>
  </si>
  <si>
    <t>Mar</t>
  </si>
  <si>
    <t>Apr</t>
  </si>
  <si>
    <t>May</t>
  </si>
  <si>
    <t>Jun</t>
  </si>
  <si>
    <t>Jul</t>
  </si>
  <si>
    <t>Aug</t>
  </si>
  <si>
    <t>Sep</t>
  </si>
  <si>
    <t>Oct</t>
  </si>
  <si>
    <t>Nov</t>
  </si>
  <si>
    <t>Dec</t>
  </si>
  <si>
    <t>Sum of Price per Unit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</si>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</sst>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164" fontId="1" fillId="2" borderId="0" xfId="0" applyNumberFormat="1" applyFont="1" applyFill="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1" fillId="2" borderId="0" xfId="0" applyNumberFormat="1" applyFont="1" applyFill="1"/>
    <xf numFmtId="14" fontId="2" fillId="0" borderId="0" xfId="0" applyNumberFormat="1" applyFon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5.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[Sales_Dashboard_Dataset.xlsx]sheet1!PivotTable12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sheet1!$H$3</c:f>
              <c:strCache>
                <c:ptCount val="1"/>
                <c:pt idx="0">
                  <c:v>Total</c:v>
                </c:pt>
              </c:strCache>
            </c:strRef>
          </c:tx>
          <c:spPr>
            <a:solidFill>
              <a:schemeClr val="accent1"/>
            </a:solidFill>
            <a:ln>
              <a:noFill/>
            </a:ln>
            <a:effectLst/>
            <a:sp3d/>
          </c:spPr>
          <c:invertIfNegative val="0"/>
          <c:cat>
            <c:strRef>
              <c:f>sheet1!$G$4:$G$20</c:f>
              <c:strCache>
                <c:ptCount val="16"/>
                <c:pt idx="0">
                  <c:v>Ahmedabad</c:v>
                </c:pt>
                <c:pt idx="1">
                  <c:v>Bengaluru</c:v>
                </c:pt>
                <c:pt idx="2">
                  <c:v>Chennai</c:v>
                </c:pt>
                <c:pt idx="3">
                  <c:v>Coimbatore</c:v>
                </c:pt>
                <c:pt idx="4">
                  <c:v>Dwarka</c:v>
                </c:pt>
                <c:pt idx="5">
                  <c:v>Hyderabad</c:v>
                </c:pt>
                <c:pt idx="6">
                  <c:v>Jaipur</c:v>
                </c:pt>
                <c:pt idx="7">
                  <c:v>Karol Bagh</c:v>
                </c:pt>
                <c:pt idx="8">
                  <c:v>Kolkata</c:v>
                </c:pt>
                <c:pt idx="9">
                  <c:v>Lucknow</c:v>
                </c:pt>
                <c:pt idx="10">
                  <c:v>Mumbai</c:v>
                </c:pt>
                <c:pt idx="11">
                  <c:v>Mysuru</c:v>
                </c:pt>
                <c:pt idx="12">
                  <c:v>Nagpur</c:v>
                </c:pt>
                <c:pt idx="13">
                  <c:v>New Delhi</c:v>
                </c:pt>
                <c:pt idx="14">
                  <c:v>Patna</c:v>
                </c:pt>
                <c:pt idx="15">
                  <c:v>Pune</c:v>
                </c:pt>
              </c:strCache>
            </c:strRef>
          </c:cat>
          <c:val>
            <c:numRef>
              <c:f>sheet1!$H$4:$H$20</c:f>
              <c:numCache>
                <c:formatCode>"₹"\ #,##0.00</c:formatCode>
                <c:ptCount val="16"/>
                <c:pt idx="0">
                  <c:v>15290.600000000002</c:v>
                </c:pt>
                <c:pt idx="1">
                  <c:v>12785.29</c:v>
                </c:pt>
                <c:pt idx="2">
                  <c:v>12121.460000000001</c:v>
                </c:pt>
                <c:pt idx="3">
                  <c:v>17192.71</c:v>
                </c:pt>
                <c:pt idx="4">
                  <c:v>3315.73</c:v>
                </c:pt>
                <c:pt idx="5">
                  <c:v>23192.38</c:v>
                </c:pt>
                <c:pt idx="6">
                  <c:v>15088.18</c:v>
                </c:pt>
                <c:pt idx="7">
                  <c:v>14110</c:v>
                </c:pt>
                <c:pt idx="8">
                  <c:v>31445.119999999999</c:v>
                </c:pt>
                <c:pt idx="9">
                  <c:v>3655.0499999999997</c:v>
                </c:pt>
                <c:pt idx="10">
                  <c:v>12311.309999999998</c:v>
                </c:pt>
                <c:pt idx="11">
                  <c:v>10876.37</c:v>
                </c:pt>
                <c:pt idx="12">
                  <c:v>15278.470000000001</c:v>
                </c:pt>
                <c:pt idx="13">
                  <c:v>8059.82</c:v>
                </c:pt>
                <c:pt idx="14">
                  <c:v>6953.5499999999993</c:v>
                </c:pt>
                <c:pt idx="15">
                  <c:v>9844.5600000000013</c:v>
                </c:pt>
              </c:numCache>
            </c:numRef>
          </c:val>
          <c:extLst>
            <c:ext xmlns:c16="http://schemas.microsoft.com/office/drawing/2014/chart" uri="{C3380CC4-5D6E-409C-BE32-E72D297353CC}">
              <c16:uniqueId val="{00000001-5736-44E5-B91E-59808F5369A9}"/>
            </c:ext>
          </c:extLst>
        </c:ser>
        <c:dLbls>
          <c:showLegendKey val="0"/>
          <c:showVal val="0"/>
          <c:showCatName val="0"/>
          <c:showSerName val="0"/>
          <c:showPercent val="0"/>
          <c:showBubbleSize val="0"/>
        </c:dLbls>
        <c:gapWidth val="150"/>
        <c:shape val="box"/>
        <c:axId val="432066992"/>
        <c:axId val="432077552"/>
        <c:axId val="0"/>
      </c:bar3DChart>
      <c:catAx>
        <c:axId val="43206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077552"/>
        <c:crosses val="autoZero"/>
        <c:auto val="1"/>
        <c:lblAlgn val="ctr"/>
        <c:lblOffset val="100"/>
        <c:noMultiLvlLbl val="0"/>
      </c:catAx>
      <c:valAx>
        <c:axId val="432077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0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[Sales_Dashboard_Dataset.xlsx]sheet1!PivotTable26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sheet1!$N$13</c:f>
              <c:strCache>
                <c:ptCount val="1"/>
                <c:pt idx="0">
                  <c:v>Total</c:v>
                </c:pt>
              </c:strCache>
            </c:strRef>
          </c:tx>
          <c:spPr>
            <a:solidFill>
              <a:schemeClr val="accent1"/>
            </a:solidFill>
            <a:ln>
              <a:noFill/>
            </a:ln>
            <a:effectLst/>
          </c:spPr>
          <c:invertIfNegative val="0"/>
          <c:cat>
            <c:strRef>
              <c:f>sheet1!$M$14:$M$15</c:f>
              <c:strCache>
                <c:ptCount val="1"/>
                <c:pt idx="0">
                  <c:v>Stationery</c:v>
                </c:pt>
              </c:strCache>
            </c:strRef>
          </c:cat>
          <c:val>
            <c:numRef>
              <c:f>sheet1!$N$14:$N$15</c:f>
              <c:numCache>
                <c:formatCode>"₹"\ #,##0.00</c:formatCode>
                <c:ptCount val="1"/>
                <c:pt idx="0">
                  <c:v>211520.60000000009</c:v>
                </c:pt>
              </c:numCache>
            </c:numRef>
          </c:val>
          <c:extLst>
            <c:ext xmlns:c16="http://schemas.microsoft.com/office/drawing/2014/chart" uri="{C3380CC4-5D6E-409C-BE32-E72D297353CC}">
              <c16:uniqueId val="{00000000-96E4-4493-8707-CBF64100AE04}"/>
            </c:ext>
          </c:extLst>
        </c:ser>
        <c:dLbls>
          <c:showLegendKey val="0"/>
          <c:showVal val="0"/>
          <c:showCatName val="0"/>
          <c:showSerName val="0"/>
          <c:showPercent val="0"/>
          <c:showBubbleSize val="0"/>
        </c:dLbls>
        <c:gapWidth val="219"/>
        <c:overlap val="-27"/>
        <c:axId val="1475970816"/>
        <c:axId val="1475979936"/>
      </c:barChart>
      <c:catAx>
        <c:axId val="147597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79936"/>
        <c:crosses val="autoZero"/>
        <c:auto val="1"/>
        <c:lblAlgn val="ctr"/>
        <c:lblOffset val="100"/>
        <c:noMultiLvlLbl val="0"/>
      </c:catAx>
      <c:valAx>
        <c:axId val="147597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7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sheet1!$H$24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4-4128-8908-9679EEE5A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4-4128-8908-9679EEE5A1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24-4128-8908-9679EEE5A1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24-4128-8908-9679EEE5A1C7}"/>
              </c:ext>
            </c:extLst>
          </c:dPt>
          <c:cat>
            <c:strRef>
              <c:f>sheet1!$G$25:$G$29</c:f>
              <c:strCache>
                <c:ptCount val="4"/>
                <c:pt idx="0">
                  <c:v>East</c:v>
                </c:pt>
                <c:pt idx="1">
                  <c:v>North</c:v>
                </c:pt>
                <c:pt idx="2">
                  <c:v>South</c:v>
                </c:pt>
                <c:pt idx="3">
                  <c:v>West</c:v>
                </c:pt>
              </c:strCache>
            </c:strRef>
          </c:cat>
          <c:val>
            <c:numRef>
              <c:f>sheet1!$H$25:$H$29</c:f>
              <c:numCache>
                <c:formatCode>"₹"\ #,##0.00</c:formatCode>
                <c:ptCount val="4"/>
                <c:pt idx="0">
                  <c:v>38398.67</c:v>
                </c:pt>
                <c:pt idx="1">
                  <c:v>44228.779999999992</c:v>
                </c:pt>
                <c:pt idx="2">
                  <c:v>76168.209999999992</c:v>
                </c:pt>
                <c:pt idx="3">
                  <c:v>52724.94</c:v>
                </c:pt>
              </c:numCache>
            </c:numRef>
          </c:val>
          <c:extLst>
            <c:ext xmlns:c16="http://schemas.microsoft.com/office/drawing/2014/chart" uri="{C3380CC4-5D6E-409C-BE32-E72D297353CC}">
              <c16:uniqueId val="{00000008-8B24-4128-8908-9679EEE5A1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[Sales_Dashboard_Dataset.xlsx]sheet1!PivotTable25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sheet1!$T$3</c:f>
              <c:strCache>
                <c:ptCount val="1"/>
                <c:pt idx="0">
                  <c:v>Total</c:v>
                </c:pt>
              </c:strCache>
            </c:strRef>
          </c:tx>
          <c:spPr>
            <a:ln w="28575" cap="rnd">
              <a:solidFill>
                <a:schemeClr val="accent1"/>
              </a:solidFill>
              <a:round/>
            </a:ln>
            <a:effectLst/>
          </c:spPr>
          <c:marker>
            <c:symbol val="none"/>
          </c:marker>
          <c:cat>
            <c:multiLvlStrRef>
              <c:f>sheet1!$S$4:$S$30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sheet1!$T$4:$T$30</c:f>
              <c:numCache>
                <c:formatCode>General</c:formatCode>
                <c:ptCount val="24"/>
                <c:pt idx="0">
                  <c:v>578718.83999999985</c:v>
                </c:pt>
                <c:pt idx="1">
                  <c:v>429205.30000000005</c:v>
                </c:pt>
                <c:pt idx="2">
                  <c:v>874176.32999999984</c:v>
                </c:pt>
                <c:pt idx="3">
                  <c:v>595133.11</c:v>
                </c:pt>
                <c:pt idx="4">
                  <c:v>951195.91000000015</c:v>
                </c:pt>
                <c:pt idx="5">
                  <c:v>541050.13000000012</c:v>
                </c:pt>
                <c:pt idx="6">
                  <c:v>578049.23</c:v>
                </c:pt>
                <c:pt idx="7">
                  <c:v>481528.92</c:v>
                </c:pt>
                <c:pt idx="8">
                  <c:v>1233461.51</c:v>
                </c:pt>
                <c:pt idx="9">
                  <c:v>749515.34999999986</c:v>
                </c:pt>
                <c:pt idx="10">
                  <c:v>365130.88000000006</c:v>
                </c:pt>
                <c:pt idx="11">
                  <c:v>748989.85000000009</c:v>
                </c:pt>
                <c:pt idx="12">
                  <c:v>633245.85</c:v>
                </c:pt>
                <c:pt idx="13">
                  <c:v>758879.15999999992</c:v>
                </c:pt>
                <c:pt idx="14">
                  <c:v>516182.03</c:v>
                </c:pt>
                <c:pt idx="15">
                  <c:v>990352.4600000002</c:v>
                </c:pt>
                <c:pt idx="16">
                  <c:v>986694.29999999981</c:v>
                </c:pt>
                <c:pt idx="17">
                  <c:v>925038.04</c:v>
                </c:pt>
                <c:pt idx="18">
                  <c:v>623367.19999999995</c:v>
                </c:pt>
                <c:pt idx="19">
                  <c:v>840881.64000000025</c:v>
                </c:pt>
                <c:pt idx="20">
                  <c:v>734037.72999999986</c:v>
                </c:pt>
                <c:pt idx="21">
                  <c:v>604323.51</c:v>
                </c:pt>
                <c:pt idx="22">
                  <c:v>1073404.07</c:v>
                </c:pt>
                <c:pt idx="23">
                  <c:v>661718.8600000001</c:v>
                </c:pt>
              </c:numCache>
            </c:numRef>
          </c:val>
          <c:smooth val="0"/>
          <c:extLst>
            <c:ext xmlns:c16="http://schemas.microsoft.com/office/drawing/2014/chart" uri="{C3380CC4-5D6E-409C-BE32-E72D297353CC}">
              <c16:uniqueId val="{00000000-807C-4E71-807A-599B1AEC23B1}"/>
            </c:ext>
          </c:extLst>
        </c:ser>
        <c:dLbls>
          <c:showLegendKey val="0"/>
          <c:showVal val="0"/>
          <c:showCatName val="0"/>
          <c:showSerName val="0"/>
          <c:showPercent val="0"/>
          <c:showBubbleSize val="0"/>
        </c:dLbls>
        <c:smooth val="0"/>
        <c:axId val="1646161151"/>
        <c:axId val="1646160671"/>
      </c:lineChart>
      <c:catAx>
        <c:axId val="16461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60671"/>
        <c:crosses val="autoZero"/>
        <c:auto val="1"/>
        <c:lblAlgn val="ctr"/>
        <c:lblOffset val="100"/>
        <c:noMultiLvlLbl val="0"/>
      </c:catAx>
      <c:valAx>
        <c:axId val="164616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6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40640</xdr:colOff>
      <xdr:row>0</xdr:row>
      <xdr:rowOff>15239</xdr:rowOff>
    </xdr:from>
    <xdr:to>
      <xdr:col>2</xdr:col>
      <xdr:colOff>675640</xdr:colOff>
      <xdr:row>9</xdr:row>
      <xdr:rowOff>166370</xdr:rowOff>
    </xdr:to>
    <xdr:graphicFrame macro="">
      <xdr:nvGraphicFramePr>
        <xdr:cNvPr id="2" name="Chart 1">
          <a:extLst>
            <a:ext uri="{FF2B5EF4-FFF2-40B4-BE49-F238E27FC236}">
              <a16:creationId xmlns:a16="http://schemas.microsoft.com/office/drawing/2014/main" id="{204873BB-9EB2-432F-B821-A54B57AE9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10</xdr:row>
      <xdr:rowOff>178505</xdr:rowOff>
    </xdr:from>
    <xdr:to>
      <xdr:col>1</xdr:col>
      <xdr:colOff>967317</xdr:colOff>
      <xdr:row>24</xdr:row>
      <xdr:rowOff>134973</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F484BB7-CC25-2DCA-0C8A-2B5C72E7C9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480" y="2007305"/>
              <a:ext cx="1780117" cy="2516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735189</xdr:colOff>
      <xdr:row>11</xdr:row>
      <xdr:rowOff>19896</xdr:rowOff>
    </xdr:from>
    <xdr:to>
      <xdr:col>7</xdr:col>
      <xdr:colOff>291959</xdr:colOff>
      <xdr:row>24</xdr:row>
      <xdr:rowOff>163531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48EE15C-A360-7D93-9148-068BD612D0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52149" y="2031576"/>
              <a:ext cx="1781810" cy="252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1261765</xdr:colOff>
      <xdr:row>11</xdr:row>
      <xdr:rowOff>39741</xdr:rowOff>
    </xdr:from>
    <xdr:to>
      <xdr:col>4</xdr:col>
      <xdr:colOff>264700</xdr:colOff>
      <xdr:row>24</xdr:row>
      <xdr:rowOff>178524</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87145F21-5023-65EE-80B6-00EADB5193F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105045" y="2051421"/>
              <a:ext cx="1776615" cy="2516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634270</xdr:colOff>
      <xdr:row>0</xdr:row>
      <xdr:rowOff>14753</xdr:rowOff>
    </xdr:from>
    <xdr:to>
      <xdr:col>13</xdr:col>
      <xdr:colOff>703543</xdr:colOff>
      <xdr:row>14</xdr:row>
      <xdr:rowOff>126629</xdr:rowOff>
    </xdr:to>
    <xdr:graphicFrame macro="">
      <xdr:nvGraphicFramePr>
        <xdr:cNvPr id="22" name="Chart 6">
          <a:extLst>
            <a:ext uri="{FF2B5EF4-FFF2-40B4-BE49-F238E27FC236}">
              <a16:creationId xmlns:a16="http://schemas.microsoft.com/office/drawing/2014/main" id="{F58C6C62-EB8D-C728-40C7-3FAF2D4F6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49984</xdr:colOff>
      <xdr:row>0</xdr:row>
      <xdr:rowOff>46627</xdr:rowOff>
    </xdr:from>
    <xdr:to>
      <xdr:col>7</xdr:col>
      <xdr:colOff>406400</xdr:colOff>
      <xdr:row>10</xdr:row>
      <xdr:rowOff>60960</xdr:rowOff>
    </xdr:to>
    <xdr:graphicFrame macro="">
      <xdr:nvGraphicFramePr>
        <xdr:cNvPr id="3" name="Chart 1">
          <a:extLst>
            <a:ext uri="{FF2B5EF4-FFF2-40B4-BE49-F238E27FC236}">
              <a16:creationId xmlns:a16="http://schemas.microsoft.com/office/drawing/2014/main" id="{FC5794C3-921A-6FB1-1CF2-E17869A5C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666262</xdr:colOff>
      <xdr:row>15</xdr:row>
      <xdr:rowOff>51582</xdr:rowOff>
    </xdr:from>
    <xdr:to>
      <xdr:col>13</xdr:col>
      <xdr:colOff>788182</xdr:colOff>
      <xdr:row>30</xdr:row>
      <xdr:rowOff>51582</xdr:rowOff>
    </xdr:to>
    <xdr:graphicFrame macro="">
      <xdr:nvGraphicFramePr>
        <xdr:cNvPr id="12" name="Chart 3">
          <a:extLst>
            <a:ext uri="{FF2B5EF4-FFF2-40B4-BE49-F238E27FC236}">
              <a16:creationId xmlns:a16="http://schemas.microsoft.com/office/drawing/2014/main" id="{0C5713A6-A313-1E66-67AA-61F8A9F88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739140</xdr:colOff>
      <xdr:row>26</xdr:row>
      <xdr:rowOff>35560</xdr:rowOff>
    </xdr:from>
    <xdr:to>
      <xdr:col>5</xdr:col>
      <xdr:colOff>561340</xdr:colOff>
      <xdr:row>33</xdr:row>
      <xdr:rowOff>127000</xdr:rowOff>
    </xdr:to>
    <mc:AlternateContent xmlns:mc="http://schemas.openxmlformats.org/markup-compatibility/2006" xmlns:tsle="http://schemas.microsoft.com/office/drawing/2012/timeslicer">
      <mc:Choice Requires="tsle">
        <xdr:graphicFrame macro="">
          <xdr:nvGraphicFramePr>
            <xdr:cNvPr id="13" name="Sale Date">
              <a:extLst>
                <a:ext uri="{FF2B5EF4-FFF2-40B4-BE49-F238E27FC236}">
                  <a16:creationId xmlns:a16="http://schemas.microsoft.com/office/drawing/2014/main" id="{BC44FE1E-2B1C-1D87-B684-A536A59674E3}"/>
                </a:ext>
              </a:extLst>
            </xdr:cNvPr>
            <xdr:cNvGraphicFramePr/>
          </xdr:nvGraphicFramePr>
          <xdr:xfrm>
            <a:off x="0" y="0"/>
            <a:ext cx="0" cy="0"/>
          </xdr:xfrm>
          <a:graphic>
            <a:graphicData uri="http://schemas.microsoft.com/office/drawing/2012/timeslicer">
              <tsle:timeslicer name="Sale Date"/>
            </a:graphicData>
          </a:graphic>
        </xdr:graphicFrame>
      </mc:Choice>
      <mc:Fallback xmlns="">
        <xdr:sp macro="" textlink="">
          <xdr:nvSpPr>
            <xdr:cNvPr id="0" name=""/>
            <xdr:cNvSpPr>
              <a:spLocks noTextEdit="1"/>
            </xdr:cNvSpPr>
          </xdr:nvSpPr>
          <xdr:spPr>
            <a:xfrm>
              <a:off x="1582420" y="4790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49.415379861108" createdVersion="8" refreshedVersion="8" minRefreshableVersion="3" recordCount="600" xr:uid="{4427A869-4DD7-46A7-85C1-33D3534B1E62}">
  <cacheSource type="worksheet">
    <worksheetSource ref="D1:J601" sheet="Sales_Data"/>
  </cacheSource>
  <cacheFields count="7">
    <cacheField name="State" numFmtId="0">
      <sharedItems/>
    </cacheField>
    <cacheField name="Region" numFmtId="0">
      <sharedItems count="4">
        <s v="North"/>
        <s v="South"/>
        <s v="West"/>
        <s v="East"/>
      </sharedItems>
    </cacheField>
    <cacheField name="Product Category" numFmtId="0">
      <sharedItems count="5">
        <s v="Home &amp; Kitchen"/>
        <s v="Apparel"/>
        <s v="Furniture"/>
        <s v="Electronics"/>
        <s v="Stationery"/>
      </sharedItems>
    </cacheField>
    <cacheField name="Product Name" numFmtId="0">
      <sharedItems/>
    </cacheField>
    <cacheField name="Quantity" numFmtId="0">
      <sharedItems containsSemiMixedTypes="0" containsString="0" containsNumber="1" containsInteger="1" minValue="1" maxValue="25"/>
    </cacheField>
    <cacheField name="Price per Unit" numFmtId="164">
      <sharedItems containsSemiMixedTypes="0" containsString="0" containsNumber="1" minValue="20.260000000000002" maxValue="11993.42"/>
    </cacheField>
    <cacheField name="Sales Amount" numFmtId="164">
      <sharedItems containsSemiMixedTypes="0" containsString="0" containsNumber="1" minValue="81.64" maxValue="28719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49.421791782406" createdVersion="8" refreshedVersion="8" minRefreshableVersion="3" recordCount="602" xr:uid="{33ED58A6-7EB5-4FC0-9266-C417C157F500}">
  <cacheSource type="worksheet">
    <worksheetSource ref="A1:J1048576" sheet="Sales_Data"/>
  </cacheSource>
  <cacheFields count="13">
    <cacheField name="Sale Date" numFmtId="14">
      <sharedItems containsNonDate="0" containsDate="1" containsString="0" containsBlank="1" minDate="2023-01-03T00:00:00" maxDate="2025-01-01T00:00:00" count="412">
        <d v="2024-10-16T00:00:00"/>
        <d v="2023-04-15T00:00:00"/>
        <d v="2023-08-12T00:00:00"/>
        <d v="2024-07-12T00:00:00"/>
        <d v="2023-01-07T00:00:00"/>
        <d v="2023-12-11T00:00:00"/>
        <d v="2024-09-10T00:00:00"/>
        <d v="2024-01-23T00:00:00"/>
        <d v="2023-03-13T00:00:00"/>
        <d v="2024-01-25T00:00:00"/>
        <d v="2024-11-17T00:00:00"/>
        <d v="2023-06-17T00:00:00"/>
        <d v="2023-02-27T00:00:00"/>
        <d v="2024-08-03T00:00:00"/>
        <d v="2023-09-29T00:00:00"/>
        <d v="2024-08-20T00:00:00"/>
        <d v="2023-02-18T00:00:00"/>
        <d v="2024-01-26T00:00:00"/>
        <d v="2023-01-12T00:00:00"/>
        <d v="2024-04-09T00:00:00"/>
        <d v="2024-10-02T00:00:00"/>
        <d v="2024-06-27T00:00:00"/>
        <d v="2023-11-11T00:00:00"/>
        <d v="2024-05-12T00:00:00"/>
        <d v="2024-06-24T00:00:00"/>
        <d v="2023-07-25T00:00:00"/>
        <d v="2023-09-11T00:00:00"/>
        <d v="2024-08-25T00:00:00"/>
        <d v="2023-03-11T00:00:00"/>
        <d v="2024-02-21T00:00:00"/>
        <d v="2024-02-25T00:00:00"/>
        <d v="2023-04-22T00:00:00"/>
        <d v="2023-07-07T00:00:00"/>
        <d v="2024-07-17T00:00:00"/>
        <d v="2023-08-31T00:00:00"/>
        <d v="2023-03-02T00:00:00"/>
        <d v="2024-04-10T00:00:00"/>
        <d v="2023-08-11T00:00:00"/>
        <d v="2024-05-29T00:00:00"/>
        <d v="2023-03-12T00:00:00"/>
        <d v="2024-08-06T00:00:00"/>
        <d v="2024-08-01T00:00:00"/>
        <d v="2023-09-02T00:00:00"/>
        <d v="2023-03-16T00:00:00"/>
        <d v="2024-06-02T00:00:00"/>
        <d v="2023-06-11T00:00:00"/>
        <d v="2023-11-03T00:00:00"/>
        <d v="2023-06-09T00:00:00"/>
        <d v="2024-12-04T00:00:00"/>
        <d v="2023-10-11T00:00:00"/>
        <d v="2023-06-15T00:00:00"/>
        <d v="2024-12-08T00:00:00"/>
        <d v="2023-11-12T00:00:00"/>
        <d v="2023-04-16T00:00:00"/>
        <d v="2023-07-01T00:00:00"/>
        <d v="2023-09-12T00:00:00"/>
        <d v="2023-08-16T00:00:00"/>
        <d v="2024-11-06T00:00:00"/>
        <d v="2023-10-13T00:00:00"/>
        <d v="2023-09-25T00:00:00"/>
        <d v="2023-11-18T00:00:00"/>
        <d v="2024-12-26T00:00:00"/>
        <d v="2024-11-11T00:00:00"/>
        <d v="2024-11-13T00:00:00"/>
        <d v="2023-07-16T00:00:00"/>
        <d v="2024-07-15T00:00:00"/>
        <d v="2024-09-13T00:00:00"/>
        <d v="2024-04-29T00:00:00"/>
        <d v="2023-08-29T00:00:00"/>
        <d v="2024-05-01T00:00:00"/>
        <d v="2024-12-14T00:00:00"/>
        <d v="2023-01-06T00:00:00"/>
        <d v="2023-02-21T00:00:00"/>
        <d v="2024-11-14T00:00:00"/>
        <d v="2024-03-12T00:00:00"/>
        <d v="2023-10-20T00:00:00"/>
        <d v="2023-06-04T00:00:00"/>
        <d v="2023-12-05T00:00:00"/>
        <d v="2024-02-03T00:00:00"/>
        <d v="2023-12-27T00:00:00"/>
        <d v="2024-09-09T00:00:00"/>
        <d v="2024-06-30T00:00:00"/>
        <d v="2023-05-19T00:00:00"/>
        <d v="2024-03-07T00:00:00"/>
        <d v="2023-12-25T00:00:00"/>
        <d v="2023-07-24T00:00:00"/>
        <d v="2024-07-31T00:00:00"/>
        <d v="2023-04-28T00:00:00"/>
        <d v="2024-08-12T00:00:00"/>
        <d v="2024-10-04T00:00:00"/>
        <d v="2023-12-22T00:00:00"/>
        <d v="2023-01-13T00:00:00"/>
        <d v="2024-04-15T00:00:00"/>
        <d v="2024-07-05T00:00:00"/>
        <d v="2023-09-09T00:00:00"/>
        <d v="2024-09-16T00:00:00"/>
        <d v="2023-08-06T00:00:00"/>
        <d v="2023-10-10T00:00:00"/>
        <d v="2023-01-18T00:00:00"/>
        <d v="2024-11-10T00:00:00"/>
        <d v="2023-05-04T00:00:00"/>
        <d v="2024-12-07T00:00:00"/>
        <d v="2024-06-21T00:00:00"/>
        <d v="2024-01-05T00:00:00"/>
        <d v="2023-02-16T00:00:00"/>
        <d v="2024-08-10T00:00:00"/>
        <d v="2023-02-22T00:00:00"/>
        <d v="2023-03-17T00:00:00"/>
        <d v="2023-03-29T00:00:00"/>
        <d v="2024-09-25T00:00:00"/>
        <d v="2024-03-15T00:00:00"/>
        <d v="2023-08-05T00:00:00"/>
        <d v="2023-06-10T00:00:00"/>
        <d v="2023-02-03T00:00:00"/>
        <d v="2023-09-28T00:00:00"/>
        <d v="2023-06-02T00:00:00"/>
        <d v="2024-09-01T00:00:00"/>
        <d v="2024-12-17T00:00:00"/>
        <d v="2023-02-10T00:00:00"/>
        <d v="2024-11-21T00:00:00"/>
        <d v="2024-04-26T00:00:00"/>
        <d v="2024-05-18T00:00:00"/>
        <d v="2023-04-18T00:00:00"/>
        <d v="2024-02-15T00:00:00"/>
        <d v="2023-04-29T00:00:00"/>
        <d v="2024-06-14T00:00:00"/>
        <d v="2023-05-15T00:00:00"/>
        <d v="2024-09-15T00:00:00"/>
        <d v="2023-08-19T00:00:00"/>
        <d v="2023-10-26T00:00:00"/>
        <d v="2024-07-18T00:00:00"/>
        <d v="2023-05-20T00:00:00"/>
        <d v="2023-01-03T00:00:00"/>
        <d v="2024-05-10T00:00:00"/>
        <d v="2023-07-13T00:00:00"/>
        <d v="2024-08-27T00:00:00"/>
        <d v="2023-01-16T00:00:00"/>
        <d v="2024-12-21T00:00:00"/>
        <d v="2024-02-26T00:00:00"/>
        <d v="2024-01-27T00:00:00"/>
        <d v="2024-10-15T00:00:00"/>
        <d v="2024-11-24T00:00:00"/>
        <d v="2024-05-09T00:00:00"/>
        <d v="2024-12-03T00:00:00"/>
        <d v="2023-08-13T00:00:00"/>
        <d v="2023-11-13T00:00:00"/>
        <d v="2023-10-30T00:00:00"/>
        <d v="2024-01-10T00:00:00"/>
        <d v="2023-08-20T00:00:00"/>
        <d v="2024-07-03T00:00:00"/>
        <d v="2024-07-28T00:00:00"/>
        <d v="2023-11-06T00:00:00"/>
        <d v="2024-05-19T00:00:00"/>
        <d v="2024-01-15T00:00:00"/>
        <d v="2024-05-16T00:00:00"/>
        <d v="2024-03-30T00:00:00"/>
        <d v="2024-10-22T00:00:00"/>
        <d v="2023-09-07T00:00:00"/>
        <d v="2024-08-23T00:00:00"/>
        <d v="2023-05-29T00:00:00"/>
        <d v="2024-05-02T00:00:00"/>
        <d v="2024-09-21T00:00:00"/>
        <d v="2024-05-05T00:00:00"/>
        <d v="2024-10-01T00:00:00"/>
        <d v="2024-06-01T00:00:00"/>
        <d v="2024-11-01T00:00:00"/>
        <d v="2023-09-19T00:00:00"/>
        <d v="2023-04-06T00:00:00"/>
        <d v="2024-07-29T00:00:00"/>
        <d v="2024-03-09T00:00:00"/>
        <d v="2024-06-03T00:00:00"/>
        <d v="2024-07-23T00:00:00"/>
        <d v="2024-09-28T00:00:00"/>
        <d v="2024-12-20T00:00:00"/>
        <d v="2024-08-02T00:00:00"/>
        <d v="2023-08-09T00:00:00"/>
        <d v="2023-11-29T00:00:00"/>
        <d v="2023-02-20T00:00:00"/>
        <d v="2024-03-28T00:00:00"/>
        <d v="2023-04-24T00:00:00"/>
        <d v="2024-09-05T00:00:00"/>
        <d v="2023-06-29T00:00:00"/>
        <d v="2024-11-15T00:00:00"/>
        <d v="2024-10-17T00:00:00"/>
        <d v="2023-06-25T00:00:00"/>
        <d v="2023-12-14T00:00:00"/>
        <d v="2024-09-08T00:00:00"/>
        <d v="2024-08-16T00:00:00"/>
        <d v="2023-11-14T00:00:00"/>
        <d v="2023-03-20T00:00:00"/>
        <d v="2023-02-12T00:00:00"/>
        <d v="2023-03-05T00:00:00"/>
        <d v="2024-01-08T00:00:00"/>
        <d v="2024-09-04T00:00:00"/>
        <d v="2024-01-31T00:00:00"/>
        <d v="2023-03-28T00:00:00"/>
        <d v="2024-12-02T00:00:00"/>
        <d v="2023-05-21T00:00:00"/>
        <d v="2024-06-23T00:00:00"/>
        <d v="2023-06-16T00:00:00"/>
        <d v="2023-09-01T00:00:00"/>
        <d v="2024-04-25T00:00:00"/>
        <d v="2023-09-14T00:00:00"/>
        <d v="2023-05-08T00:00:00"/>
        <d v="2023-05-31T00:00:00"/>
        <d v="2024-02-29T00:00:00"/>
        <d v="2023-03-25T00:00:00"/>
        <d v="2024-10-27T00:00:00"/>
        <d v="2024-04-28T00:00:00"/>
        <d v="2023-01-20T00:00:00"/>
        <d v="2024-03-05T00:00:00"/>
        <d v="2023-01-17T00:00:00"/>
        <d v="2023-12-28T00:00:00"/>
        <d v="2024-01-18T00:00:00"/>
        <d v="2024-11-03T00:00:00"/>
        <d v="2024-10-20T00:00:00"/>
        <d v="2023-03-06T00:00:00"/>
        <d v="2023-02-07T00:00:00"/>
        <d v="2024-06-15T00:00:00"/>
        <d v="2023-07-04T00:00:00"/>
        <d v="2023-12-26T00:00:00"/>
        <d v="2023-02-28T00:00:00"/>
        <d v="2024-09-14T00:00:00"/>
        <d v="2024-01-11T00:00:00"/>
        <d v="2024-04-05T00:00:00"/>
        <d v="2023-07-10T00:00:00"/>
        <d v="2024-05-17T00:00:00"/>
        <d v="2024-12-31T00:00:00"/>
        <d v="2024-07-09T00:00:00"/>
        <d v="2023-05-05T00:00:00"/>
        <d v="2024-08-09T00:00:00"/>
        <d v="2023-03-09T00:00:00"/>
        <d v="2024-08-11T00:00:00"/>
        <d v="2024-06-13T00:00:00"/>
        <d v="2024-03-19T00:00:00"/>
        <d v="2024-10-12T00:00:00"/>
        <d v="2023-12-12T00:00:00"/>
        <d v="2024-08-13T00:00:00"/>
        <d v="2024-05-24T00:00:00"/>
        <d v="2024-03-26T00:00:00"/>
        <d v="2023-11-17T00:00:00"/>
        <d v="2024-03-04T00:00:00"/>
        <d v="2024-05-25T00:00:00"/>
        <d v="2024-02-07T00:00:00"/>
        <d v="2023-04-21T00:00:00"/>
        <d v="2023-05-02T00:00:00"/>
        <d v="2023-02-09T00:00:00"/>
        <d v="2024-06-11T00:00:00"/>
        <d v="2024-09-23T00:00:00"/>
        <d v="2024-12-05T00:00:00"/>
        <d v="2024-05-06T00:00:00"/>
        <d v="2024-12-18T00:00:00"/>
        <d v="2024-02-27T00:00:00"/>
        <d v="2024-12-23T00:00:00"/>
        <d v="2024-01-21T00:00:00"/>
        <d v="2024-11-23T00:00:00"/>
        <d v="2024-07-27T00:00:00"/>
        <d v="2024-02-09T00:00:00"/>
        <d v="2023-03-22T00:00:00"/>
        <d v="2023-09-03T00:00:00"/>
        <d v="2023-04-13T00:00:00"/>
        <d v="2024-08-04T00:00:00"/>
        <d v="2024-07-10T00:00:00"/>
        <d v="2023-04-26T00:00:00"/>
        <d v="2023-01-15T00:00:00"/>
        <d v="2023-04-08T00:00:00"/>
        <d v="2024-01-28T00:00:00"/>
        <d v="2024-04-21T00:00:00"/>
        <d v="2023-05-17T00:00:00"/>
        <d v="2024-12-19T00:00:00"/>
        <d v="2024-09-02T00:00:00"/>
        <d v="2023-04-25T00:00:00"/>
        <d v="2024-06-16T00:00:00"/>
        <d v="2024-06-06T00:00:00"/>
        <d v="2023-01-04T00:00:00"/>
        <d v="2024-07-08T00:00:00"/>
        <d v="2024-11-30T00:00:00"/>
        <d v="2023-11-02T00:00:00"/>
        <d v="2023-12-21T00:00:00"/>
        <d v="2023-02-04T00:00:00"/>
        <d v="2024-07-06T00:00:00"/>
        <d v="2024-06-17T00:00:00"/>
        <d v="2024-08-28T00:00:00"/>
        <d v="2023-07-08T00:00:00"/>
        <d v="2023-05-28T00:00:00"/>
        <d v="2023-05-18T00:00:00"/>
        <d v="2024-11-20T00:00:00"/>
        <d v="2024-11-18T00:00:00"/>
        <d v="2023-09-06T00:00:00"/>
        <d v="2023-10-17T00:00:00"/>
        <d v="2024-06-09T00:00:00"/>
        <d v="2023-11-24T00:00:00"/>
        <d v="2023-08-15T00:00:00"/>
        <d v="2023-12-04T00:00:00"/>
        <d v="2024-04-16T00:00:00"/>
        <d v="2024-12-25T00:00:00"/>
        <d v="2024-09-24T00:00:00"/>
        <d v="2023-09-04T00:00:00"/>
        <d v="2024-02-20T00:00:00"/>
        <d v="2023-03-24T00:00:00"/>
        <d v="2023-12-06T00:00:00"/>
        <d v="2024-12-09T00:00:00"/>
        <d v="2023-10-15T00:00:00"/>
        <d v="2024-08-24T00:00:00"/>
        <d v="2024-12-06T00:00:00"/>
        <d v="2023-03-19T00:00:00"/>
        <d v="2024-04-06T00:00:00"/>
        <d v="2024-08-22T00:00:00"/>
        <d v="2023-03-26T00:00:00"/>
        <d v="2024-03-31T00:00:00"/>
        <d v="2024-04-04T00:00:00"/>
        <d v="2023-05-23T00:00:00"/>
        <d v="2024-03-21T00:00:00"/>
        <d v="2023-09-10T00:00:00"/>
        <d v="2024-02-10T00:00:00"/>
        <d v="2024-10-28T00:00:00"/>
        <d v="2024-12-12T00:00:00"/>
        <d v="2023-09-16T00:00:00"/>
        <d v="2024-01-04T00:00:00"/>
        <d v="2023-12-30T00:00:00"/>
        <d v="2024-03-16T00:00:00"/>
        <d v="2024-11-26T00:00:00"/>
        <d v="2024-03-01T00:00:00"/>
        <d v="2023-07-31T00:00:00"/>
        <d v="2024-04-18T00:00:00"/>
        <d v="2024-12-22T00:00:00"/>
        <d v="2023-04-27T00:00:00"/>
        <d v="2023-04-30T00:00:00"/>
        <d v="2023-05-22T00:00:00"/>
        <d v="2024-12-11T00:00:00"/>
        <d v="2024-01-29T00:00:00"/>
        <d v="2023-08-14T00:00:00"/>
        <d v="2024-04-13T00:00:00"/>
        <d v="2023-03-31T00:00:00"/>
        <d v="2023-11-28T00:00:00"/>
        <d v="2023-05-10T00:00:00"/>
        <d v="2024-08-14T00:00:00"/>
        <d v="2024-03-14T00:00:00"/>
        <d v="2023-11-09T00:00:00"/>
        <d v="2024-05-03T00:00:00"/>
        <d v="2023-01-10T00:00:00"/>
        <d v="2024-05-04T00:00:00"/>
        <d v="2023-07-30T00:00:00"/>
        <d v="2023-03-14T00:00:00"/>
        <d v="2024-08-05T00:00:00"/>
        <d v="2023-03-03T00:00:00"/>
        <d v="2023-07-28T00:00:00"/>
        <d v="2023-03-30T00:00:00"/>
        <d v="2023-10-03T00:00:00"/>
        <d v="2023-09-27T00:00:00"/>
        <d v="2024-05-26T00:00:00"/>
        <d v="2023-07-03T00:00:00"/>
        <d v="2023-02-23T00:00:00"/>
        <d v="2024-01-13T00:00:00"/>
        <d v="2024-04-20T00:00:00"/>
        <d v="2024-11-09T00:00:00"/>
        <d v="2023-07-27T00:00:00"/>
        <d v="2023-11-08T00:00:00"/>
        <d v="2023-06-28T00:00:00"/>
        <d v="2023-04-07T00:00:00"/>
        <d v="2024-10-23T00:00:00"/>
        <d v="2024-04-17T00:00:00"/>
        <d v="2023-01-31T00:00:00"/>
        <d v="2023-10-09T00:00:00"/>
        <d v="2023-10-14T00:00:00"/>
        <d v="2024-06-22T00:00:00"/>
        <d v="2024-05-11T00:00:00"/>
        <d v="2024-09-03T00:00:00"/>
        <d v="2024-08-21T00:00:00"/>
        <d v="2023-06-27T00:00:00"/>
        <d v="2023-08-27T00:00:00"/>
        <d v="2024-09-20T00:00:00"/>
        <d v="2023-06-01T00:00:00"/>
        <d v="2024-02-05T00:00:00"/>
        <d v="2024-09-18T00:00:00"/>
        <d v="2023-12-10T00:00:00"/>
        <d v="2023-04-14T00:00:00"/>
        <d v="2023-06-24T00:00:00"/>
        <d v="2024-03-20T00:00:00"/>
        <d v="2024-02-24T00:00:00"/>
        <d v="2024-04-27T00:00:00"/>
        <d v="2024-07-20T00:00:00"/>
        <d v="2023-02-05T00:00:00"/>
        <d v="2023-06-21T00:00:00"/>
        <d v="2023-03-10T00:00:00"/>
        <d v="2024-06-19T00:00:00"/>
        <d v="2024-08-19T00:00:00"/>
        <d v="2023-12-19T00:00:00"/>
        <d v="2024-11-28T00:00:00"/>
        <d v="2023-11-25T00:00:00"/>
        <d v="2024-12-27T00:00:00"/>
        <d v="2023-07-17T00:00:00"/>
        <d v="2023-05-07T00:00:00"/>
        <d v="2024-04-30T00:00:00"/>
        <d v="2024-08-08T00:00:00"/>
        <d v="2023-01-09T00:00:00"/>
        <d v="2024-04-22T00:00:00"/>
        <d v="2024-03-06T00:00:00"/>
        <d v="2023-01-05T00:00:00"/>
        <d v="2024-10-03T00:00:00"/>
        <d v="2024-05-30T00:00:00"/>
        <d v="2023-10-25T00:00:00"/>
        <d v="2024-11-08T00:00:00"/>
        <d v="2023-10-04T00:00:00"/>
        <d v="2023-05-01T00:00:00"/>
        <d v="2024-06-07T00:00:00"/>
        <d v="2023-10-31T00:00:00"/>
        <d v="2024-02-14T00:00:00"/>
        <d v="2024-10-26T00:00:00"/>
        <d v="2024-03-27T00:00:00"/>
        <d v="2024-11-25T00:00:00"/>
        <m/>
      </sharedItems>
      <fieldGroup par="12"/>
    </cacheField>
    <cacheField name="Customer Name" numFmtId="0">
      <sharedItems containsBlank="1"/>
    </cacheField>
    <cacheField name="City" numFmtId="0">
      <sharedItems containsBlank="1" count="17">
        <s v="Dwarka"/>
        <s v="New Delhi"/>
        <s v="Mysuru"/>
        <s v="Jaipur"/>
        <s v="Karol Bagh"/>
        <s v="Coimbatore"/>
        <s v="Hyderabad"/>
        <s v="Ahmedabad"/>
        <s v="Bengaluru"/>
        <s v="Patna"/>
        <s v="Pune"/>
        <s v="Chennai"/>
        <s v="Kolkata"/>
        <s v="Mumbai"/>
        <s v="Nagpur"/>
        <s v="Lucknow"/>
        <m/>
      </sharedItems>
    </cacheField>
    <cacheField name="State" numFmtId="0">
      <sharedItems containsBlank="1"/>
    </cacheField>
    <cacheField name="Region" numFmtId="0">
      <sharedItems containsBlank="1"/>
    </cacheField>
    <cacheField name="Product Category" numFmtId="0">
      <sharedItems containsBlank="1"/>
    </cacheField>
    <cacheField name="Product Name" numFmtId="0">
      <sharedItems containsBlank="1"/>
    </cacheField>
    <cacheField name="Quantity" numFmtId="0">
      <sharedItems containsString="0" containsBlank="1" containsNumber="1" containsInteger="1" minValue="1" maxValue="25"/>
    </cacheField>
    <cacheField name="Price per Unit" numFmtId="164">
      <sharedItems containsString="0" containsBlank="1" containsNumber="1" minValue="20.260000000000002" maxValue="11993.42"/>
    </cacheField>
    <cacheField name="Sales Amount" numFmtId="164">
      <sharedItems containsString="0" containsBlank="1" containsNumber="1" minValue="81.64" maxValue="287191"/>
    </cacheField>
    <cacheField name="Months (Sale Date)" numFmtId="0" databaseField="0">
      <fieldGroup base="0">
        <rangePr groupBy="months" startDate="2023-01-03T00:00:00" endDate="2025-01-01T00:00:00"/>
        <groupItems count="14">
          <s v="&lt;03-01-2023"/>
          <s v="Jan"/>
          <s v="Feb"/>
          <s v="Mar"/>
          <s v="Apr"/>
          <s v="May"/>
          <s v="Jun"/>
          <s v="Jul"/>
          <s v="Aug"/>
          <s v="Sep"/>
          <s v="Oct"/>
          <s v="Nov"/>
          <s v="Dec"/>
          <s v="&gt;01-01-2025"/>
        </groupItems>
      </fieldGroup>
    </cacheField>
    <cacheField name="Quarters (Sale Date)" numFmtId="0" databaseField="0">
      <fieldGroup base="0">
        <rangePr groupBy="quarters" startDate="2023-01-03T00:00:00" endDate="2025-01-01T00:00:00"/>
        <groupItems count="6">
          <s v="&lt;03-01-2023"/>
          <s v="Qtr1"/>
          <s v="Qtr2"/>
          <s v="Qtr3"/>
          <s v="Qtr4"/>
          <s v="&gt;01-01-2025"/>
        </groupItems>
      </fieldGroup>
    </cacheField>
    <cacheField name="Years (Sale Date)" numFmtId="0" databaseField="0">
      <fieldGroup base="0">
        <rangePr groupBy="years" startDate="2023-01-03T00:00:00" endDate="2025-01-01T00:00:00"/>
        <groupItems count="5">
          <s v="&lt;03-01-2023"/>
          <s v="2023"/>
          <s v="2024"/>
          <s v="2025"/>
          <s v="&gt;01-01-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49.432420370373" createdVersion="8" refreshedVersion="8" minRefreshableVersion="3" recordCount="600" xr:uid="{1C0E5A10-196C-4EB6-AA17-4463BA239A0E}">
  <cacheSource type="worksheet">
    <worksheetSource ref="A1:J601" sheet="Sales_Data"/>
  </cacheSource>
  <cacheFields count="10">
    <cacheField name="Sale Date" numFmtId="14">
      <sharedItems containsNonDate="0" containsDate="1" containsMixedTypes="1" minDate="2023-01-03T00:00:00" maxDate="2025-01-01T00:00:00" count="822">
        <d v="2024-10-16T00:00:00"/>
        <d v="2023-04-15T00:00:00"/>
        <d v="2023-08-12T00:00:00"/>
        <d v="2024-07-12T00:00:00"/>
        <d v="2023-01-07T00:00:00"/>
        <d v="2023-12-11T00:00:00"/>
        <d v="2024-09-10T00:00:00"/>
        <d v="2024-01-23T00:00:00"/>
        <d v="2023-03-13T00:00:00"/>
        <d v="2024-01-25T00:00:00"/>
        <d v="2024-11-17T00:00:00"/>
        <d v="2023-06-17T00:00:00"/>
        <d v="2023-02-27T00:00:00"/>
        <d v="2024-08-03T00:00:00"/>
        <d v="2023-09-29T00:00:00"/>
        <d v="2024-08-20T00:00:00"/>
        <d v="2023-02-18T00:00:00"/>
        <d v="2024-01-26T00:00:00"/>
        <d v="2023-01-12T00:00:00"/>
        <d v="2024-04-09T00:00:00"/>
        <d v="2024-10-02T00:00:00"/>
        <d v="2024-06-27T00:00:00"/>
        <d v="2023-11-11T00:00:00"/>
        <d v="2024-05-12T00:00:00"/>
        <d v="2024-06-24T00:00:00"/>
        <d v="2023-07-25T00:00:00"/>
        <d v="2023-09-11T00:00:00"/>
        <d v="2024-08-25T00:00:00"/>
        <d v="2023-03-11T00:00:00"/>
        <d v="2024-02-21T00:00:00"/>
        <d v="2024-02-25T00:00:00"/>
        <d v="2023-04-22T00:00:00"/>
        <d v="2023-07-07T00:00:00"/>
        <d v="2024-07-17T00:00:00"/>
        <d v="2023-08-31T00:00:00"/>
        <d v="2023-03-02T00:00:00"/>
        <d v="2024-04-10T00:00:00"/>
        <d v="2023-08-11T00:00:00"/>
        <d v="2024-05-29T00:00:00"/>
        <d v="2023-03-12T00:00:00"/>
        <d v="2024-08-06T00:00:00"/>
        <d v="2024-08-01T00:00:00"/>
        <d v="2023-09-02T00:00:00"/>
        <d v="2023-03-16T00:00:00"/>
        <d v="2024-06-02T00:00:00"/>
        <d v="2023-06-11T00:00:00"/>
        <d v="2023-11-03T00:00:00"/>
        <d v="2023-06-09T00:00:00"/>
        <d v="2024-12-04T00:00:00"/>
        <d v="2023-10-11T00:00:00"/>
        <d v="2023-06-15T00:00:00"/>
        <d v="2024-12-08T00:00:00"/>
        <d v="2023-11-12T00:00:00"/>
        <d v="2023-04-16T00:00:00"/>
        <d v="2023-07-01T00:00:00"/>
        <d v="2023-09-12T00:00:00"/>
        <d v="2023-08-16T00:00:00"/>
        <d v="2024-11-06T00:00:00"/>
        <d v="2023-10-13T00:00:00"/>
        <d v="2023-09-25T00:00:00"/>
        <d v="2023-11-18T00:00:00"/>
        <d v="2024-12-26T00:00:00"/>
        <d v="2024-11-11T00:00:00"/>
        <d v="2024-11-13T00:00:00"/>
        <d v="2023-07-16T00:00:00"/>
        <d v="2024-07-15T00:00:00"/>
        <d v="2024-09-13T00:00:00"/>
        <d v="2024-04-29T00:00:00"/>
        <d v="2023-08-29T00:00:00"/>
        <d v="2024-05-01T00:00:00"/>
        <d v="2024-12-14T00:00:00"/>
        <d v="2023-01-06T00:00:00"/>
        <d v="2023-02-21T00:00:00"/>
        <d v="2024-11-14T00:00:00"/>
        <d v="2024-03-12T00:00:00"/>
        <d v="2023-10-20T00:00:00"/>
        <d v="2023-06-04T00:00:00"/>
        <d v="2023-12-05T00:00:00"/>
        <d v="2024-02-03T00:00:00"/>
        <d v="2023-12-27T00:00:00"/>
        <d v="2024-09-09T00:00:00"/>
        <d v="2024-06-30T00:00:00"/>
        <d v="2023-05-19T00:00:00"/>
        <d v="2024-03-07T00:00:00"/>
        <d v="2023-12-25T00:00:00"/>
        <d v="2023-07-24T00:00:00"/>
        <d v="2024-07-31T00:00:00"/>
        <d v="2023-04-28T00:00:00"/>
        <d v="2024-08-12T00:00:00"/>
        <d v="2024-10-04T00:00:00"/>
        <d v="2023-12-22T00:00:00"/>
        <d v="2023-01-13T00:00:00"/>
        <d v="2024-04-15T00:00:00"/>
        <d v="2024-07-05T00:00:00"/>
        <d v="2023-09-09T00:00:00"/>
        <d v="2024-09-16T00:00:00"/>
        <d v="2023-08-06T00:00:00"/>
        <d v="2023-10-10T00:00:00"/>
        <d v="2023-01-18T00:00:00"/>
        <d v="2024-11-10T00:00:00"/>
        <d v="2023-05-04T00:00:00"/>
        <d v="2024-12-07T00:00:00"/>
        <d v="2024-06-21T00:00:00"/>
        <d v="2024-01-05T00:00:00"/>
        <d v="2023-02-16T00:00:00"/>
        <d v="2024-08-10T00:00:00"/>
        <d v="2023-02-22T00:00:00"/>
        <d v="2023-03-17T00:00:00"/>
        <d v="2023-03-29T00:00:00"/>
        <d v="2024-09-25T00:00:00"/>
        <d v="2024-03-15T00:00:00"/>
        <d v="2023-08-05T00:00:00"/>
        <d v="2023-06-10T00:00:00"/>
        <d v="2023-02-03T00:00:00"/>
        <d v="2023-09-28T00:00:00"/>
        <d v="2023-06-02T00:00:00"/>
        <d v="2024-09-01T00:00:00"/>
        <d v="2024-12-17T00:00:00"/>
        <d v="2023-02-10T00:00:00"/>
        <d v="2024-11-21T00:00:00"/>
        <d v="2024-04-26T00:00:00"/>
        <d v="2024-05-18T00:00:00"/>
        <d v="2023-04-18T00:00:00"/>
        <d v="2024-02-15T00:00:00"/>
        <d v="2023-04-29T00:00:00"/>
        <d v="2024-06-14T00:00:00"/>
        <d v="2023-05-15T00:00:00"/>
        <d v="2024-09-15T00:00:00"/>
        <d v="2023-08-19T00:00:00"/>
        <d v="2023-10-26T00:00:00"/>
        <d v="2024-07-18T00:00:00"/>
        <d v="2023-05-20T00:00:00"/>
        <d v="2023-01-03T00:00:00"/>
        <d v="2024-05-10T00:00:00"/>
        <d v="2023-07-13T00:00:00"/>
        <d v="2024-08-27T00:00:00"/>
        <d v="2023-01-16T00:00:00"/>
        <d v="2024-12-21T00:00:00"/>
        <d v="2024-02-26T00:00:00"/>
        <d v="2024-01-27T00:00:00"/>
        <d v="2024-10-15T00:00:00"/>
        <d v="2024-11-24T00:00:00"/>
        <d v="2024-05-09T00:00:00"/>
        <d v="2024-12-03T00:00:00"/>
        <d v="2023-08-13T00:00:00"/>
        <d v="2023-11-13T00:00:00"/>
        <d v="2023-10-30T00:00:00"/>
        <d v="2024-01-10T00:00:00"/>
        <d v="2023-08-20T00:00:00"/>
        <d v="2024-07-03T00:00:00"/>
        <d v="2024-07-28T00:00:00"/>
        <d v="2023-11-06T00:00:00"/>
        <d v="2024-05-19T00:00:00"/>
        <d v="2024-01-15T00:00:00"/>
        <d v="2024-05-16T00:00:00"/>
        <d v="2024-03-30T00:00:00"/>
        <d v="2024-10-22T00:00:00"/>
        <d v="2023-09-07T00:00:00"/>
        <d v="2024-08-23T00:00:00"/>
        <d v="2023-05-29T00:00:00"/>
        <d v="2024-05-02T00:00:00"/>
        <d v="2024-09-21T00:00:00"/>
        <d v="2024-05-05T00:00:00"/>
        <d v="2024-10-01T00:00:00"/>
        <d v="2024-06-01T00:00:00"/>
        <d v="2024-11-01T00:00:00"/>
        <d v="2023-09-19T00:00:00"/>
        <d v="2023-04-06T00:00:00"/>
        <d v="2024-07-29T00:00:00"/>
        <d v="2024-03-09T00:00:00"/>
        <d v="2024-06-03T00:00:00"/>
        <d v="2024-07-23T00:00:00"/>
        <d v="2024-09-28T00:00:00"/>
        <d v="2024-12-20T00:00:00"/>
        <d v="2024-08-02T00:00:00"/>
        <d v="2023-08-09T00:00:00"/>
        <d v="2023-11-29T00:00:00"/>
        <d v="2023-02-20T00:00:00"/>
        <d v="2024-03-28T00:00:00"/>
        <d v="2023-04-24T00:00:00"/>
        <d v="2024-09-05T00:00:00"/>
        <d v="2023-06-29T00:00:00"/>
        <d v="2024-11-15T00:00:00"/>
        <d v="2024-10-17T00:00:00"/>
        <d v="2023-06-25T00:00:00"/>
        <d v="2023-12-14T00:00:00"/>
        <d v="2024-09-08T00:00:00"/>
        <d v="2024-08-16T00:00:00"/>
        <d v="2023-11-14T00:00:00"/>
        <d v="2023-03-20T00:00:00"/>
        <d v="2023-02-12T00:00:00"/>
        <d v="2023-03-05T00:00:00"/>
        <d v="2024-01-08T00:00:00"/>
        <d v="2024-09-04T00:00:00"/>
        <d v="2024-01-31T00:00:00"/>
        <d v="2023-03-28T00:00:00"/>
        <d v="2024-12-02T00:00:00"/>
        <d v="2023-05-21T00:00:00"/>
        <d v="2024-06-23T00:00:00"/>
        <d v="2023-06-16T00:00:00"/>
        <d v="2023-09-01T00:00:00"/>
        <d v="2024-04-25T00:00:00"/>
        <d v="2023-09-14T00:00:00"/>
        <d v="2023-05-08T00:00:00"/>
        <d v="2023-05-31T00:00:00"/>
        <d v="2024-02-29T00:00:00"/>
        <d v="2023-03-25T00:00:00"/>
        <d v="2024-10-27T00:00:00"/>
        <d v="2024-04-28T00:00:00"/>
        <d v="2023-01-20T00:00:00"/>
        <d v="2024-03-05T00:00:00"/>
        <d v="2023-01-17T00:00:00"/>
        <d v="2023-12-28T00:00:00"/>
        <d v="2024-01-18T00:00:00"/>
        <d v="2024-11-03T00:00:00"/>
        <d v="2024-10-20T00:00:00"/>
        <d v="2023-03-06T00:00:00"/>
        <d v="2023-02-07T00:00:00"/>
        <d v="2024-06-15T00:00:00"/>
        <d v="2023-07-04T00:00:00"/>
        <d v="2023-12-26T00:00:00"/>
        <d v="2023-02-28T00:00:00"/>
        <d v="2024-09-14T00:00:00"/>
        <d v="2024-01-11T00:00:00"/>
        <d v="2024-04-05T00:00:00"/>
        <d v="2023-07-10T00:00:00"/>
        <d v="2024-05-17T00:00:00"/>
        <d v="2024-12-31T00:00:00"/>
        <d v="2024-07-09T00:00:00"/>
        <d v="2023-05-05T00:00:00"/>
        <d v="2024-08-09T00:00:00"/>
        <d v="2023-03-09T00:00:00"/>
        <d v="2024-08-11T00:00:00"/>
        <d v="2024-06-13T00:00:00"/>
        <d v="2024-03-19T00:00:00"/>
        <d v="2024-10-12T00:00:00"/>
        <d v="2023-12-12T00:00:00"/>
        <d v="2024-08-13T00:00:00"/>
        <d v="2024-05-24T00:00:00"/>
        <d v="2024-03-26T00:00:00"/>
        <d v="2023-11-17T00:00:00"/>
        <d v="2024-03-04T00:00:00"/>
        <d v="2024-05-25T00:00:00"/>
        <d v="2024-02-07T00:00:00"/>
        <d v="2023-04-21T00:00:00"/>
        <d v="2023-05-02T00:00:00"/>
        <d v="2023-02-09T00:00:00"/>
        <d v="2024-06-11T00:00:00"/>
        <d v="2024-09-23T00:00:00"/>
        <d v="2024-12-05T00:00:00"/>
        <d v="2024-05-06T00:00:00"/>
        <d v="2024-12-18T00:00:00"/>
        <d v="2024-02-27T00:00:00"/>
        <d v="2024-12-23T00:00:00"/>
        <d v="2024-01-21T00:00:00"/>
        <d v="2024-11-23T00:00:00"/>
        <d v="2024-07-27T00:00:00"/>
        <d v="2024-02-09T00:00:00"/>
        <d v="2023-03-22T00:00:00"/>
        <d v="2023-09-03T00:00:00"/>
        <d v="2023-04-13T00:00:00"/>
        <d v="2024-08-04T00:00:00"/>
        <d v="2024-07-10T00:00:00"/>
        <d v="2023-04-26T00:00:00"/>
        <d v="2023-01-15T00:00:00"/>
        <d v="2023-04-08T00:00:00"/>
        <d v="2024-01-28T00:00:00"/>
        <d v="2024-04-21T00:00:00"/>
        <d v="2023-05-17T00:00:00"/>
        <d v="2024-12-19T00:00:00"/>
        <d v="2024-09-02T00:00:00"/>
        <d v="2023-04-25T00:00:00"/>
        <d v="2024-06-16T00:00:00"/>
        <d v="2024-06-06T00:00:00"/>
        <d v="2023-01-04T00:00:00"/>
        <d v="2024-07-08T00:00:00"/>
        <d v="2024-11-30T00:00:00"/>
        <d v="2023-11-02T00:00:00"/>
        <d v="2023-12-21T00:00:00"/>
        <d v="2023-02-04T00:00:00"/>
        <d v="2024-07-06T00:00:00"/>
        <d v="2024-06-17T00:00:00"/>
        <d v="2024-08-28T00:00:00"/>
        <d v="2023-07-08T00:00:00"/>
        <d v="2023-05-28T00:00:00"/>
        <d v="2023-05-18T00:00:00"/>
        <d v="2024-11-20T00:00:00"/>
        <d v="2024-11-18T00:00:00"/>
        <d v="2023-09-06T00:00:00"/>
        <d v="2023-10-17T00:00:00"/>
        <d v="2024-06-09T00:00:00"/>
        <d v="2023-11-24T00:00:00"/>
        <d v="2023-08-15T00:00:00"/>
        <d v="2023-12-04T00:00:00"/>
        <d v="2024-04-16T00:00:00"/>
        <d v="2024-12-25T00:00:00"/>
        <d v="2024-09-24T00:00:00"/>
        <d v="2023-09-04T00:00:00"/>
        <d v="2024-02-20T00:00:00"/>
        <d v="2023-03-24T00:00:00"/>
        <d v="2023-12-06T00:00:00"/>
        <d v="2024-12-09T00:00:00"/>
        <d v="2023-10-15T00:00:00"/>
        <d v="2024-08-24T00:00:00"/>
        <d v="2024-12-06T00:00:00"/>
        <d v="2023-03-19T00:00:00"/>
        <d v="2024-04-06T00:00:00"/>
        <d v="2024-08-22T00:00:00"/>
        <d v="2023-03-26T00:00:00"/>
        <d v="2024-03-31T00:00:00"/>
        <d v="2024-04-04T00:00:00"/>
        <d v="2023-05-23T00:00:00"/>
        <d v="2024-03-21T00:00:00"/>
        <d v="2023-09-10T00:00:00"/>
        <d v="2024-02-10T00:00:00"/>
        <d v="2024-10-28T00:00:00"/>
        <d v="2024-12-12T00:00:00"/>
        <d v="2023-09-16T00:00:00"/>
        <d v="2024-01-04T00:00:00"/>
        <d v="2023-12-30T00:00:00"/>
        <d v="2024-03-16T00:00:00"/>
        <d v="2024-11-26T00:00:00"/>
        <d v="2024-03-01T00:00:00"/>
        <d v="2023-07-31T00:00:00"/>
        <d v="2024-04-18T00:00:00"/>
        <d v="2024-12-22T00:00:00"/>
        <d v="2023-04-27T00:00:00"/>
        <d v="2023-04-30T00:00:00"/>
        <d v="2023-05-22T00:00:00"/>
        <d v="2024-12-11T00:00:00"/>
        <d v="2024-01-29T00:00:00"/>
        <d v="2023-08-14T00:00:00"/>
        <d v="2024-04-13T00:00:00"/>
        <d v="2023-03-31T00:00:00"/>
        <d v="2023-11-28T00:00:00"/>
        <d v="2023-05-10T00:00:00"/>
        <d v="2024-08-14T00:00:00"/>
        <d v="2024-03-14T00:00:00"/>
        <d v="2023-11-09T00:00:00"/>
        <d v="2024-05-03T00:00:00"/>
        <d v="2023-01-10T00:00:00"/>
        <d v="2024-05-04T00:00:00"/>
        <d v="2023-07-30T00:00:00"/>
        <d v="2023-03-14T00:00:00"/>
        <d v="2024-08-05T00:00:00"/>
        <d v="2023-03-03T00:00:00"/>
        <d v="2023-07-28T00:00:00"/>
        <d v="2023-03-30T00:00:00"/>
        <d v="2023-10-03T00:00:00"/>
        <d v="2023-09-27T00:00:00"/>
        <d v="2024-05-26T00:00:00"/>
        <d v="2023-07-03T00:00:00"/>
        <d v="2023-02-23T00:00:00"/>
        <d v="2024-01-13T00:00:00"/>
        <d v="2024-04-20T00:00:00"/>
        <d v="2024-11-09T00:00:00"/>
        <d v="2023-07-27T00:00:00"/>
        <d v="2023-11-08T00:00:00"/>
        <d v="2023-06-28T00:00:00"/>
        <d v="2023-04-07T00:00:00"/>
        <d v="2024-10-23T00:00:00"/>
        <d v="2024-04-17T00:00:00"/>
        <d v="2023-01-31T00:00:00"/>
        <d v="2023-10-09T00:00:00"/>
        <d v="2023-10-14T00:00:00"/>
        <d v="2024-06-22T00:00:00"/>
        <d v="2024-05-11T00:00:00"/>
        <d v="2024-09-03T00:00:00"/>
        <d v="2024-08-21T00:00:00"/>
        <d v="2023-06-27T00:00:00"/>
        <d v="2023-08-27T00:00:00"/>
        <d v="2024-09-20T00:00:00"/>
        <d v="2023-06-01T00:00:00"/>
        <d v="2024-02-05T00:00:00"/>
        <d v="2024-09-18T00:00:00"/>
        <d v="2023-12-10T00:00:00"/>
        <d v="2023-04-14T00:00:00"/>
        <d v="2023-06-24T00:00:00"/>
        <d v="2024-03-20T00:00:00"/>
        <d v="2024-02-24T00:00:00"/>
        <d v="2024-04-27T00:00:00"/>
        <d v="2024-07-20T00:00:00"/>
        <d v="2023-02-05T00:00:00"/>
        <d v="2023-06-21T00:00:00"/>
        <d v="2023-03-10T00:00:00"/>
        <d v="2024-06-19T00:00:00"/>
        <d v="2024-08-19T00:00:00"/>
        <d v="2023-12-19T00:00:00"/>
        <d v="2024-11-28T00:00:00"/>
        <d v="2023-11-25T00:00:00"/>
        <d v="2024-12-27T00:00:00"/>
        <d v="2023-07-17T00:00:00"/>
        <d v="2023-05-07T00:00:00"/>
        <d v="2024-04-30T00:00:00"/>
        <d v="2024-08-08T00:00:00"/>
        <d v="2023-01-09T00:00:00"/>
        <d v="2024-04-22T00:00:00"/>
        <d v="2024-03-06T00:00:00"/>
        <d v="2023-01-05T00:00:00"/>
        <d v="2024-10-03T00:00:00"/>
        <d v="2024-05-30T00:00:00"/>
        <d v="2023-10-25T00:00:00"/>
        <d v="2024-11-08T00:00:00"/>
        <d v="2023-10-04T00:00:00"/>
        <d v="2023-05-01T00:00:00"/>
        <d v="2024-06-07T00:00:00"/>
        <d v="2023-10-31T00:00:00"/>
        <d v="2024-02-14T00:00:00"/>
        <d v="2024-10-26T00:00:00"/>
        <d v="2024-03-27T00:00:00"/>
        <d v="2024-11-25T00:00:00"/>
        <s v="16-10-2024" u="1"/>
        <s v="15-04-2023" u="1"/>
        <s v="12-08-2023" u="1"/>
        <s v="12-07-2024" u="1"/>
        <s v="07-01-2023" u="1"/>
        <s v="11-12-2023" u="1"/>
        <s v="10-09-2024" u="1"/>
        <s v="23-01-2024" u="1"/>
        <s v="13-03-2023" u="1"/>
        <s v="25-01-2024" u="1"/>
        <s v="17-11-2024" u="1"/>
        <s v="17-06-2023" u="1"/>
        <s v="27-02-2023" u="1"/>
        <s v="03-08-2024" u="1"/>
        <s v="29-09-2023" u="1"/>
        <s v="20-08-2024" u="1"/>
        <s v="18-02-2023" u="1"/>
        <s v="26-01-2024" u="1"/>
        <s v="12-01-2023" u="1"/>
        <s v="09-04-2024" u="1"/>
        <s v="02-10-2024" u="1"/>
        <s v="27-06-2024" u="1"/>
        <s v="11-11-2023" u="1"/>
        <s v="12-05-2024" u="1"/>
        <s v="24-06-2024" u="1"/>
        <s v="25-07-2023" u="1"/>
        <s v="11-09-2023" u="1"/>
        <s v="25-08-2024" u="1"/>
        <s v="11-03-2023" u="1"/>
        <s v="21-02-2024" u="1"/>
        <s v="25-02-2024" u="1"/>
        <s v="22-04-2023" u="1"/>
        <s v="07-07-2023" u="1"/>
        <s v="17-07-2024" u="1"/>
        <s v="31-08-2023" u="1"/>
        <s v="02-03-2023" u="1"/>
        <s v="10-04-2024" u="1"/>
        <s v="11-08-2023" u="1"/>
        <s v="29-05-2024" u="1"/>
        <s v="12-03-2023" u="1"/>
        <s v="06-08-2024" u="1"/>
        <s v="01-08-2024" u="1"/>
        <s v="02-09-2023" u="1"/>
        <s v="16-03-2023" u="1"/>
        <s v="02-06-2024" u="1"/>
        <s v="11-06-2023" u="1"/>
        <s v="03-11-2023" u="1"/>
        <s v="09-06-2023" u="1"/>
        <s v="04-12-2024" u="1"/>
        <s v="11-10-2023" u="1"/>
        <s v="15-06-2023" u="1"/>
        <s v="08-12-2024" u="1"/>
        <s v="12-11-2023" u="1"/>
        <s v="16-04-2023" u="1"/>
        <s v="01-07-2023" u="1"/>
        <s v="12-09-2023" u="1"/>
        <s v="16-08-2023" u="1"/>
        <s v="06-11-2024" u="1"/>
        <s v="13-10-2023" u="1"/>
        <s v="25-09-2023" u="1"/>
        <s v="18-11-2023" u="1"/>
        <s v="26-12-2024" u="1"/>
        <s v="11-11-2024" u="1"/>
        <s v="13-11-2024" u="1"/>
        <s v="16-07-2023" u="1"/>
        <s v="15-07-2024" u="1"/>
        <s v="13-09-2024" u="1"/>
        <s v="29-04-2024" u="1"/>
        <s v="29-08-2023" u="1"/>
        <s v="01-05-2024" u="1"/>
        <s v="14-12-2024" u="1"/>
        <s v="06-01-2023" u="1"/>
        <s v="21-02-2023" u="1"/>
        <s v="14-11-2024" u="1"/>
        <s v="12-03-2024" u="1"/>
        <s v="20-10-2023" u="1"/>
        <s v="04-06-2023" u="1"/>
        <s v="05-12-2023" u="1"/>
        <s v="03-02-2024" u="1"/>
        <s v="27-12-2023" u="1"/>
        <s v="09-09-2024" u="1"/>
        <s v="30-06-2024" u="1"/>
        <s v="19-05-2023" u="1"/>
        <s v="07-03-2024" u="1"/>
        <s v="25-12-2023" u="1"/>
        <s v="24-07-2023" u="1"/>
        <s v="31-07-2024" u="1"/>
        <s v="28-04-2023" u="1"/>
        <s v="12-08-2024" u="1"/>
        <s v="04-10-2024" u="1"/>
        <s v="22-12-2023" u="1"/>
        <s v="13-01-2023" u="1"/>
        <s v="15-04-2024" u="1"/>
        <s v="05-07-2024" u="1"/>
        <s v="09-09-2023" u="1"/>
        <s v="16-09-2024" u="1"/>
        <s v="06-08-2023" u="1"/>
        <s v="10-10-2023" u="1"/>
        <s v="18-01-2023" u="1"/>
        <s v="10-11-2024" u="1"/>
        <s v="04-05-2023" u="1"/>
        <s v="07-12-2024" u="1"/>
        <s v="21-06-2024" u="1"/>
        <s v="05-01-2024" u="1"/>
        <s v="16-02-2023" u="1"/>
        <s v="10-08-2024" u="1"/>
        <s v="22-02-2023" u="1"/>
        <s v="17-03-2023" u="1"/>
        <s v="29-03-2023" u="1"/>
        <s v="25-09-2024" u="1"/>
        <s v="15-03-2024" u="1"/>
        <s v="05-08-2023" u="1"/>
        <s v="10-06-2023" u="1"/>
        <s v="03-02-2023" u="1"/>
        <s v="28-09-2023" u="1"/>
        <s v="02-06-2023" u="1"/>
        <s v="01-09-2024" u="1"/>
        <s v="17-12-2024" u="1"/>
        <s v="10-02-2023" u="1"/>
        <s v="21-11-2024" u="1"/>
        <s v="26-04-2024" u="1"/>
        <s v="18-05-2024" u="1"/>
        <s v="18-04-2023" u="1"/>
        <s v="15-02-2024" u="1"/>
        <s v="29-04-2023" u="1"/>
        <s v="14-06-2024" u="1"/>
        <s v="15-05-2023" u="1"/>
        <s v="15-09-2024" u="1"/>
        <s v="19-08-2023" u="1"/>
        <s v="26-10-2023" u="1"/>
        <s v="18-07-2024" u="1"/>
        <s v="20-05-2023" u="1"/>
        <s v="03-01-2023" u="1"/>
        <s v="10-05-2024" u="1"/>
        <s v="13-07-2023" u="1"/>
        <s v="27-08-2024" u="1"/>
        <s v="16-01-2023" u="1"/>
        <s v="21-12-2024" u="1"/>
        <s v="26-02-2024" u="1"/>
        <s v="27-01-2024" u="1"/>
        <s v="15-10-2024" u="1"/>
        <s v="24-11-2024" u="1"/>
        <s v="09-05-2024" u="1"/>
        <s v="03-12-2024" u="1"/>
        <s v="13-08-2023" u="1"/>
        <s v="13-11-2023" u="1"/>
        <s v="30-10-2023" u="1"/>
        <s v="10-01-2024" u="1"/>
        <s v="20-08-2023" u="1"/>
        <s v="03-07-2024" u="1"/>
        <s v="28-07-2024" u="1"/>
        <s v="06-11-2023" u="1"/>
        <s v="19-05-2024" u="1"/>
        <s v="15-01-2024" u="1"/>
        <s v="16-05-2024" u="1"/>
        <s v="30-03-2024" u="1"/>
        <s v="22-10-2024" u="1"/>
        <s v="07-09-2023" u="1"/>
        <s v="23-08-2024" u="1"/>
        <s v="29-05-2023" u="1"/>
        <s v="02-05-2024" u="1"/>
        <s v="21-09-2024" u="1"/>
        <s v="05-05-2024" u="1"/>
        <s v="01-10-2024" u="1"/>
        <s v="01-06-2024" u="1"/>
        <s v="01-11-2024" u="1"/>
        <s v="19-09-2023" u="1"/>
        <s v="06-04-2023" u="1"/>
        <s v="29-07-2024" u="1"/>
        <s v="09-03-2024" u="1"/>
        <s v="03-06-2024" u="1"/>
        <s v="23-07-2024" u="1"/>
        <s v="28-09-2024" u="1"/>
        <s v="20-12-2024" u="1"/>
        <s v="02-08-2024" u="1"/>
        <s v="09-08-2023" u="1"/>
        <s v="29-11-2023" u="1"/>
        <s v="20-02-2023" u="1"/>
        <s v="28-03-2024" u="1"/>
        <s v="24-04-2023" u="1"/>
        <s v="05-09-2024" u="1"/>
        <s v="29-06-2023" u="1"/>
        <s v="15-11-2024" u="1"/>
        <s v="17-10-2024" u="1"/>
        <s v="25-06-2023" u="1"/>
        <s v="14-12-2023" u="1"/>
        <s v="08-09-2024" u="1"/>
        <s v="16-08-2024" u="1"/>
        <s v="14-11-2023" u="1"/>
        <s v="20-03-2023" u="1"/>
        <s v="12-02-2023" u="1"/>
        <s v="05-03-2023" u="1"/>
        <s v="08-01-2024" u="1"/>
        <s v="04-09-2024" u="1"/>
        <s v="31-01-2024" u="1"/>
        <s v="28-03-2023" u="1"/>
        <s v="02-12-2024" u="1"/>
        <s v="21-05-2023" u="1"/>
        <s v="23-06-2024" u="1"/>
        <s v="16-06-2023" u="1"/>
        <s v="01-09-2023" u="1"/>
        <s v="25-04-2024" u="1"/>
        <s v="14-09-2023" u="1"/>
        <s v="08-05-2023" u="1"/>
        <s v="31-05-2023" u="1"/>
        <s v="29-02-2024" u="1"/>
        <s v="25-03-2023" u="1"/>
        <s v="27-10-2024" u="1"/>
        <s v="28-04-2024" u="1"/>
        <s v="20-01-2023" u="1"/>
        <s v="05-03-2024" u="1"/>
        <s v="17-01-2023" u="1"/>
        <s v="28-12-2023" u="1"/>
        <s v="18-01-2024" u="1"/>
        <s v="03-11-2024" u="1"/>
        <s v="20-10-2024" u="1"/>
        <s v="06-03-2023" u="1"/>
        <s v="07-02-2023" u="1"/>
        <s v="15-06-2024" u="1"/>
        <s v="04-07-2023" u="1"/>
        <s v="26-12-2023" u="1"/>
        <s v="28-02-2023" u="1"/>
        <s v="14-09-2024" u="1"/>
        <s v="11-01-2024" u="1"/>
        <s v="05-04-2024" u="1"/>
        <s v="10-07-2023" u="1"/>
        <s v="17-05-2024" u="1"/>
        <s v="31-12-2024" u="1"/>
        <s v="09-07-2024" u="1"/>
        <s v="05-05-2023" u="1"/>
        <s v="09-08-2024" u="1"/>
        <s v="09-03-2023" u="1"/>
        <s v="11-08-2024" u="1"/>
        <s v="13-06-2024" u="1"/>
        <s v="19-03-2024" u="1"/>
        <s v="12-10-2024" u="1"/>
        <s v="12-12-2023" u="1"/>
        <s v="13-08-2024" u="1"/>
        <s v="24-05-2024" u="1"/>
        <s v="26-03-2024" u="1"/>
        <s v="17-11-2023" u="1"/>
        <s v="04-03-2024" u="1"/>
        <s v="25-05-2024" u="1"/>
        <s v="07-02-2024" u="1"/>
        <s v="21-04-2023" u="1"/>
        <s v="02-05-2023" u="1"/>
        <s v="09-02-2023" u="1"/>
        <s v="11-06-2024" u="1"/>
        <s v="23-09-2024" u="1"/>
        <s v="05-12-2024" u="1"/>
        <s v="06-05-2024" u="1"/>
        <s v="18-12-2024" u="1"/>
        <s v="27-02-2024" u="1"/>
        <s v="23-12-2024" u="1"/>
        <s v="21-01-2024" u="1"/>
        <s v="23-11-2024" u="1"/>
        <s v="27-07-2024" u="1"/>
        <s v="09-02-2024" u="1"/>
        <s v="22-03-2023" u="1"/>
        <s v="03-09-2023" u="1"/>
        <s v="13-04-2023" u="1"/>
        <s v="04-08-2024" u="1"/>
        <s v="10-07-2024" u="1"/>
        <s v="26-04-2023" u="1"/>
        <s v="15-01-2023" u="1"/>
        <s v="08-04-2023" u="1"/>
        <s v="28-01-2024" u="1"/>
        <s v="21-04-2024" u="1"/>
        <s v="17-05-2023" u="1"/>
        <s v="19-12-2024" u="1"/>
        <s v="02-09-2024" u="1"/>
        <s v="25-04-2023" u="1"/>
        <s v="16-06-2024" u="1"/>
        <s v="06-06-2024" u="1"/>
        <s v="04-01-2023" u="1"/>
        <s v="08-07-2024" u="1"/>
        <s v="30-11-2024" u="1"/>
        <s v="02-11-2023" u="1"/>
        <s v="21-12-2023" u="1"/>
        <s v="04-02-2023" u="1"/>
        <s v="06-07-2024" u="1"/>
        <s v="17-06-2024" u="1"/>
        <s v="28-08-2024" u="1"/>
        <s v="08-07-2023" u="1"/>
        <s v="28-05-2023" u="1"/>
        <s v="18-05-2023" u="1"/>
        <s v="20-11-2024" u="1"/>
        <s v="18-11-2024" u="1"/>
        <s v="06-09-2023" u="1"/>
        <s v="17-10-2023" u="1"/>
        <s v="09-06-2024" u="1"/>
        <s v="24-11-2023" u="1"/>
        <s v="15-08-2023" u="1"/>
        <s v="04-12-2023" u="1"/>
        <s v="16-04-2024" u="1"/>
        <s v="25-12-2024" u="1"/>
        <s v="24-09-2024" u="1"/>
        <s v="04-09-2023" u="1"/>
        <s v="20-02-2024" u="1"/>
        <s v="24-03-2023" u="1"/>
        <s v="06-12-2023" u="1"/>
        <s v="09-12-2024" u="1"/>
        <s v="15-10-2023" u="1"/>
        <s v="24-08-2024" u="1"/>
        <s v="06-12-2024" u="1"/>
        <s v="19-03-2023" u="1"/>
        <s v="06-04-2024" u="1"/>
        <s v="22-08-2024" u="1"/>
        <s v="26-03-2023" u="1"/>
        <s v="31-03-2024" u="1"/>
        <s v="04-04-2024" u="1"/>
        <s v="23-05-2023" u="1"/>
        <s v="21-03-2024" u="1"/>
        <s v="10-09-2023" u="1"/>
        <s v="10-02-2024" u="1"/>
        <s v="28-10-2024" u="1"/>
        <s v="12-12-2024" u="1"/>
        <s v="16-09-2023" u="1"/>
        <s v="04-01-2024" u="1"/>
        <s v="30-12-2023" u="1"/>
        <s v="16-03-2024" u="1"/>
        <s v="26-11-2024" u="1"/>
        <s v="01-03-2024" u="1"/>
        <s v="31-07-2023" u="1"/>
        <s v="18-04-2024" u="1"/>
        <s v="22-12-2024" u="1"/>
        <s v="27-04-2023" u="1"/>
        <s v="30-04-2023" u="1"/>
        <s v="22-05-2023" u="1"/>
        <s v="11-12-2024" u="1"/>
        <s v="29-01-2024" u="1"/>
        <s v="14-08-2023" u="1"/>
        <s v="13-04-2024" u="1"/>
        <s v="31-03-2023" u="1"/>
        <s v="28-11-2023" u="1"/>
        <s v="10-05-2023" u="1"/>
        <s v="14-08-2024" u="1"/>
        <s v="14-03-2024" u="1"/>
        <s v="09-11-2023" u="1"/>
        <s v="03-05-2024" u="1"/>
        <s v="10-01-2023" u="1"/>
        <s v="04-05-2024" u="1"/>
        <s v="30-07-2023" u="1"/>
        <s v="14-03-2023" u="1"/>
        <s v="05-08-2024" u="1"/>
        <s v="03-03-2023" u="1"/>
        <s v="28-07-2023" u="1"/>
        <s v="30-03-2023" u="1"/>
        <s v="03-10-2023" u="1"/>
        <s v="27-09-2023" u="1"/>
        <s v="26-05-2024" u="1"/>
        <s v="03-07-2023" u="1"/>
        <s v="23-02-2023" u="1"/>
        <s v="13-01-2024" u="1"/>
        <s v="20-04-2024" u="1"/>
        <s v="09-11-2024" u="1"/>
        <s v="27-07-2023" u="1"/>
        <s v="08-11-2023" u="1"/>
        <s v="28-06-2023" u="1"/>
        <s v="07-04-2023" u="1"/>
        <s v="23-10-2024" u="1"/>
        <s v="17-04-2024" u="1"/>
        <s v="31-01-2023" u="1"/>
        <s v="09-10-2023" u="1"/>
        <s v="14-10-2023" u="1"/>
        <s v="22-06-2024" u="1"/>
        <s v="11-05-2024" u="1"/>
        <s v="03-09-2024" u="1"/>
        <s v="21-08-2024" u="1"/>
        <s v="27-06-2023" u="1"/>
        <s v="27-08-2023" u="1"/>
        <s v="20-09-2024" u="1"/>
        <s v="01-06-2023" u="1"/>
        <s v="05-02-2024" u="1"/>
        <s v="18-09-2024" u="1"/>
        <s v="10-12-2023" u="1"/>
        <s v="14-04-2023" u="1"/>
        <s v="24-06-2023" u="1"/>
        <s v="20-03-2024" u="1"/>
        <s v="24-02-2024" u="1"/>
        <s v="27-04-2024" u="1"/>
        <s v="20-07-2024" u="1"/>
        <s v="05-02-2023" u="1"/>
        <s v="21-06-2023" u="1"/>
        <s v="10-03-2023" u="1"/>
        <s v="19-06-2024" u="1"/>
        <s v="19-08-2024" u="1"/>
        <s v="19-12-2023" u="1"/>
        <s v="28-11-2024" u="1"/>
        <s v="25-11-2023" u="1"/>
        <s v="27-12-2024" u="1"/>
        <s v="17-07-2023" u="1"/>
        <s v="07-05-2023" u="1"/>
        <s v="30-04-2024" u="1"/>
        <s v="08-08-2024" u="1"/>
        <s v="09-01-2023" u="1"/>
        <s v="22-04-2024" u="1"/>
        <s v="06-03-2024" u="1"/>
        <s v="05-01-2023" u="1"/>
        <s v="03-10-2024" u="1"/>
        <s v="30-05-2024" u="1"/>
        <s v="25-10-2023" u="1"/>
        <s v="08-11-2024" u="1"/>
        <s v="04-10-2023" u="1"/>
        <s v="01-05-2023" u="1"/>
        <s v="07-06-2024" u="1"/>
        <s v="31-10-2023" u="1"/>
        <s v="14-02-2024" u="1"/>
        <s v="26-10-2024" u="1"/>
        <s v="27-03-2024" u="1"/>
        <s v="25-11-2024" u="1"/>
      </sharedItems>
    </cacheField>
    <cacheField name="Customer Name" numFmtId="0">
      <sharedItems/>
    </cacheField>
    <cacheField name="City" numFmtId="0">
      <sharedItems count="16">
        <s v="Dwarka"/>
        <s v="New Delhi"/>
        <s v="Mysuru"/>
        <s v="Jaipur"/>
        <s v="Karol Bagh"/>
        <s v="Coimbatore"/>
        <s v="Hyderabad"/>
        <s v="Ahmedabad"/>
        <s v="Bengaluru"/>
        <s v="Patna"/>
        <s v="Pune"/>
        <s v="Chennai"/>
        <s v="Kolkata"/>
        <s v="Mumbai"/>
        <s v="Nagpur"/>
        <s v="Lucknow"/>
      </sharedItems>
    </cacheField>
    <cacheField name="State" numFmtId="0">
      <sharedItems/>
    </cacheField>
    <cacheField name="Region" numFmtId="0">
      <sharedItems count="4">
        <s v="North"/>
        <s v="South"/>
        <s v="West"/>
        <s v="East"/>
      </sharedItems>
    </cacheField>
    <cacheField name="Product Category" numFmtId="0">
      <sharedItems count="5">
        <s v="Home &amp; Kitchen"/>
        <s v="Apparel"/>
        <s v="Furniture"/>
        <s v="Electronics"/>
        <s v="Stationery"/>
      </sharedItems>
    </cacheField>
    <cacheField name="Product Name" numFmtId="0">
      <sharedItems count="23">
        <s v="Lunch Box"/>
        <s v="Jacket"/>
        <s v="Cap"/>
        <s v="Bookshelf"/>
        <s v="Storage Jar"/>
        <s v="Study Table"/>
        <s v="Socks"/>
        <s v="Water Bottle"/>
        <s v="Steel Plate"/>
        <s v="Office Chair"/>
        <s v="Earphones"/>
        <s v="Mouse"/>
        <s v="Power Bank"/>
        <s v="Keyboard"/>
        <s v="Sketch Pens"/>
        <s v="Pencil Box"/>
        <s v="Pen"/>
        <s v="USB Cable"/>
        <s v="T-Shirt"/>
        <s v="Ruler"/>
        <s v="Eraser"/>
        <s v="Highlighter"/>
        <s v="Notebook"/>
      </sharedItems>
    </cacheField>
    <cacheField name="Quantity" numFmtId="0">
      <sharedItems containsSemiMixedTypes="0" containsString="0" containsNumber="1" containsInteger="1" minValue="1" maxValue="25"/>
    </cacheField>
    <cacheField name="Price per Unit" numFmtId="164">
      <sharedItems containsSemiMixedTypes="0" containsString="0" containsNumber="1" minValue="20.260000000000002" maxValue="11993.42"/>
    </cacheField>
    <cacheField name="Sales Amount" numFmtId="164">
      <sharedItems containsSemiMixedTypes="0" containsString="0" containsNumber="1" minValue="81.64" maxValue="287191" count="600">
        <n v="2027.92"/>
        <n v="410.24"/>
        <n v="31102.67"/>
        <n v="89991.180000000008"/>
        <n v="1684.25"/>
        <n v="124784.28"/>
        <n v="46870.879999999997"/>
        <n v="9608.8700000000008"/>
        <n v="8425.0400000000009"/>
        <n v="5889.6"/>
        <n v="26979.840000000004"/>
        <n v="10047.619999999999"/>
        <n v="1555.29"/>
        <n v="132676.74"/>
        <n v="29555.52"/>
        <n v="31086.199999999997"/>
        <n v="8192.7999999999993"/>
        <n v="31363.920000000002"/>
        <n v="5782.4"/>
        <n v="31252.12"/>
        <n v="18327.75"/>
        <n v="45022.16"/>
        <n v="1447.98"/>
        <n v="13408.56"/>
        <n v="65219.25"/>
        <n v="10142.709999999999"/>
        <n v="13476.89"/>
        <n v="889.77"/>
        <n v="1006.56"/>
        <n v="12812.4"/>
        <n v="2164.8199999999997"/>
        <n v="3857.3600000000006"/>
        <n v="9939"/>
        <n v="42997.049999999996"/>
        <n v="5591.34"/>
        <n v="74051.81"/>
        <n v="3348.72"/>
        <n v="2506.5500000000002"/>
        <n v="1485.2"/>
        <n v="1030.53"/>
        <n v="13229.08"/>
        <n v="19125.960000000003"/>
        <n v="19531.82"/>
        <n v="18650.7"/>
        <n v="3433.8599999999997"/>
        <n v="4051.84"/>
        <n v="36556.080000000002"/>
        <n v="3666.64"/>
        <n v="18039.59"/>
        <n v="2393.13"/>
        <n v="24733.38"/>
        <n v="1156.8"/>
        <n v="3362.66"/>
        <n v="8238.5600000000013"/>
        <n v="13996.16"/>
        <n v="39863.32"/>
        <n v="692.54"/>
        <n v="2761.76"/>
        <n v="3490.74"/>
        <n v="363.38"/>
        <n v="3702.6"/>
        <n v="29222.13"/>
        <n v="11374.8"/>
        <n v="2127.1"/>
        <n v="73213.3"/>
        <n v="22669.47"/>
        <n v="13500.62"/>
        <n v="82364.92"/>
        <n v="3000.81"/>
        <n v="352.51"/>
        <n v="158435.34"/>
        <n v="41943.05"/>
        <n v="43912.98"/>
        <n v="1622.7"/>
        <n v="260789.03999999998"/>
        <n v="15829.949999999999"/>
        <n v="6835.5"/>
        <n v="3395.5199999999995"/>
        <n v="4707.18"/>
        <n v="71717.52"/>
        <n v="2574.56"/>
        <n v="221127.84"/>
        <n v="25236.68"/>
        <n v="17181.900000000001"/>
        <n v="4017.2699999999995"/>
        <n v="1877.0699999999997"/>
        <n v="287191"/>
        <n v="171933.59999999998"/>
        <n v="380.85"/>
        <n v="38547.360000000001"/>
        <n v="4598.88"/>
        <n v="372.98"/>
        <n v="47101.570000000007"/>
        <n v="18257.099999999999"/>
        <n v="13809.099999999999"/>
        <n v="3138.24"/>
        <n v="22916.67"/>
        <n v="82044.849999999991"/>
        <n v="159486"/>
        <n v="980.09999999999991"/>
        <n v="17426"/>
        <n v="1789.53"/>
        <n v="153033.26"/>
        <n v="23066.93"/>
        <n v="86860.65"/>
        <n v="41397.399999999994"/>
        <n v="6863.94"/>
        <n v="23320.170000000002"/>
        <n v="927.99"/>
        <n v="1225.8"/>
        <n v="12319.92"/>
        <n v="37794.020000000004"/>
        <n v="516.81000000000006"/>
        <n v="63310.090000000004"/>
        <n v="25056.6"/>
        <n v="105317.5"/>
        <n v="13360.25"/>
        <n v="12129.42"/>
        <n v="128681.60000000001"/>
        <n v="2568.36"/>
        <n v="69489"/>
        <n v="1927.1999999999998"/>
        <n v="130966.80000000002"/>
        <n v="4482.3"/>
        <n v="318.95"/>
        <n v="23297.5"/>
        <n v="11009.93"/>
        <n v="4984.76"/>
        <n v="72420.639999999999"/>
        <n v="45652.09"/>
        <n v="3503.92"/>
        <n v="30128.63"/>
        <n v="11718.04"/>
        <n v="9878.2199999999993"/>
        <n v="1046.9000000000001"/>
        <n v="64946.720000000001"/>
        <n v="45267.09"/>
        <n v="73190.27"/>
        <n v="4880.55"/>
        <n v="28136.7"/>
        <n v="2499.96"/>
        <n v="1233.22"/>
        <n v="188013.88"/>
        <n v="44464.480000000003"/>
        <n v="3782.79"/>
        <n v="15966.64"/>
        <n v="1235.76"/>
        <n v="351.77"/>
        <n v="1843.1"/>
        <n v="6633.9600000000009"/>
        <n v="19689.900000000001"/>
        <n v="16369.949999999999"/>
        <n v="4743.72"/>
        <n v="83953.94"/>
        <n v="90426.36"/>
        <n v="7442.25"/>
        <n v="19642.599999999999"/>
        <n v="48991.32"/>
        <n v="9434.64"/>
        <n v="13977.449999999999"/>
        <n v="54277.919999999998"/>
        <n v="47092.95"/>
        <n v="328.77"/>
        <n v="9863.4699999999993"/>
        <n v="2244.5"/>
        <n v="5483.55"/>
        <n v="2408.8000000000002"/>
        <n v="7412.65"/>
        <n v="19062.539999999997"/>
        <n v="11674.34"/>
        <n v="11089.539999999999"/>
        <n v="81663.19"/>
        <n v="3211.14"/>
        <n v="5765"/>
        <n v="2062.4"/>
        <n v="67304.160000000003"/>
        <n v="2772.88"/>
        <n v="37317.96"/>
        <n v="16231.499999999998"/>
        <n v="2138.67"/>
        <n v="8410.8700000000008"/>
        <n v="1150.3499999999999"/>
        <n v="78139.31"/>
        <n v="1460.04"/>
        <n v="46760.32"/>
        <n v="1942.6399999999999"/>
        <n v="30700.800000000003"/>
        <n v="2987.64"/>
        <n v="4223.6400000000003"/>
        <n v="4099.92"/>
        <n v="20704.8"/>
        <n v="14415.380000000001"/>
        <n v="483.77"/>
        <n v="6341.0999999999995"/>
        <n v="7986.51"/>
        <n v="32313.360000000001"/>
        <n v="1840.1399999999999"/>
        <n v="92392.3"/>
        <n v="5356.28"/>
        <n v="1115.92"/>
        <n v="19125.75"/>
        <n v="4861.92"/>
        <n v="20121.88"/>
        <n v="12160.62"/>
        <n v="17065.419999999998"/>
        <n v="387.16"/>
        <n v="14405.02"/>
        <n v="22886.11"/>
        <n v="38923.879999999997"/>
        <n v="27697.199999999997"/>
        <n v="854.64"/>
        <n v="40345.050000000003"/>
        <n v="2626.65"/>
        <n v="13062.84"/>
        <n v="4032.4800000000005"/>
        <n v="207349.74"/>
        <n v="4521.1499999999996"/>
        <n v="13782.58"/>
        <n v="134350.32"/>
        <n v="126321.49999999999"/>
        <n v="928.12"/>
        <n v="3308.58"/>
        <n v="3772.75"/>
        <n v="19208.420000000002"/>
        <n v="20297.04"/>
        <n v="2444.4"/>
        <n v="16115.32"/>
        <n v="16938.599999999999"/>
        <n v="74551.960000000006"/>
        <n v="72202.86"/>
        <n v="23601.9"/>
        <n v="13134.400000000001"/>
        <n v="23701.040000000001"/>
        <n v="47812.65"/>
        <n v="39246.720000000001"/>
        <n v="6915.28"/>
        <n v="1355.56"/>
        <n v="32274.1"/>
        <n v="11011.5"/>
        <n v="53023.200000000004"/>
        <n v="1430.28"/>
        <n v="3948.16"/>
        <n v="2872.24"/>
        <n v="58078.12"/>
        <n v="16349.08"/>
        <n v="4382.88"/>
        <n v="24022.199999999997"/>
        <n v="60124.38"/>
        <n v="1940.44"/>
        <n v="18464.22"/>
        <n v="9767.52"/>
        <n v="163405.35"/>
        <n v="85714.240000000005"/>
        <n v="109560.64"/>
        <n v="1382.1299999999999"/>
        <n v="8556.36"/>
        <n v="7230.78"/>
        <n v="257.06"/>
        <n v="22152.799999999999"/>
        <n v="8677.2000000000007"/>
        <n v="55970.200000000004"/>
        <n v="514"/>
        <n v="14253.12"/>
        <n v="42446.27"/>
        <n v="11546.55"/>
        <n v="3942.8900000000003"/>
        <n v="22546.68"/>
        <n v="1390.96"/>
        <n v="35717.199999999997"/>
        <n v="134067.22"/>
        <n v="9186.2999999999993"/>
        <n v="48439.75"/>
        <n v="677.84999999999991"/>
        <n v="1127.01"/>
        <n v="39209.599999999999"/>
        <n v="76238.399999999994"/>
        <n v="760.9"/>
        <n v="26642.600000000002"/>
        <n v="7881.28"/>
        <n v="48969.070000000007"/>
        <n v="86569.23000000001"/>
        <n v="134766.75"/>
        <n v="4330.6400000000003"/>
        <n v="4528.9399999999996"/>
        <n v="6576.0099999999993"/>
        <n v="27893.599999999999"/>
        <n v="25926.45"/>
        <n v="11428.800000000001"/>
        <n v="13589.500000000002"/>
        <n v="14081.52"/>
        <n v="28174.799999999999"/>
        <n v="80929.53"/>
        <n v="3815.99"/>
        <n v="45958.200000000004"/>
        <n v="5261.82"/>
        <n v="27402.43"/>
        <n v="10388.980000000001"/>
        <n v="3755.76"/>
        <n v="4178.96"/>
        <n v="1970.54"/>
        <n v="35896.559999999998"/>
        <n v="22769.78"/>
        <n v="79594.569999999992"/>
        <n v="18375.21"/>
        <n v="19616.849999999999"/>
        <n v="4981.0199999999995"/>
        <n v="11508.5"/>
        <n v="2255.89"/>
        <n v="52898.8"/>
        <n v="12195.75"/>
        <n v="211046.88"/>
        <n v="104211.36"/>
        <n v="4960.25"/>
        <n v="19691.64"/>
        <n v="461.16"/>
        <n v="17820.150000000001"/>
        <n v="16505.399999999998"/>
        <n v="81407.520000000004"/>
        <n v="7681.62"/>
        <n v="2674.62"/>
        <n v="12573.76"/>
        <n v="7407.1"/>
        <n v="1669.12"/>
        <n v="190274.37"/>
        <n v="6858.6"/>
        <n v="108461.20000000001"/>
        <n v="15195.249999999998"/>
        <n v="5540.7000000000007"/>
        <n v="4542.12"/>
        <n v="8001.76"/>
        <n v="99653.32"/>
        <n v="4938.7"/>
        <n v="3433.7999999999997"/>
        <n v="57931"/>
        <n v="70775.64"/>
        <n v="7152.7800000000007"/>
        <n v="6875.7499999999991"/>
        <n v="4863.2"/>
        <n v="5742.56"/>
        <n v="1598.88"/>
        <n v="21431.54"/>
        <n v="9727.2999999999993"/>
        <n v="17264"/>
        <n v="1424.78"/>
        <n v="3897.48"/>
        <n v="23244.15"/>
        <n v="30298.899999999998"/>
        <n v="16533.72"/>
        <n v="8925.18"/>
        <n v="1293.3"/>
        <n v="6082"/>
        <n v="51518.170000000006"/>
        <n v="5049.75"/>
        <n v="87785.279999999999"/>
        <n v="6338.9"/>
        <n v="4761.84"/>
        <n v="1437.56"/>
        <n v="2676.5"/>
        <n v="18699.04"/>
        <n v="194580.54"/>
        <n v="48086.399999999994"/>
        <n v="5695.7999999999993"/>
        <n v="82531.05"/>
        <n v="21473.399999999998"/>
        <n v="7088.23"/>
        <n v="35250.119999999995"/>
        <n v="7721.88"/>
        <n v="2429.96"/>
        <n v="64517.2"/>
        <n v="94943.81"/>
        <n v="3710.84"/>
        <n v="4328.96"/>
        <n v="2558.61"/>
        <n v="3372.85"/>
        <n v="1405.8000000000002"/>
        <n v="49001.149999999994"/>
        <n v="1514.9399999999998"/>
        <n v="8413.86"/>
        <n v="4260.34"/>
        <n v="11754"/>
        <n v="65518.11"/>
        <n v="378.32"/>
        <n v="273.63"/>
        <n v="463.47"/>
        <n v="58450.100000000006"/>
        <n v="18795.7"/>
        <n v="847.95"/>
        <n v="1491.72"/>
        <n v="23494.55"/>
        <n v="6310.48"/>
        <n v="22840.2"/>
        <n v="12779.58"/>
        <n v="8983.26"/>
        <n v="37903.86"/>
        <n v="42726.46"/>
        <n v="98274.54"/>
        <n v="178535.40000000002"/>
        <n v="3924.36"/>
        <n v="2159.12"/>
        <n v="19086.25"/>
        <n v="1712.48"/>
        <n v="82708.08"/>
        <n v="3440"/>
        <n v="13321.199999999999"/>
        <n v="2327.92"/>
        <n v="655.74"/>
        <n v="2240.2200000000003"/>
        <n v="13042.92"/>
        <n v="49751.519999999997"/>
        <n v="78158.92"/>
        <n v="4026.67"/>
        <n v="3380.25"/>
        <n v="17524.2"/>
        <n v="60265.5"/>
        <n v="3949.16"/>
        <n v="20542.47"/>
        <n v="130764.32"/>
        <n v="17322.7"/>
        <n v="4003.04"/>
        <n v="93825.919999999998"/>
        <n v="322.43"/>
        <n v="7515.72"/>
        <n v="6864.32"/>
        <n v="83248.55"/>
        <n v="1372.14"/>
        <n v="51363.600000000006"/>
        <n v="13950"/>
        <n v="22934.400000000001"/>
        <n v="33543.550000000003"/>
        <n v="95436"/>
        <n v="21702.880000000001"/>
        <n v="22822.17"/>
        <n v="1384.5"/>
        <n v="83715.83"/>
        <n v="3080.34"/>
        <n v="4715.2999999999993"/>
        <n v="419.06"/>
        <n v="3033.45"/>
        <n v="1824.03"/>
        <n v="1071.96"/>
        <n v="81.64"/>
        <n v="23935.49"/>
        <n v="3972.2200000000003"/>
        <n v="239101.19999999998"/>
        <n v="12360.529999999999"/>
        <n v="27050.799999999999"/>
        <n v="49313.4"/>
        <n v="49571.570000000007"/>
        <n v="20945.25"/>
        <n v="7761.82"/>
        <n v="43532.58"/>
        <n v="4199.5200000000004"/>
        <n v="2627.6"/>
        <n v="25534.5"/>
        <n v="245.91000000000003"/>
        <n v="20276.899999999998"/>
        <n v="1869.1999999999998"/>
        <n v="199790.85"/>
        <n v="16864.080000000002"/>
        <n v="41556"/>
        <n v="1432.85"/>
        <n v="5027.76"/>
        <n v="6086.16"/>
        <n v="89782.1"/>
        <n v="8555.94"/>
        <n v="3477.14"/>
        <n v="145110.94"/>
        <n v="12589.2"/>
        <n v="4315.12"/>
        <n v="3607.63"/>
        <n v="10843.56"/>
        <n v="31248.720000000001"/>
        <n v="70667.75"/>
        <n v="2729.5199999999995"/>
        <n v="3585.56"/>
        <n v="14843.5"/>
        <n v="2887.76"/>
        <n v="22794.27"/>
        <n v="829.73"/>
        <n v="12305.150000000001"/>
        <n v="18273.759999999998"/>
        <n v="10101.42"/>
        <n v="13353.25"/>
        <n v="1961.34"/>
        <n v="2505"/>
        <n v="15462.92"/>
        <n v="174630.48"/>
        <n v="403.51"/>
        <n v="178598.63999999998"/>
        <n v="285.45000000000005"/>
        <n v="732.16000000000008"/>
        <n v="21138"/>
        <n v="22381.8"/>
        <n v="44865.600000000006"/>
        <n v="34244.480000000003"/>
        <n v="226565.85"/>
        <n v="78440.28"/>
        <n v="10641.960000000001"/>
        <n v="10918.08"/>
        <n v="2456.08"/>
        <n v="22561.56"/>
        <n v="34574.639999999999"/>
        <n v="36185.120000000003"/>
        <n v="995.7"/>
        <n v="324.16000000000003"/>
        <n v="1820.61"/>
        <n v="5899.85"/>
        <n v="7790.9699999999993"/>
        <n v="36620.43"/>
        <n v="8692.02"/>
        <n v="76606.099999999991"/>
        <n v="35633.729999999996"/>
        <n v="102587.1"/>
        <n v="55454.84"/>
        <n v="6899.92"/>
        <n v="2424.7600000000002"/>
        <n v="86799"/>
        <n v="8512.02"/>
        <n v="726.48"/>
        <n v="445.26"/>
        <n v="47261.04"/>
        <n v="2731.89"/>
        <n v="1644.08"/>
        <n v="2551.08"/>
        <n v="882.94"/>
        <n v="97412"/>
        <n v="3010.68"/>
        <n v="2137.7600000000002"/>
        <n v="4637.3"/>
        <n v="18717.5"/>
        <n v="25579.439999999999"/>
        <n v="16936.349999999999"/>
        <n v="1285.3499999999999"/>
        <n v="6420.68"/>
        <n v="11296.53"/>
        <n v="13559.94"/>
        <n v="5905.48"/>
        <n v="37246.199999999997"/>
        <n v="17548.3"/>
        <n v="120099.84"/>
        <n v="3900.3500000000004"/>
        <n v="91875.34"/>
        <n v="1381.6"/>
        <n v="39894.479999999996"/>
        <n v="6770.2599999999993"/>
        <n v="269.58"/>
        <n v="5615.07"/>
        <n v="5502.75"/>
        <n v="9122.8799999999992"/>
        <n v="11814.2"/>
        <n v="8314.74"/>
        <n v="163.80000000000001"/>
        <n v="21152.159999999996"/>
        <n v="69690.81"/>
        <n v="44597"/>
        <n v="62189.85"/>
        <n v="1096.3"/>
        <n v="2723.52"/>
        <n v="1854.44"/>
        <n v="3072"/>
        <n v="120063.97"/>
        <n v="15138.2"/>
        <n v="7016.9400000000005"/>
        <n v="39913.279999999999"/>
        <n v="25405.919999999998"/>
        <n v="15545.099999999999"/>
        <n v="46887.19"/>
        <n v="14711.7"/>
        <n v="3676.5499999999997"/>
        <n v="8777.4500000000007"/>
        <n v="51733.200000000004"/>
        <n v="19832.61"/>
        <n v="1724.04"/>
        <n v="1401.98"/>
        <n v="1064.8999999999999"/>
        <n v="2368.14"/>
        <n v="25493.449999999997"/>
        <n v="953.78"/>
        <n v="3312.76"/>
        <n v="23883"/>
        <n v="713.48"/>
        <n v="18288.5"/>
        <n v="33824.28"/>
        <n v="153799.84999999998"/>
        <n v="1759.9399999999998"/>
        <n v="2764.1000000000004"/>
        <n v="12230"/>
        <n v="9532.4"/>
        <n v="17812.95"/>
        <n v="2113.02"/>
        <n v="9989.92"/>
        <n v="37823.279999999999"/>
        <n v="1351.32"/>
        <n v="158383.04000000001"/>
        <n v="3253.5"/>
        <n v="36026.119999999995"/>
        <n v="43278.96"/>
        <n v="875.02"/>
        <n v="11590.32"/>
        <n v="195599.69999999998"/>
      </sharedItems>
    </cacheField>
  </cacheFields>
  <extLst>
    <ext xmlns:x14="http://schemas.microsoft.com/office/spreadsheetml/2009/9/main" uri="{725AE2AE-9491-48be-B2B4-4EB974FC3084}">
      <x14:pivotCacheDefinition pivotCacheId="130863666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refreshedDate="46251.442313425927" backgroundQuery="1" createdVersion="8" refreshedVersion="8" minRefreshableVersion="3" recordCount="0" supportSubquery="1" supportAdvancedDrill="1" xr:uid="{1C1198E3-2331-4CAE-AFB8-81979864A3EE}">
  <cacheSource type="external" connectionId="1"/>
  <cacheFields count="4">
    <cacheField name="[Range].[Sale Date (Year)].[Sale Date (Year)]" caption="Sale Date (Year)" numFmtId="0" hierarchy="10" level="1">
      <sharedItems count="2">
        <s v="2023"/>
        <s v="2024"/>
      </sharedItems>
    </cacheField>
    <cacheField name="[Measures].[Sum of Sales Amount]" caption="Sum of Sales Amount" numFmtId="0" hierarchy="16" level="32767"/>
    <cacheField name="[Range].[Sale Date (Month)].[Sale Date (Month)]" caption="Sale Date (Month)" numFmtId="0" hierarchy="12" level="1">
      <sharedItems count="12">
        <s v="Jan"/>
        <s v="Feb"/>
        <s v="Mar"/>
        <s v="Apr"/>
        <s v="May"/>
        <s v="Jun"/>
        <s v="Jul"/>
        <s v="Aug"/>
        <s v="Sep"/>
        <s v="Oct"/>
        <s v="Nov"/>
        <s v="Dec"/>
      </sharedItems>
    </cacheField>
    <cacheField name="[Range].[Sale Date].[Sale Date]" caption="Sale Date" numFmtId="0" level="1">
      <sharedItems containsSemiMixedTypes="0" containsNonDate="0" containsString="0"/>
    </cacheField>
  </cacheFields>
  <cacheHierarchies count="17">
    <cacheHierarchy uniqueName="[Range].[Sale Date]" caption="Sale Date" attribute="1" time="1" defaultMemberUniqueName="[Range].[Sale Date].[All]" allUniqueName="[Range].[Sale Date].[All]" dimensionUniqueName="[Range]" displayFolder="" count="2" memberValueDatatype="7" unbalanced="0">
      <fieldsUsage count="2">
        <fieldUsage x="-1"/>
        <fieldUsage x="3"/>
      </fieldsUsage>
    </cacheHierarchy>
    <cacheHierarchy uniqueName="[Range].[Customer Name]" caption="Customer Name" attribute="1" defaultMemberUniqueName="[Range].[Customer Name].[All]" allUniqueName="[Range].[Customer Nam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Price per Unit]" caption="Price per Unit" attribute="1" defaultMemberUniqueName="[Range].[Price per Unit].[All]" allUniqueName="[Range].[Price per Unit].[All]" dimensionUniqueName="[Range]" displayFolder="" count="2" memberValueDatatype="5" unbalanced="0"/>
    <cacheHierarchy uniqueName="[Range].[Sales Amount]" caption="Sales Amount" attribute="1" defaultMemberUniqueName="[Range].[Sales Amount].[All]" allUniqueName="[Range].[Sales Amount].[All]" dimensionUniqueName="[Range]" displayFolder="" count="2" memberValueDatatype="5" unbalanced="0"/>
    <cacheHierarchy uniqueName="[Range].[Sale Date (Year)]" caption="Sale Date (Year)" attribute="1" defaultMemberUniqueName="[Range].[Sale Date (Year)].[All]" allUniqueName="[Range].[Sale Date (Year)].[All]" dimensionUniqueName="[Range]" displayFolder="" count="2" memberValueDatatype="130" unbalanced="0">
      <fieldsUsage count="2">
        <fieldUsage x="-1"/>
        <fieldUsage x="0"/>
      </fieldsUsage>
    </cacheHierarchy>
    <cacheHierarchy uniqueName="[Range].[Sale Date (Quarter)]" caption="Sale Date (Quarter)" attribute="1" defaultMemberUniqueName="[Range].[Sale Date (Quarter)].[All]" allUniqueName="[Range].[Sale Date (Quarter)].[All]" dimensionUniqueName="[Range]" displayFolder="" count="2" memberValueDatatype="130" unbalanced="0"/>
    <cacheHierarchy uniqueName="[Range].[Sale Date (Month)]" caption="Sale Date (Month)" attribute="1" defaultMemberUniqueName="[Range].[Sale Date (Month)].[All]" allUniqueName="[Range].[Sale Date (Month)].[All]" dimensionUniqueName="[Range]" displayFolder="" count="2" memberValueDatatype="130" unbalanced="0">
      <fieldsUsage count="2">
        <fieldUsage x="-1"/>
        <fieldUsage x="2"/>
      </fieldsUsage>
    </cacheHierarchy>
    <cacheHierarchy uniqueName="[Range].[Sale Date (Month Index)]" caption="Sale Date (Month Index)" attribute="1" defaultMemberUniqueName="[Range].[Sale Date (Month Index)].[All]" allUniqueName="[Range].[Sale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VYA" refreshedDate="46251.437866435183" backgroundQuery="1" createdVersion="3" refreshedVersion="8" minRefreshableVersion="3" recordCount="0" supportSubquery="1" supportAdvancedDrill="1" xr:uid="{18D22EBC-2FD7-4FAB-BB9D-6384F9C0709F}">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Sale Date]" caption="Sale Date" attribute="1" time="1" defaultMemberUniqueName="[Range].[Sale Date].[All]" allUniqueName="[Range].[Sale Date].[All]" dimensionUniqueName="[Range]" displayFolder="" count="2" memberValueDatatype="7"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Sales Amount]" caption="Sales Amount" attribute="1" defaultMemberUniqueName="[Range].[Sales Amount].[All]" allUniqueName="[Range].[Sales Amount].[All]" dimensionUniqueName="[Range]" displayFolder="" count="0" memberValueDatatype="5" unbalanced="0"/>
    <cacheHierarchy uniqueName="[Range].[Sale Date (Year)]" caption="Sale Date (Year)" attribute="1" defaultMemberUniqueName="[Range].[Sale Date (Year)].[All]" allUniqueName="[Range].[Sale Date (Year)].[All]" dimensionUniqueName="[Range]" displayFolder="" count="0" memberValueDatatype="130" unbalanced="0"/>
    <cacheHierarchy uniqueName="[Range].[Sale Date (Quarter)]" caption="Sale Date (Quarter)" attribute="1" defaultMemberUniqueName="[Range].[Sale Date (Quarter)].[All]" allUniqueName="[Range].[Sale Date (Quarter)].[All]" dimensionUniqueName="[Range]" displayFolder="" count="0" memberValueDatatype="130" unbalanced="0"/>
    <cacheHierarchy uniqueName="[Range].[Sale Date (Month)]" caption="Sale Date (Month)" attribute="1" defaultMemberUniqueName="[Range].[Sale Date (Month)].[All]" allUniqueName="[Range].[Sale Date (Month)].[All]" dimensionUniqueName="[Range]" displayFolder="" count="0" memberValueDatatype="130" unbalanced="0"/>
    <cacheHierarchy uniqueName="[Range].[Sale Date (Month Index)]" caption="Sale Date (Month Index)" attribute="1" defaultMemberUniqueName="[Range].[Sale Date (Month Index)].[All]" allUniqueName="[Range].[Sal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2032682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Delhi"/>
    <x v="0"/>
    <x v="0"/>
    <s v="Lunch Box"/>
    <n v="8"/>
    <n v="253.49"/>
    <n v="2027.92"/>
  </r>
  <r>
    <s v="Delhi"/>
    <x v="0"/>
    <x v="1"/>
    <s v="Jacket"/>
    <n v="2"/>
    <n v="205.12"/>
    <n v="410.24"/>
  </r>
  <r>
    <s v="Delhi"/>
    <x v="0"/>
    <x v="1"/>
    <s v="Cap"/>
    <n v="23"/>
    <n v="1352.29"/>
    <n v="31102.67"/>
  </r>
  <r>
    <s v="Karnataka"/>
    <x v="1"/>
    <x v="2"/>
    <s v="Bookshelf"/>
    <n v="9"/>
    <n v="9999.02"/>
    <n v="89991.180000000008"/>
  </r>
  <r>
    <s v="Rajasthan"/>
    <x v="0"/>
    <x v="0"/>
    <s v="Storage Jar"/>
    <n v="5"/>
    <n v="336.85"/>
    <n v="1684.25"/>
  </r>
  <r>
    <s v="Delhi"/>
    <x v="0"/>
    <x v="2"/>
    <s v="Study Table"/>
    <n v="12"/>
    <n v="10398.69"/>
    <n v="124784.28"/>
  </r>
  <r>
    <s v="Delhi"/>
    <x v="0"/>
    <x v="2"/>
    <s v="Bookshelf"/>
    <n v="4"/>
    <n v="11717.72"/>
    <n v="46870.879999999997"/>
  </r>
  <r>
    <s v="Tamil Nadu"/>
    <x v="1"/>
    <x v="1"/>
    <s v="Socks"/>
    <n v="19"/>
    <n v="505.73"/>
    <n v="9608.8700000000008"/>
  </r>
  <r>
    <s v="Karnataka"/>
    <x v="1"/>
    <x v="0"/>
    <s v="Water Bottle"/>
    <n v="8"/>
    <n v="1053.1300000000001"/>
    <n v="8425.0400000000009"/>
  </r>
  <r>
    <s v="Telangana"/>
    <x v="1"/>
    <x v="0"/>
    <s v="Lunch Box"/>
    <n v="12"/>
    <n v="490.8"/>
    <n v="5889.6"/>
  </r>
  <r>
    <s v="Delhi"/>
    <x v="0"/>
    <x v="1"/>
    <s v="Cap"/>
    <n v="18"/>
    <n v="1498.88"/>
    <n v="26979.840000000004"/>
  </r>
  <r>
    <s v="Gujarat"/>
    <x v="2"/>
    <x v="0"/>
    <s v="Lunch Box"/>
    <n v="22"/>
    <n v="456.71"/>
    <n v="10047.619999999999"/>
  </r>
  <r>
    <s v="Delhi"/>
    <x v="0"/>
    <x v="0"/>
    <s v="Steel Plate"/>
    <n v="9"/>
    <n v="172.81"/>
    <n v="1555.29"/>
  </r>
  <r>
    <s v="Karnataka"/>
    <x v="1"/>
    <x v="2"/>
    <s v="Office Chair"/>
    <n v="21"/>
    <n v="6317.94"/>
    <n v="132676.74"/>
  </r>
  <r>
    <s v="Karnataka"/>
    <x v="1"/>
    <x v="1"/>
    <s v="Socks"/>
    <n v="24"/>
    <n v="1231.48"/>
    <n v="29555.52"/>
  </r>
  <r>
    <s v="Bihar"/>
    <x v="3"/>
    <x v="3"/>
    <s v="Earphones"/>
    <n v="17"/>
    <n v="1828.6"/>
    <n v="31086.199999999997"/>
  </r>
  <r>
    <s v="Maharashtra"/>
    <x v="2"/>
    <x v="3"/>
    <s v="Mouse"/>
    <n v="20"/>
    <n v="409.64"/>
    <n v="8192.7999999999993"/>
  </r>
  <r>
    <s v="Telangana"/>
    <x v="1"/>
    <x v="1"/>
    <s v="Socks"/>
    <n v="18"/>
    <n v="1742.44"/>
    <n v="31363.920000000002"/>
  </r>
  <r>
    <s v="Tamil Nadu"/>
    <x v="1"/>
    <x v="0"/>
    <s v="Water Bottle"/>
    <n v="10"/>
    <n v="578.24"/>
    <n v="5782.4"/>
  </r>
  <r>
    <s v="Tamil Nadu"/>
    <x v="1"/>
    <x v="1"/>
    <s v="Cap"/>
    <n v="17"/>
    <n v="1838.36"/>
    <n v="31252.12"/>
  </r>
  <r>
    <s v="Karnataka"/>
    <x v="1"/>
    <x v="3"/>
    <s v="Power Bank"/>
    <n v="25"/>
    <n v="733.11"/>
    <n v="18327.75"/>
  </r>
  <r>
    <s v="West Bengal"/>
    <x v="3"/>
    <x v="2"/>
    <s v="Study Table"/>
    <n v="4"/>
    <n v="11255.54"/>
    <n v="45022.16"/>
  </r>
  <r>
    <s v="Delhi"/>
    <x v="0"/>
    <x v="3"/>
    <s v="Keyboard"/>
    <n v="3"/>
    <n v="482.66"/>
    <n v="1447.98"/>
  </r>
  <r>
    <s v="Maharashtra"/>
    <x v="2"/>
    <x v="3"/>
    <s v="Mouse"/>
    <n v="18"/>
    <n v="744.92"/>
    <n v="13408.56"/>
  </r>
  <r>
    <s v="Rajasthan"/>
    <x v="0"/>
    <x v="3"/>
    <s v="Keyboard"/>
    <n v="25"/>
    <n v="2608.77"/>
    <n v="65219.25"/>
  </r>
  <r>
    <s v="Gujarat"/>
    <x v="2"/>
    <x v="0"/>
    <s v="Steel Plate"/>
    <n v="17"/>
    <n v="596.63"/>
    <n v="10142.709999999999"/>
  </r>
  <r>
    <s v="Delhi"/>
    <x v="0"/>
    <x v="0"/>
    <s v="Water Bottle"/>
    <n v="19"/>
    <n v="709.31"/>
    <n v="13476.89"/>
  </r>
  <r>
    <s v="Delhi"/>
    <x v="0"/>
    <x v="4"/>
    <s v="Sketch Pens"/>
    <n v="21"/>
    <n v="42.37"/>
    <n v="889.77"/>
  </r>
  <r>
    <s v="West Bengal"/>
    <x v="3"/>
    <x v="4"/>
    <s v="Pencil Box"/>
    <n v="8"/>
    <n v="125.82"/>
    <n v="1006.56"/>
  </r>
  <r>
    <s v="Maharashtra"/>
    <x v="2"/>
    <x v="1"/>
    <s v="Jacket"/>
    <n v="8"/>
    <n v="1601.55"/>
    <n v="12812.4"/>
  </r>
  <r>
    <s v="Maharashtra"/>
    <x v="2"/>
    <x v="4"/>
    <s v="Sketch Pens"/>
    <n v="14"/>
    <n v="154.63"/>
    <n v="2164.8199999999997"/>
  </r>
  <r>
    <s v="Delhi"/>
    <x v="0"/>
    <x v="4"/>
    <s v="Pen"/>
    <n v="13"/>
    <n v="296.72000000000003"/>
    <n v="3857.3600000000006"/>
  </r>
  <r>
    <s v="Karnataka"/>
    <x v="1"/>
    <x v="3"/>
    <s v="Keyboard"/>
    <n v="15"/>
    <n v="662.6"/>
    <n v="9939"/>
  </r>
  <r>
    <s v="Telangana"/>
    <x v="1"/>
    <x v="3"/>
    <s v="USB Cable"/>
    <n v="15"/>
    <n v="2866.47"/>
    <n v="42997.049999999996"/>
  </r>
  <r>
    <s v="Delhi"/>
    <x v="0"/>
    <x v="1"/>
    <s v="T-Shirt"/>
    <n v="3"/>
    <n v="1863.78"/>
    <n v="5591.34"/>
  </r>
  <r>
    <s v="Rajasthan"/>
    <x v="0"/>
    <x v="2"/>
    <s v="Office Chair"/>
    <n v="7"/>
    <n v="10578.83"/>
    <n v="74051.81"/>
  </r>
  <r>
    <s v="Gujarat"/>
    <x v="2"/>
    <x v="4"/>
    <s v="Ruler"/>
    <n v="9"/>
    <n v="372.08"/>
    <n v="3348.72"/>
  </r>
  <r>
    <s v="Rajasthan"/>
    <x v="0"/>
    <x v="1"/>
    <s v="Jacket"/>
    <n v="5"/>
    <n v="501.31"/>
    <n v="2506.5500000000002"/>
  </r>
  <r>
    <s v="Delhi"/>
    <x v="0"/>
    <x v="0"/>
    <s v="Water Bottle"/>
    <n v="2"/>
    <n v="742.6"/>
    <n v="1485.2"/>
  </r>
  <r>
    <s v="Maharashtra"/>
    <x v="2"/>
    <x v="4"/>
    <s v="Pencil Box"/>
    <n v="3"/>
    <n v="343.51"/>
    <n v="1030.53"/>
  </r>
  <r>
    <s v="Delhi"/>
    <x v="0"/>
    <x v="3"/>
    <s v="Mouse"/>
    <n v="4"/>
    <n v="3307.27"/>
    <n v="13229.08"/>
  </r>
  <r>
    <s v="Delhi"/>
    <x v="0"/>
    <x v="1"/>
    <s v="T-Shirt"/>
    <n v="14"/>
    <n v="1366.14"/>
    <n v="19125.960000000003"/>
  </r>
  <r>
    <s v="West Bengal"/>
    <x v="3"/>
    <x v="0"/>
    <s v="Lunch Box"/>
    <n v="22"/>
    <n v="887.81"/>
    <n v="19531.82"/>
  </r>
  <r>
    <s v="Gujarat"/>
    <x v="2"/>
    <x v="3"/>
    <s v="Power Bank"/>
    <n v="15"/>
    <n v="1243.3800000000001"/>
    <n v="18650.7"/>
  </r>
  <r>
    <s v="Telangana"/>
    <x v="1"/>
    <x v="1"/>
    <s v="T-Shirt"/>
    <n v="3"/>
    <n v="1144.6199999999999"/>
    <n v="3433.8599999999997"/>
  </r>
  <r>
    <s v="Maharashtra"/>
    <x v="2"/>
    <x v="0"/>
    <s v="Water Bottle"/>
    <n v="8"/>
    <n v="506.48"/>
    <n v="4051.84"/>
  </r>
  <r>
    <s v="Tamil Nadu"/>
    <x v="1"/>
    <x v="1"/>
    <s v="T-Shirt"/>
    <n v="22"/>
    <n v="1661.64"/>
    <n v="36556.080000000002"/>
  </r>
  <r>
    <s v="Maharashtra"/>
    <x v="2"/>
    <x v="0"/>
    <s v="Water Bottle"/>
    <n v="4"/>
    <n v="916.66"/>
    <n v="3666.64"/>
  </r>
  <r>
    <s v="Tamil Nadu"/>
    <x v="1"/>
    <x v="1"/>
    <s v="Cap"/>
    <n v="23"/>
    <n v="784.33"/>
    <n v="18039.59"/>
  </r>
  <r>
    <s v="Uttar Pradesh"/>
    <x v="0"/>
    <x v="0"/>
    <s v="Water Bottle"/>
    <n v="3"/>
    <n v="797.71"/>
    <n v="2393.13"/>
  </r>
  <r>
    <s v="Delhi"/>
    <x v="0"/>
    <x v="0"/>
    <s v="Lunch Box"/>
    <n v="21"/>
    <n v="1177.78"/>
    <n v="24733.38"/>
  </r>
  <r>
    <s v="Rajasthan"/>
    <x v="0"/>
    <x v="1"/>
    <s v="T-Shirt"/>
    <n v="4"/>
    <n v="289.2"/>
    <n v="1156.8"/>
  </r>
  <r>
    <s v="Delhi"/>
    <x v="0"/>
    <x v="0"/>
    <s v="Lunch Box"/>
    <n v="14"/>
    <n v="240.19"/>
    <n v="3362.66"/>
  </r>
  <r>
    <s v="Delhi"/>
    <x v="0"/>
    <x v="0"/>
    <s v="Lunch Box"/>
    <n v="22"/>
    <n v="374.48"/>
    <n v="8238.5600000000013"/>
  </r>
  <r>
    <s v="Rajasthan"/>
    <x v="0"/>
    <x v="1"/>
    <s v="Cap"/>
    <n v="8"/>
    <n v="1749.52"/>
    <n v="13996.16"/>
  </r>
  <r>
    <s v="Delhi"/>
    <x v="0"/>
    <x v="3"/>
    <s v="Power Bank"/>
    <n v="14"/>
    <n v="2847.38"/>
    <n v="39863.32"/>
  </r>
  <r>
    <s v="Maharashtra"/>
    <x v="2"/>
    <x v="4"/>
    <s v="Ruler"/>
    <n v="2"/>
    <n v="346.27"/>
    <n v="692.54"/>
  </r>
  <r>
    <s v="Telangana"/>
    <x v="1"/>
    <x v="0"/>
    <s v="Storage Jar"/>
    <n v="8"/>
    <n v="345.22"/>
    <n v="2761.76"/>
  </r>
  <r>
    <s v="Gujarat"/>
    <x v="2"/>
    <x v="0"/>
    <s v="Storage Jar"/>
    <n v="3"/>
    <n v="1163.58"/>
    <n v="3490.74"/>
  </r>
  <r>
    <s v="Gujarat"/>
    <x v="2"/>
    <x v="1"/>
    <s v="Socks"/>
    <n v="1"/>
    <n v="363.38"/>
    <n v="363.38"/>
  </r>
  <r>
    <s v="Tamil Nadu"/>
    <x v="1"/>
    <x v="4"/>
    <s v="Pen"/>
    <n v="20"/>
    <n v="185.13"/>
    <n v="3702.6"/>
  </r>
  <r>
    <s v="Maharashtra"/>
    <x v="2"/>
    <x v="2"/>
    <s v="Bookshelf"/>
    <n v="7"/>
    <n v="4174.59"/>
    <n v="29222.13"/>
  </r>
  <r>
    <s v="Delhi"/>
    <x v="0"/>
    <x v="1"/>
    <s v="Cap"/>
    <n v="12"/>
    <n v="947.9"/>
    <n v="11374.8"/>
  </r>
  <r>
    <s v="West Bengal"/>
    <x v="3"/>
    <x v="4"/>
    <s v="Sketch Pens"/>
    <n v="10"/>
    <n v="212.71"/>
    <n v="2127.1"/>
  </r>
  <r>
    <s v="West Bengal"/>
    <x v="3"/>
    <x v="2"/>
    <s v="Bookshelf"/>
    <n v="10"/>
    <n v="7321.33"/>
    <n v="73213.3"/>
  </r>
  <r>
    <s v="Gujarat"/>
    <x v="2"/>
    <x v="3"/>
    <s v="Keyboard"/>
    <n v="19"/>
    <n v="1193.1300000000001"/>
    <n v="22669.47"/>
  </r>
  <r>
    <s v="Tamil Nadu"/>
    <x v="1"/>
    <x v="0"/>
    <s v="Lunch Box"/>
    <n v="14"/>
    <n v="964.33"/>
    <n v="13500.62"/>
  </r>
  <r>
    <s v="Telangana"/>
    <x v="1"/>
    <x v="2"/>
    <s v="Office Chair"/>
    <n v="22"/>
    <n v="3743.86"/>
    <n v="82364.92"/>
  </r>
  <r>
    <s v="Delhi"/>
    <x v="0"/>
    <x v="0"/>
    <s v="Storage Jar"/>
    <n v="3"/>
    <n v="1000.27"/>
    <n v="3000.81"/>
  </r>
  <r>
    <s v="Karnataka"/>
    <x v="1"/>
    <x v="3"/>
    <s v="Earphones"/>
    <n v="1"/>
    <n v="352.51"/>
    <n v="352.51"/>
  </r>
  <r>
    <s v="Delhi"/>
    <x v="0"/>
    <x v="2"/>
    <s v="Office Chair"/>
    <n v="21"/>
    <n v="7544.54"/>
    <n v="158435.34"/>
  </r>
  <r>
    <s v="Uttar Pradesh"/>
    <x v="0"/>
    <x v="2"/>
    <s v="Study Table"/>
    <n v="5"/>
    <n v="8388.61"/>
    <n v="41943.05"/>
  </r>
  <r>
    <s v="Rajasthan"/>
    <x v="0"/>
    <x v="3"/>
    <s v="Earphones"/>
    <n v="23"/>
    <n v="1909.26"/>
    <n v="43912.98"/>
  </r>
  <r>
    <s v="Karnataka"/>
    <x v="1"/>
    <x v="4"/>
    <s v="Ruler"/>
    <n v="5"/>
    <n v="324.54000000000002"/>
    <n v="1622.7"/>
  </r>
  <r>
    <s v="West Bengal"/>
    <x v="3"/>
    <x v="2"/>
    <s v="Bookshelf"/>
    <n v="24"/>
    <n v="10866.21"/>
    <n v="260789.03999999998"/>
  </r>
  <r>
    <s v="Telangana"/>
    <x v="1"/>
    <x v="3"/>
    <s v="Mouse"/>
    <n v="15"/>
    <n v="1055.33"/>
    <n v="15829.949999999999"/>
  </r>
  <r>
    <s v="Uttar Pradesh"/>
    <x v="0"/>
    <x v="3"/>
    <s v="Power Bank"/>
    <n v="15"/>
    <n v="455.7"/>
    <n v="6835.5"/>
  </r>
  <r>
    <s v="Tamil Nadu"/>
    <x v="1"/>
    <x v="0"/>
    <s v="Storage Jar"/>
    <n v="18"/>
    <n v="188.64"/>
    <n v="3395.5199999999995"/>
  </r>
  <r>
    <s v="Gujarat"/>
    <x v="2"/>
    <x v="3"/>
    <s v="Earphones"/>
    <n v="3"/>
    <n v="1569.06"/>
    <n v="4707.18"/>
  </r>
  <r>
    <s v="Telangana"/>
    <x v="1"/>
    <x v="2"/>
    <s v="Study Table"/>
    <n v="7"/>
    <n v="10245.36"/>
    <n v="71717.52"/>
  </r>
  <r>
    <s v="Delhi"/>
    <x v="0"/>
    <x v="1"/>
    <s v="Jacket"/>
    <n v="16"/>
    <n v="160.91"/>
    <n v="2574.56"/>
  </r>
  <r>
    <s v="Gujarat"/>
    <x v="2"/>
    <x v="2"/>
    <s v="Bookshelf"/>
    <n v="24"/>
    <n v="9213.66"/>
    <n v="221127.84"/>
  </r>
  <r>
    <s v="Uttar Pradesh"/>
    <x v="0"/>
    <x v="3"/>
    <s v="Power Bank"/>
    <n v="14"/>
    <n v="1802.62"/>
    <n v="25236.68"/>
  </r>
  <r>
    <s v="Gujarat"/>
    <x v="2"/>
    <x v="3"/>
    <s v="Mouse"/>
    <n v="5"/>
    <n v="3436.38"/>
    <n v="17181.900000000001"/>
  </r>
  <r>
    <s v="Gujarat"/>
    <x v="2"/>
    <x v="1"/>
    <s v="T-Shirt"/>
    <n v="3"/>
    <n v="1339.09"/>
    <n v="4017.2699999999995"/>
  </r>
  <r>
    <s v="Maharashtra"/>
    <x v="2"/>
    <x v="4"/>
    <s v="Eraser"/>
    <n v="13"/>
    <n v="144.38999999999999"/>
    <n v="1877.0699999999997"/>
  </r>
  <r>
    <s v="West Bengal"/>
    <x v="3"/>
    <x v="2"/>
    <s v="Office Chair"/>
    <n v="25"/>
    <n v="11487.64"/>
    <n v="287191"/>
  </r>
  <r>
    <s v="Delhi"/>
    <x v="0"/>
    <x v="2"/>
    <s v="Study Table"/>
    <n v="24"/>
    <n v="7163.9"/>
    <n v="171933.59999999998"/>
  </r>
  <r>
    <s v="Delhi"/>
    <x v="0"/>
    <x v="4"/>
    <s v="Highlighter"/>
    <n v="1"/>
    <n v="380.85"/>
    <n v="380.85"/>
  </r>
  <r>
    <s v="Maharashtra"/>
    <x v="2"/>
    <x v="3"/>
    <s v="Earphones"/>
    <n v="16"/>
    <n v="2409.21"/>
    <n v="38547.360000000001"/>
  </r>
  <r>
    <s v="Telangana"/>
    <x v="1"/>
    <x v="0"/>
    <s v="Storage Jar"/>
    <n v="6"/>
    <n v="766.48"/>
    <n v="4598.88"/>
  </r>
  <r>
    <s v="Tamil Nadu"/>
    <x v="1"/>
    <x v="4"/>
    <s v="Pencil Box"/>
    <n v="1"/>
    <n v="372.98"/>
    <n v="372.98"/>
  </r>
  <r>
    <s v="Gujarat"/>
    <x v="2"/>
    <x v="3"/>
    <s v="USB Cable"/>
    <n v="19"/>
    <n v="2479.0300000000002"/>
    <n v="47101.570000000007"/>
  </r>
  <r>
    <s v="Maharashtra"/>
    <x v="2"/>
    <x v="0"/>
    <s v="Water Bottle"/>
    <n v="19"/>
    <n v="960.9"/>
    <n v="18257.099999999999"/>
  </r>
  <r>
    <s v="Rajasthan"/>
    <x v="0"/>
    <x v="0"/>
    <s v="Water Bottle"/>
    <n v="17"/>
    <n v="812.3"/>
    <n v="13809.099999999999"/>
  </r>
  <r>
    <s v="Uttar Pradesh"/>
    <x v="0"/>
    <x v="4"/>
    <s v="Ruler"/>
    <n v="12"/>
    <n v="261.52"/>
    <n v="3138.24"/>
  </r>
  <r>
    <s v="Rajasthan"/>
    <x v="0"/>
    <x v="3"/>
    <s v="Keyboard"/>
    <n v="21"/>
    <n v="1091.27"/>
    <n v="22916.67"/>
  </r>
  <r>
    <s v="Telangana"/>
    <x v="1"/>
    <x v="2"/>
    <s v="Bookshelf"/>
    <n v="19"/>
    <n v="4318.1499999999996"/>
    <n v="82044.849999999991"/>
  </r>
  <r>
    <s v="Tamil Nadu"/>
    <x v="1"/>
    <x v="2"/>
    <s v="Study Table"/>
    <n v="25"/>
    <n v="6379.44"/>
    <n v="159486"/>
  </r>
  <r>
    <s v="West Bengal"/>
    <x v="3"/>
    <x v="4"/>
    <s v="Ruler"/>
    <n v="11"/>
    <n v="89.1"/>
    <n v="980.09999999999991"/>
  </r>
  <r>
    <s v="Tamil Nadu"/>
    <x v="1"/>
    <x v="0"/>
    <s v="Storage Jar"/>
    <n v="20"/>
    <n v="871.3"/>
    <n v="17426"/>
  </r>
  <r>
    <s v="Delhi"/>
    <x v="0"/>
    <x v="1"/>
    <s v="Cap"/>
    <n v="3"/>
    <n v="596.51"/>
    <n v="1789.53"/>
  </r>
  <r>
    <s v="Karnataka"/>
    <x v="1"/>
    <x v="2"/>
    <s v="Bookshelf"/>
    <n v="23"/>
    <n v="6653.62"/>
    <n v="153033.26"/>
  </r>
  <r>
    <s v="Tamil Nadu"/>
    <x v="1"/>
    <x v="3"/>
    <s v="Mouse"/>
    <n v="23"/>
    <n v="1002.91"/>
    <n v="23066.93"/>
  </r>
  <r>
    <s v="Bihar"/>
    <x v="3"/>
    <x v="2"/>
    <s v="Bookshelf"/>
    <n v="17"/>
    <n v="5109.45"/>
    <n v="86860.65"/>
  </r>
  <r>
    <s v="Bihar"/>
    <x v="3"/>
    <x v="2"/>
    <s v="Office Chair"/>
    <n v="10"/>
    <n v="4139.74"/>
    <n v="41397.399999999994"/>
  </r>
  <r>
    <s v="West Bengal"/>
    <x v="3"/>
    <x v="4"/>
    <s v="Sketch Pens"/>
    <n v="18"/>
    <n v="381.33"/>
    <n v="6863.94"/>
  </r>
  <r>
    <s v="Karnataka"/>
    <x v="1"/>
    <x v="3"/>
    <s v="Mouse"/>
    <n v="9"/>
    <n v="2591.13"/>
    <n v="23320.170000000002"/>
  </r>
  <r>
    <s v="Tamil Nadu"/>
    <x v="1"/>
    <x v="4"/>
    <s v="Highlighter"/>
    <n v="7"/>
    <n v="132.57"/>
    <n v="927.99"/>
  </r>
  <r>
    <s v="Tamil Nadu"/>
    <x v="1"/>
    <x v="4"/>
    <s v="Sketch Pens"/>
    <n v="18"/>
    <n v="68.099999999999994"/>
    <n v="1225.8"/>
  </r>
  <r>
    <s v="Tamil Nadu"/>
    <x v="1"/>
    <x v="3"/>
    <s v="Mouse"/>
    <n v="4"/>
    <n v="3079.98"/>
    <n v="12319.92"/>
  </r>
  <r>
    <s v="Uttar Pradesh"/>
    <x v="0"/>
    <x v="2"/>
    <s v="Office Chair"/>
    <n v="11"/>
    <n v="3435.82"/>
    <n v="37794.020000000004"/>
  </r>
  <r>
    <s v="Uttar Pradesh"/>
    <x v="0"/>
    <x v="4"/>
    <s v="Highlighter"/>
    <n v="3"/>
    <n v="172.27"/>
    <n v="516.81000000000006"/>
  </r>
  <r>
    <s v="Delhi"/>
    <x v="0"/>
    <x v="3"/>
    <s v="Earphones"/>
    <n v="19"/>
    <n v="3332.11"/>
    <n v="63310.090000000004"/>
  </r>
  <r>
    <s v="Maharashtra"/>
    <x v="2"/>
    <x v="1"/>
    <s v="Jacket"/>
    <n v="20"/>
    <n v="1252.83"/>
    <n v="25056.6"/>
  </r>
  <r>
    <s v="Gujarat"/>
    <x v="2"/>
    <x v="2"/>
    <s v="Office Chair"/>
    <n v="10"/>
    <n v="10531.75"/>
    <n v="105317.5"/>
  </r>
  <r>
    <s v="Delhi"/>
    <x v="0"/>
    <x v="1"/>
    <s v="T-Shirt"/>
    <n v="25"/>
    <n v="534.41"/>
    <n v="13360.25"/>
  </r>
  <r>
    <s v="Delhi"/>
    <x v="0"/>
    <x v="3"/>
    <s v="Earphones"/>
    <n v="6"/>
    <n v="2021.57"/>
    <n v="12129.42"/>
  </r>
  <r>
    <s v="Rajasthan"/>
    <x v="0"/>
    <x v="2"/>
    <s v="Bookshelf"/>
    <n v="20"/>
    <n v="6434.08"/>
    <n v="128681.60000000001"/>
  </r>
  <r>
    <s v="Tamil Nadu"/>
    <x v="1"/>
    <x v="0"/>
    <s v="Steel Plate"/>
    <n v="3"/>
    <n v="856.12"/>
    <n v="2568.36"/>
  </r>
  <r>
    <s v="Karnataka"/>
    <x v="1"/>
    <x v="2"/>
    <s v="Study Table"/>
    <n v="18"/>
    <n v="3860.5"/>
    <n v="69489"/>
  </r>
  <r>
    <s v="Maharashtra"/>
    <x v="2"/>
    <x v="4"/>
    <s v="Pen"/>
    <n v="6"/>
    <n v="321.2"/>
    <n v="1927.1999999999998"/>
  </r>
  <r>
    <s v="Tamil Nadu"/>
    <x v="1"/>
    <x v="2"/>
    <s v="Study Table"/>
    <n v="15"/>
    <n v="8731.1200000000008"/>
    <n v="130966.80000000002"/>
  </r>
  <r>
    <s v="Tamil Nadu"/>
    <x v="1"/>
    <x v="1"/>
    <s v="Jacket"/>
    <n v="15"/>
    <n v="298.82"/>
    <n v="4482.3"/>
  </r>
  <r>
    <s v="West Bengal"/>
    <x v="3"/>
    <x v="1"/>
    <s v="Socks"/>
    <n v="1"/>
    <n v="318.95"/>
    <n v="318.95"/>
  </r>
  <r>
    <s v="Delhi"/>
    <x v="0"/>
    <x v="0"/>
    <s v="Water Bottle"/>
    <n v="25"/>
    <n v="931.9"/>
    <n v="23297.5"/>
  </r>
  <r>
    <s v="Telangana"/>
    <x v="1"/>
    <x v="0"/>
    <s v="Lunch Box"/>
    <n v="19"/>
    <n v="579.47"/>
    <n v="11009.93"/>
  </r>
  <r>
    <s v="Uttar Pradesh"/>
    <x v="0"/>
    <x v="0"/>
    <s v="Steel Plate"/>
    <n v="11"/>
    <n v="453.16"/>
    <n v="4984.76"/>
  </r>
  <r>
    <s v="West Bengal"/>
    <x v="3"/>
    <x v="2"/>
    <s v="Bookshelf"/>
    <n v="16"/>
    <n v="4526.29"/>
    <n v="72420.639999999999"/>
  </r>
  <r>
    <s v="Delhi"/>
    <x v="0"/>
    <x v="2"/>
    <s v="Study Table"/>
    <n v="11"/>
    <n v="4150.1899999999996"/>
    <n v="45652.09"/>
  </r>
  <r>
    <s v="Delhi"/>
    <x v="0"/>
    <x v="1"/>
    <s v="Jacket"/>
    <n v="14"/>
    <n v="250.28"/>
    <n v="3503.92"/>
  </r>
  <r>
    <s v="Uttar Pradesh"/>
    <x v="0"/>
    <x v="2"/>
    <s v="Study Table"/>
    <n v="7"/>
    <n v="4304.09"/>
    <n v="30128.63"/>
  </r>
  <r>
    <s v="Telangana"/>
    <x v="1"/>
    <x v="2"/>
    <s v="Study Table"/>
    <n v="1"/>
    <n v="11718.04"/>
    <n v="11718.04"/>
  </r>
  <r>
    <s v="Maharashtra"/>
    <x v="2"/>
    <x v="0"/>
    <s v="Water Bottle"/>
    <n v="18"/>
    <n v="548.79"/>
    <n v="9878.2199999999993"/>
  </r>
  <r>
    <s v="Telangana"/>
    <x v="1"/>
    <x v="4"/>
    <s v="Sketch Pens"/>
    <n v="5"/>
    <n v="209.38"/>
    <n v="1046.9000000000001"/>
  </r>
  <r>
    <s v="Tamil Nadu"/>
    <x v="1"/>
    <x v="2"/>
    <s v="Office Chair"/>
    <n v="16"/>
    <n v="4059.17"/>
    <n v="64946.720000000001"/>
  </r>
  <r>
    <s v="Gujarat"/>
    <x v="2"/>
    <x v="3"/>
    <s v="Keyboard"/>
    <n v="17"/>
    <n v="2662.77"/>
    <n v="45267.09"/>
  </r>
  <r>
    <s v="Tamil Nadu"/>
    <x v="1"/>
    <x v="2"/>
    <s v="Office Chair"/>
    <n v="17"/>
    <n v="4305.3100000000004"/>
    <n v="73190.27"/>
  </r>
  <r>
    <s v="Tamil Nadu"/>
    <x v="1"/>
    <x v="1"/>
    <s v="Jacket"/>
    <n v="5"/>
    <n v="976.11"/>
    <n v="4880.55"/>
  </r>
  <r>
    <s v="West Bengal"/>
    <x v="3"/>
    <x v="1"/>
    <s v="Jacket"/>
    <n v="15"/>
    <n v="1875.78"/>
    <n v="28136.7"/>
  </r>
  <r>
    <s v="Gujarat"/>
    <x v="2"/>
    <x v="3"/>
    <s v="Mouse"/>
    <n v="2"/>
    <n v="1249.98"/>
    <n v="2499.96"/>
  </r>
  <r>
    <s v="Gujarat"/>
    <x v="2"/>
    <x v="3"/>
    <s v="Mouse"/>
    <n v="2"/>
    <n v="616.61"/>
    <n v="1233.22"/>
  </r>
  <r>
    <s v="Maharashtra"/>
    <x v="2"/>
    <x v="2"/>
    <s v="Study Table"/>
    <n v="17"/>
    <n v="11059.64"/>
    <n v="188013.88"/>
  </r>
  <r>
    <s v="Rajasthan"/>
    <x v="0"/>
    <x v="3"/>
    <s v="USB Cable"/>
    <n v="16"/>
    <n v="2779.03"/>
    <n v="44464.480000000003"/>
  </r>
  <r>
    <s v="Gujarat"/>
    <x v="2"/>
    <x v="4"/>
    <s v="Highlighter"/>
    <n v="11"/>
    <n v="343.89"/>
    <n v="3782.79"/>
  </r>
  <r>
    <s v="West Bengal"/>
    <x v="3"/>
    <x v="2"/>
    <s v="Bookshelf"/>
    <n v="2"/>
    <n v="7983.32"/>
    <n v="15966.64"/>
  </r>
  <r>
    <s v="Karnataka"/>
    <x v="1"/>
    <x v="4"/>
    <s v="Ruler"/>
    <n v="4"/>
    <n v="308.94"/>
    <n v="1235.76"/>
  </r>
  <r>
    <s v="Telangana"/>
    <x v="1"/>
    <x v="3"/>
    <s v="Power Bank"/>
    <n v="1"/>
    <n v="351.77"/>
    <n v="351.77"/>
  </r>
  <r>
    <s v="Bihar"/>
    <x v="3"/>
    <x v="0"/>
    <s v="Steel Plate"/>
    <n v="5"/>
    <n v="368.62"/>
    <n v="1843.1"/>
  </r>
  <r>
    <s v="Maharashtra"/>
    <x v="2"/>
    <x v="3"/>
    <s v="Earphones"/>
    <n v="3"/>
    <n v="2211.3200000000002"/>
    <n v="6633.9600000000009"/>
  </r>
  <r>
    <s v="Karnataka"/>
    <x v="1"/>
    <x v="2"/>
    <s v="Bookshelf"/>
    <n v="5"/>
    <n v="3937.98"/>
    <n v="19689.900000000001"/>
  </r>
  <r>
    <s v="Telangana"/>
    <x v="1"/>
    <x v="0"/>
    <s v="Water Bottle"/>
    <n v="15"/>
    <n v="1091.33"/>
    <n v="16369.949999999999"/>
  </r>
  <r>
    <s v="Maharashtra"/>
    <x v="2"/>
    <x v="4"/>
    <s v="Ruler"/>
    <n v="12"/>
    <n v="395.31"/>
    <n v="4743.72"/>
  </r>
  <r>
    <s v="Tamil Nadu"/>
    <x v="1"/>
    <x v="2"/>
    <s v="Office Chair"/>
    <n v="7"/>
    <n v="11993.42"/>
    <n v="83953.94"/>
  </r>
  <r>
    <s v="Karnataka"/>
    <x v="1"/>
    <x v="2"/>
    <s v="Bookshelf"/>
    <n v="12"/>
    <n v="7535.53"/>
    <n v="90426.36"/>
  </r>
  <r>
    <s v="Delhi"/>
    <x v="0"/>
    <x v="2"/>
    <s v="Office Chair"/>
    <n v="1"/>
    <n v="7442.25"/>
    <n v="7442.25"/>
  </r>
  <r>
    <s v="Uttar Pradesh"/>
    <x v="0"/>
    <x v="0"/>
    <s v="Lunch Box"/>
    <n v="20"/>
    <n v="982.13"/>
    <n v="19642.599999999999"/>
  </r>
  <r>
    <s v="Tamil Nadu"/>
    <x v="1"/>
    <x v="3"/>
    <s v="USB Cable"/>
    <n v="21"/>
    <n v="2332.92"/>
    <n v="48991.32"/>
  </r>
  <r>
    <s v="Delhi"/>
    <x v="0"/>
    <x v="1"/>
    <s v="Socks"/>
    <n v="24"/>
    <n v="393.11"/>
    <n v="9434.64"/>
  </r>
  <r>
    <s v="Rajasthan"/>
    <x v="0"/>
    <x v="3"/>
    <s v="Earphones"/>
    <n v="5"/>
    <n v="2795.49"/>
    <n v="13977.449999999999"/>
  </r>
  <r>
    <s v="Tamil Nadu"/>
    <x v="1"/>
    <x v="3"/>
    <s v="Power Bank"/>
    <n v="16"/>
    <n v="3392.37"/>
    <n v="54277.919999999998"/>
  </r>
  <r>
    <s v="Maharashtra"/>
    <x v="2"/>
    <x v="2"/>
    <s v="Study Table"/>
    <n v="5"/>
    <n v="9418.59"/>
    <n v="47092.95"/>
  </r>
  <r>
    <s v="Bihar"/>
    <x v="3"/>
    <x v="4"/>
    <s v="Highlighter"/>
    <n v="13"/>
    <n v="25.29"/>
    <n v="328.77"/>
  </r>
  <r>
    <s v="Telangana"/>
    <x v="1"/>
    <x v="0"/>
    <s v="Storage Jar"/>
    <n v="19"/>
    <n v="519.13"/>
    <n v="9863.4699999999993"/>
  </r>
  <r>
    <s v="Maharashtra"/>
    <x v="2"/>
    <x v="3"/>
    <s v="Mouse"/>
    <n v="1"/>
    <n v="2244.5"/>
    <n v="2244.5"/>
  </r>
  <r>
    <s v="Karnataka"/>
    <x v="1"/>
    <x v="4"/>
    <s v="Sketch Pens"/>
    <n v="15"/>
    <n v="365.57"/>
    <n v="5483.55"/>
  </r>
  <r>
    <s v="Maharashtra"/>
    <x v="2"/>
    <x v="3"/>
    <s v="USB Cable"/>
    <n v="2"/>
    <n v="1204.4000000000001"/>
    <n v="2408.8000000000002"/>
  </r>
  <r>
    <s v="Maharashtra"/>
    <x v="2"/>
    <x v="3"/>
    <s v="Keyboard"/>
    <n v="5"/>
    <n v="1482.53"/>
    <n v="7412.65"/>
  </r>
  <r>
    <s v="Rajasthan"/>
    <x v="0"/>
    <x v="1"/>
    <s v="Cap"/>
    <n v="14"/>
    <n v="1361.61"/>
    <n v="19062.539999999997"/>
  </r>
  <r>
    <s v="Rajasthan"/>
    <x v="0"/>
    <x v="0"/>
    <s v="Water Bottle"/>
    <n v="23"/>
    <n v="507.58"/>
    <n v="11674.34"/>
  </r>
  <r>
    <s v="Karnataka"/>
    <x v="1"/>
    <x v="0"/>
    <s v="Water Bottle"/>
    <n v="22"/>
    <n v="504.07"/>
    <n v="11089.539999999999"/>
  </r>
  <r>
    <s v="Delhi"/>
    <x v="0"/>
    <x v="2"/>
    <s v="Office Chair"/>
    <n v="7"/>
    <n v="11666.17"/>
    <n v="81663.19"/>
  </r>
  <r>
    <s v="Karnataka"/>
    <x v="1"/>
    <x v="1"/>
    <s v="T-Shirt"/>
    <n v="2"/>
    <n v="1605.57"/>
    <n v="3211.14"/>
  </r>
  <r>
    <s v="Karnataka"/>
    <x v="1"/>
    <x v="4"/>
    <s v="Highlighter"/>
    <n v="25"/>
    <n v="230.6"/>
    <n v="5765"/>
  </r>
  <r>
    <s v="Karnataka"/>
    <x v="1"/>
    <x v="0"/>
    <s v="Lunch Box"/>
    <n v="20"/>
    <n v="103.12"/>
    <n v="2062.4"/>
  </r>
  <r>
    <s v="Tamil Nadu"/>
    <x v="1"/>
    <x v="3"/>
    <s v="USB Cable"/>
    <n v="22"/>
    <n v="3059.28"/>
    <n v="67304.160000000003"/>
  </r>
  <r>
    <s v="Bihar"/>
    <x v="3"/>
    <x v="3"/>
    <s v="Keyboard"/>
    <n v="11"/>
    <n v="252.08"/>
    <n v="2772.88"/>
  </r>
  <r>
    <s v="Maharashtra"/>
    <x v="2"/>
    <x v="2"/>
    <s v="Bookshelf"/>
    <n v="4"/>
    <n v="9329.49"/>
    <n v="37317.96"/>
  </r>
  <r>
    <s v="Bihar"/>
    <x v="3"/>
    <x v="1"/>
    <s v="T-Shirt"/>
    <n v="15"/>
    <n v="1082.0999999999999"/>
    <n v="16231.499999999998"/>
  </r>
  <r>
    <s v="Tamil Nadu"/>
    <x v="1"/>
    <x v="2"/>
    <s v="Bookshelf"/>
    <n v="1"/>
    <n v="2138.67"/>
    <n v="2138.67"/>
  </r>
  <r>
    <s v="Rajasthan"/>
    <x v="0"/>
    <x v="4"/>
    <s v="Ruler"/>
    <n v="23"/>
    <n v="365.69"/>
    <n v="8410.8700000000008"/>
  </r>
  <r>
    <s v="West Bengal"/>
    <x v="3"/>
    <x v="1"/>
    <s v="Cap"/>
    <n v="3"/>
    <n v="383.45"/>
    <n v="1150.3499999999999"/>
  </r>
  <r>
    <s v="West Bengal"/>
    <x v="3"/>
    <x v="2"/>
    <s v="Bookshelf"/>
    <n v="17"/>
    <n v="4596.43"/>
    <n v="78139.31"/>
  </r>
  <r>
    <s v="Rajasthan"/>
    <x v="0"/>
    <x v="4"/>
    <s v="Highlighter"/>
    <n v="23"/>
    <n v="63.48"/>
    <n v="1460.04"/>
  </r>
  <r>
    <s v="Karnataka"/>
    <x v="1"/>
    <x v="2"/>
    <s v="Office Chair"/>
    <n v="8"/>
    <n v="5845.04"/>
    <n v="46760.32"/>
  </r>
  <r>
    <s v="Rajasthan"/>
    <x v="0"/>
    <x v="4"/>
    <s v="Eraser"/>
    <n v="14"/>
    <n v="138.76"/>
    <n v="1942.6399999999999"/>
  </r>
  <r>
    <s v="Maharashtra"/>
    <x v="2"/>
    <x v="2"/>
    <s v="Study Table"/>
    <n v="3"/>
    <n v="10233.6"/>
    <n v="30700.800000000003"/>
  </r>
  <r>
    <s v="Maharashtra"/>
    <x v="2"/>
    <x v="0"/>
    <s v="Lunch Box"/>
    <n v="18"/>
    <n v="165.98"/>
    <n v="2987.64"/>
  </r>
  <r>
    <s v="West Bengal"/>
    <x v="3"/>
    <x v="4"/>
    <s v="Ruler"/>
    <n v="12"/>
    <n v="351.97"/>
    <n v="4223.6400000000003"/>
  </r>
  <r>
    <s v="Tamil Nadu"/>
    <x v="1"/>
    <x v="1"/>
    <s v="Socks"/>
    <n v="12"/>
    <n v="341.66"/>
    <n v="4099.92"/>
  </r>
  <r>
    <s v="Maharashtra"/>
    <x v="2"/>
    <x v="2"/>
    <s v="Study Table"/>
    <n v="4"/>
    <n v="5176.2"/>
    <n v="20704.8"/>
  </r>
  <r>
    <s v="Maharashtra"/>
    <x v="2"/>
    <x v="0"/>
    <s v="Lunch Box"/>
    <n v="14"/>
    <n v="1029.67"/>
    <n v="14415.380000000001"/>
  </r>
  <r>
    <s v="Delhi"/>
    <x v="0"/>
    <x v="1"/>
    <s v="Socks"/>
    <n v="1"/>
    <n v="483.77"/>
    <n v="483.77"/>
  </r>
  <r>
    <s v="West Bengal"/>
    <x v="3"/>
    <x v="0"/>
    <s v="Water Bottle"/>
    <n v="6"/>
    <n v="1056.8499999999999"/>
    <n v="6341.0999999999995"/>
  </r>
  <r>
    <s v="Delhi"/>
    <x v="0"/>
    <x v="3"/>
    <s v="USB Cable"/>
    <n v="3"/>
    <n v="2662.17"/>
    <n v="7986.51"/>
  </r>
  <r>
    <s v="Rajasthan"/>
    <x v="0"/>
    <x v="2"/>
    <s v="Office Chair"/>
    <n v="6"/>
    <n v="5385.56"/>
    <n v="32313.360000000001"/>
  </r>
  <r>
    <s v="Delhi"/>
    <x v="0"/>
    <x v="4"/>
    <s v="Notebook"/>
    <n v="6"/>
    <n v="306.69"/>
    <n v="1840.1399999999999"/>
  </r>
  <r>
    <s v="Tamil Nadu"/>
    <x v="1"/>
    <x v="2"/>
    <s v="Bookshelf"/>
    <n v="14"/>
    <n v="6599.45"/>
    <n v="92392.3"/>
  </r>
  <r>
    <s v="Tamil Nadu"/>
    <x v="1"/>
    <x v="3"/>
    <s v="Keyboard"/>
    <n v="4"/>
    <n v="1339.07"/>
    <n v="5356.28"/>
  </r>
  <r>
    <s v="Uttar Pradesh"/>
    <x v="0"/>
    <x v="1"/>
    <s v="Socks"/>
    <n v="2"/>
    <n v="557.96"/>
    <n v="1115.92"/>
  </r>
  <r>
    <s v="Delhi"/>
    <x v="0"/>
    <x v="3"/>
    <s v="Power Bank"/>
    <n v="7"/>
    <n v="2732.25"/>
    <n v="19125.75"/>
  </r>
  <r>
    <s v="West Bengal"/>
    <x v="3"/>
    <x v="4"/>
    <s v="Pen"/>
    <n v="16"/>
    <n v="303.87"/>
    <n v="4861.92"/>
  </r>
  <r>
    <s v="Gujarat"/>
    <x v="2"/>
    <x v="1"/>
    <s v="Cap"/>
    <n v="17"/>
    <n v="1183.6400000000001"/>
    <n v="20121.88"/>
  </r>
  <r>
    <s v="Delhi"/>
    <x v="0"/>
    <x v="2"/>
    <s v="Bookshelf"/>
    <n v="2"/>
    <n v="6080.31"/>
    <n v="12160.62"/>
  </r>
  <r>
    <s v="West Bengal"/>
    <x v="3"/>
    <x v="1"/>
    <s v="Jacket"/>
    <n v="19"/>
    <n v="898.18"/>
    <n v="17065.419999999998"/>
  </r>
  <r>
    <s v="Tamil Nadu"/>
    <x v="1"/>
    <x v="4"/>
    <s v="Ruler"/>
    <n v="1"/>
    <n v="387.16"/>
    <n v="387.16"/>
  </r>
  <r>
    <s v="Telangana"/>
    <x v="1"/>
    <x v="0"/>
    <s v="Water Bottle"/>
    <n v="14"/>
    <n v="1028.93"/>
    <n v="14405.02"/>
  </r>
  <r>
    <s v="Gujarat"/>
    <x v="2"/>
    <x v="1"/>
    <s v="T-Shirt"/>
    <n v="13"/>
    <n v="1760.47"/>
    <n v="22886.11"/>
  </r>
  <r>
    <s v="West Bengal"/>
    <x v="3"/>
    <x v="3"/>
    <s v="USB Cable"/>
    <n v="17"/>
    <n v="2289.64"/>
    <n v="38923.879999999997"/>
  </r>
  <r>
    <s v="Karnataka"/>
    <x v="1"/>
    <x v="0"/>
    <s v="Storage Jar"/>
    <n v="24"/>
    <n v="1154.05"/>
    <n v="27697.199999999997"/>
  </r>
  <r>
    <s v="Karnataka"/>
    <x v="1"/>
    <x v="4"/>
    <s v="Notebook"/>
    <n v="9"/>
    <n v="94.96"/>
    <n v="854.64"/>
  </r>
  <r>
    <s v="Delhi"/>
    <x v="0"/>
    <x v="3"/>
    <s v="Mouse"/>
    <n v="15"/>
    <n v="2689.67"/>
    <n v="40345.050000000003"/>
  </r>
  <r>
    <s v="West Bengal"/>
    <x v="3"/>
    <x v="0"/>
    <s v="Lunch Box"/>
    <n v="15"/>
    <n v="175.11"/>
    <n v="2626.65"/>
  </r>
  <r>
    <s v="Tamil Nadu"/>
    <x v="1"/>
    <x v="1"/>
    <s v="T-Shirt"/>
    <n v="12"/>
    <n v="1088.57"/>
    <n v="13062.84"/>
  </r>
  <r>
    <s v="Telangana"/>
    <x v="1"/>
    <x v="4"/>
    <s v="Pen"/>
    <n v="12"/>
    <n v="336.04"/>
    <n v="4032.4800000000005"/>
  </r>
  <r>
    <s v="Gujarat"/>
    <x v="2"/>
    <x v="2"/>
    <s v="Bookshelf"/>
    <n v="18"/>
    <n v="11519.43"/>
    <n v="207349.74"/>
  </r>
  <r>
    <s v="Karnataka"/>
    <x v="1"/>
    <x v="0"/>
    <s v="Steel Plate"/>
    <n v="17"/>
    <n v="265.95"/>
    <n v="4521.1499999999996"/>
  </r>
  <r>
    <s v="Maharashtra"/>
    <x v="2"/>
    <x v="0"/>
    <s v="Water Bottle"/>
    <n v="17"/>
    <n v="810.74"/>
    <n v="13782.58"/>
  </r>
  <r>
    <s v="Telangana"/>
    <x v="1"/>
    <x v="2"/>
    <s v="Bookshelf"/>
    <n v="17"/>
    <n v="7902.96"/>
    <n v="134350.32"/>
  </r>
  <r>
    <s v="Tamil Nadu"/>
    <x v="1"/>
    <x v="2"/>
    <s v="Office Chair"/>
    <n v="25"/>
    <n v="5052.8599999999997"/>
    <n v="126321.49999999999"/>
  </r>
  <r>
    <s v="West Bengal"/>
    <x v="3"/>
    <x v="4"/>
    <s v="Eraser"/>
    <n v="4"/>
    <n v="232.03"/>
    <n v="928.12"/>
  </r>
  <r>
    <s v="Tamil Nadu"/>
    <x v="1"/>
    <x v="1"/>
    <s v="Cap"/>
    <n v="11"/>
    <n v="300.77999999999997"/>
    <n v="3308.58"/>
  </r>
  <r>
    <s v="Bihar"/>
    <x v="3"/>
    <x v="0"/>
    <s v="Steel Plate"/>
    <n v="5"/>
    <n v="754.55"/>
    <n v="3772.75"/>
  </r>
  <r>
    <s v="Gujarat"/>
    <x v="2"/>
    <x v="0"/>
    <s v="Lunch Box"/>
    <n v="22"/>
    <n v="873.11"/>
    <n v="19208.420000000002"/>
  </r>
  <r>
    <s v="Delhi"/>
    <x v="0"/>
    <x v="2"/>
    <s v="Bookshelf"/>
    <n v="12"/>
    <n v="1691.42"/>
    <n v="20297.04"/>
  </r>
  <r>
    <s v="Karnataka"/>
    <x v="1"/>
    <x v="0"/>
    <s v="Steel Plate"/>
    <n v="7"/>
    <n v="349.2"/>
    <n v="2444.4"/>
  </r>
  <r>
    <s v="Delhi"/>
    <x v="0"/>
    <x v="0"/>
    <s v="Water Bottle"/>
    <n v="17"/>
    <n v="947.96"/>
    <n v="16115.32"/>
  </r>
  <r>
    <s v="West Bengal"/>
    <x v="3"/>
    <x v="1"/>
    <s v="Cap"/>
    <n v="20"/>
    <n v="846.93"/>
    <n v="16938.599999999999"/>
  </r>
  <r>
    <s v="Maharashtra"/>
    <x v="2"/>
    <x v="2"/>
    <s v="Study Table"/>
    <n v="14"/>
    <n v="5325.14"/>
    <n v="74551.960000000006"/>
  </r>
  <r>
    <s v="Tamil Nadu"/>
    <x v="1"/>
    <x v="2"/>
    <s v="Study Table"/>
    <n v="18"/>
    <n v="4011.27"/>
    <n v="72202.86"/>
  </r>
  <r>
    <s v="Bihar"/>
    <x v="3"/>
    <x v="1"/>
    <s v="Jacket"/>
    <n v="15"/>
    <n v="1573.46"/>
    <n v="23601.9"/>
  </r>
  <r>
    <s v="Rajasthan"/>
    <x v="0"/>
    <x v="3"/>
    <s v="Earphones"/>
    <n v="20"/>
    <n v="656.72"/>
    <n v="13134.400000000001"/>
  </r>
  <r>
    <s v="Uttar Pradesh"/>
    <x v="0"/>
    <x v="0"/>
    <s v="Water Bottle"/>
    <n v="23"/>
    <n v="1030.48"/>
    <n v="23701.040000000001"/>
  </r>
  <r>
    <s v="Delhi"/>
    <x v="0"/>
    <x v="3"/>
    <s v="Power Bank"/>
    <n v="15"/>
    <n v="3187.51"/>
    <n v="47812.65"/>
  </r>
  <r>
    <s v="Delhi"/>
    <x v="0"/>
    <x v="3"/>
    <s v="Mouse"/>
    <n v="12"/>
    <n v="3270.56"/>
    <n v="39246.720000000001"/>
  </r>
  <r>
    <s v="Gujarat"/>
    <x v="2"/>
    <x v="1"/>
    <s v="Socks"/>
    <n v="8"/>
    <n v="864.41"/>
    <n v="6915.28"/>
  </r>
  <r>
    <s v="Karnataka"/>
    <x v="1"/>
    <x v="4"/>
    <s v="Eraser"/>
    <n v="4"/>
    <n v="338.89"/>
    <n v="1355.56"/>
  </r>
  <r>
    <s v="Maharashtra"/>
    <x v="2"/>
    <x v="3"/>
    <s v="USB Cable"/>
    <n v="10"/>
    <n v="3227.41"/>
    <n v="32274.1"/>
  </r>
  <r>
    <s v="Uttar Pradesh"/>
    <x v="0"/>
    <x v="2"/>
    <s v="Bookshelf"/>
    <n v="1"/>
    <n v="11011.5"/>
    <n v="11011.5"/>
  </r>
  <r>
    <s v="Karnataka"/>
    <x v="1"/>
    <x v="3"/>
    <s v="Keyboard"/>
    <n v="24"/>
    <n v="2209.3000000000002"/>
    <n v="53023.200000000004"/>
  </r>
  <r>
    <s v="Tamil Nadu"/>
    <x v="1"/>
    <x v="3"/>
    <s v="Power Bank"/>
    <n v="4"/>
    <n v="357.57"/>
    <n v="1430.28"/>
  </r>
  <r>
    <s v="Telangana"/>
    <x v="1"/>
    <x v="4"/>
    <s v="Pen"/>
    <n v="16"/>
    <n v="246.76"/>
    <n v="3948.16"/>
  </r>
  <r>
    <s v="Karnataka"/>
    <x v="1"/>
    <x v="3"/>
    <s v="Power Bank"/>
    <n v="14"/>
    <n v="205.16"/>
    <n v="2872.24"/>
  </r>
  <r>
    <s v="Rajasthan"/>
    <x v="0"/>
    <x v="3"/>
    <s v="USB Cable"/>
    <n v="17"/>
    <n v="3416.36"/>
    <n v="58078.12"/>
  </r>
  <r>
    <s v="Delhi"/>
    <x v="0"/>
    <x v="2"/>
    <s v="Office Chair"/>
    <n v="2"/>
    <n v="8174.54"/>
    <n v="16349.08"/>
  </r>
  <r>
    <s v="Delhi"/>
    <x v="0"/>
    <x v="0"/>
    <s v="Water Bottle"/>
    <n v="12"/>
    <n v="365.24"/>
    <n v="4382.88"/>
  </r>
  <r>
    <s v="West Bengal"/>
    <x v="3"/>
    <x v="3"/>
    <s v="USB Cable"/>
    <n v="12"/>
    <n v="2001.85"/>
    <n v="24022.199999999997"/>
  </r>
  <r>
    <s v="Telangana"/>
    <x v="1"/>
    <x v="2"/>
    <s v="Bookshelf"/>
    <n v="6"/>
    <n v="10020.73"/>
    <n v="60124.38"/>
  </r>
  <r>
    <s v="Delhi"/>
    <x v="0"/>
    <x v="0"/>
    <s v="Lunch Box"/>
    <n v="2"/>
    <n v="970.22"/>
    <n v="1940.44"/>
  </r>
  <r>
    <s v="Tamil Nadu"/>
    <x v="1"/>
    <x v="1"/>
    <s v="Jacket"/>
    <n v="18"/>
    <n v="1025.79"/>
    <n v="18464.22"/>
  </r>
  <r>
    <s v="Tamil Nadu"/>
    <x v="1"/>
    <x v="0"/>
    <s v="Water Bottle"/>
    <n v="21"/>
    <n v="465.12"/>
    <n v="9767.52"/>
  </r>
  <r>
    <s v="Rajasthan"/>
    <x v="0"/>
    <x v="2"/>
    <s v="Bookshelf"/>
    <n v="15"/>
    <n v="10893.69"/>
    <n v="163405.35"/>
  </r>
  <r>
    <s v="Maharashtra"/>
    <x v="2"/>
    <x v="2"/>
    <s v="Bookshelf"/>
    <n v="16"/>
    <n v="5357.14"/>
    <n v="85714.240000000005"/>
  </r>
  <r>
    <s v="Delhi"/>
    <x v="0"/>
    <x v="2"/>
    <s v="Study Table"/>
    <n v="14"/>
    <n v="7825.76"/>
    <n v="109560.64"/>
  </r>
  <r>
    <s v="Tamil Nadu"/>
    <x v="1"/>
    <x v="0"/>
    <s v="Water Bottle"/>
    <n v="3"/>
    <n v="460.71"/>
    <n v="1382.1299999999999"/>
  </r>
  <r>
    <s v="Telangana"/>
    <x v="1"/>
    <x v="1"/>
    <s v="Jacket"/>
    <n v="6"/>
    <n v="1426.06"/>
    <n v="8556.36"/>
  </r>
  <r>
    <s v="Delhi"/>
    <x v="0"/>
    <x v="0"/>
    <s v="Steel Plate"/>
    <n v="9"/>
    <n v="803.42"/>
    <n v="7230.78"/>
  </r>
  <r>
    <s v="Gujarat"/>
    <x v="2"/>
    <x v="0"/>
    <s v="Lunch Box"/>
    <n v="1"/>
    <n v="257.06"/>
    <n v="257.06"/>
  </r>
  <r>
    <s v="Delhi"/>
    <x v="0"/>
    <x v="3"/>
    <s v="USB Cable"/>
    <n v="8"/>
    <n v="2769.1"/>
    <n v="22152.799999999999"/>
  </r>
  <r>
    <s v="Gujarat"/>
    <x v="2"/>
    <x v="1"/>
    <s v="T-Shirt"/>
    <n v="20"/>
    <n v="433.86"/>
    <n v="8677.2000000000007"/>
  </r>
  <r>
    <s v="Bihar"/>
    <x v="3"/>
    <x v="2"/>
    <s v="Study Table"/>
    <n v="19"/>
    <n v="2945.8"/>
    <n v="55970.200000000004"/>
  </r>
  <r>
    <s v="West Bengal"/>
    <x v="3"/>
    <x v="0"/>
    <s v="Lunch Box"/>
    <n v="4"/>
    <n v="128.5"/>
    <n v="514"/>
  </r>
  <r>
    <s v="Gujarat"/>
    <x v="2"/>
    <x v="1"/>
    <s v="T-Shirt"/>
    <n v="9"/>
    <n v="1583.68"/>
    <n v="14253.12"/>
  </r>
  <r>
    <s v="Karnataka"/>
    <x v="1"/>
    <x v="1"/>
    <s v="Socks"/>
    <n v="23"/>
    <n v="1845.49"/>
    <n v="42446.27"/>
  </r>
  <r>
    <s v="Maharashtra"/>
    <x v="2"/>
    <x v="3"/>
    <s v="USB Cable"/>
    <n v="15"/>
    <n v="769.77"/>
    <n v="11546.55"/>
  </r>
  <r>
    <s v="Delhi"/>
    <x v="0"/>
    <x v="0"/>
    <s v="Storage Jar"/>
    <n v="23"/>
    <n v="171.43"/>
    <n v="3942.8900000000003"/>
  </r>
  <r>
    <s v="Tamil Nadu"/>
    <x v="1"/>
    <x v="3"/>
    <s v="Earphones"/>
    <n v="12"/>
    <n v="1878.89"/>
    <n v="22546.68"/>
  </r>
  <r>
    <s v="Maharashtra"/>
    <x v="2"/>
    <x v="3"/>
    <s v="Mouse"/>
    <n v="1"/>
    <n v="1390.96"/>
    <n v="1390.96"/>
  </r>
  <r>
    <s v="Telangana"/>
    <x v="1"/>
    <x v="1"/>
    <s v="Cap"/>
    <n v="20"/>
    <n v="1785.86"/>
    <n v="35717.199999999997"/>
  </r>
  <r>
    <s v="Gujarat"/>
    <x v="2"/>
    <x v="2"/>
    <s v="Bookshelf"/>
    <n v="14"/>
    <n v="9576.23"/>
    <n v="134067.22"/>
  </r>
  <r>
    <s v="Maharashtra"/>
    <x v="2"/>
    <x v="0"/>
    <s v="Water Bottle"/>
    <n v="15"/>
    <n v="612.41999999999996"/>
    <n v="9186.2999999999993"/>
  </r>
  <r>
    <s v="Maharashtra"/>
    <x v="2"/>
    <x v="1"/>
    <s v="Cap"/>
    <n v="25"/>
    <n v="1937.59"/>
    <n v="48439.75"/>
  </r>
  <r>
    <s v="Delhi"/>
    <x v="0"/>
    <x v="4"/>
    <s v="Pencil Box"/>
    <n v="5"/>
    <n v="135.57"/>
    <n v="677.84999999999991"/>
  </r>
  <r>
    <s v="Karnataka"/>
    <x v="1"/>
    <x v="0"/>
    <s v="Storage Jar"/>
    <n v="3"/>
    <n v="375.67"/>
    <n v="1127.01"/>
  </r>
  <r>
    <s v="Tamil Nadu"/>
    <x v="1"/>
    <x v="3"/>
    <s v="Power Bank"/>
    <n v="20"/>
    <n v="1960.48"/>
    <n v="39209.599999999999"/>
  </r>
  <r>
    <s v="Maharashtra"/>
    <x v="2"/>
    <x v="3"/>
    <s v="Keyboard"/>
    <n v="24"/>
    <n v="3176.6"/>
    <n v="76238.399999999994"/>
  </r>
  <r>
    <s v="Delhi"/>
    <x v="0"/>
    <x v="4"/>
    <s v="Pen"/>
    <n v="2"/>
    <n v="380.45"/>
    <n v="760.9"/>
  </r>
  <r>
    <s v="Karnataka"/>
    <x v="1"/>
    <x v="1"/>
    <s v="Jacket"/>
    <n v="20"/>
    <n v="1332.13"/>
    <n v="26642.600000000002"/>
  </r>
  <r>
    <s v="Tamil Nadu"/>
    <x v="1"/>
    <x v="0"/>
    <s v="Steel Plate"/>
    <n v="8"/>
    <n v="985.16"/>
    <n v="7881.28"/>
  </r>
  <r>
    <s v="Tamil Nadu"/>
    <x v="1"/>
    <x v="2"/>
    <s v="Study Table"/>
    <n v="23"/>
    <n v="2129.09"/>
    <n v="48969.070000000007"/>
  </r>
  <r>
    <s v="Uttar Pradesh"/>
    <x v="0"/>
    <x v="2"/>
    <s v="Study Table"/>
    <n v="11"/>
    <n v="7869.93"/>
    <n v="86569.23000000001"/>
  </r>
  <r>
    <s v="Bihar"/>
    <x v="3"/>
    <x v="2"/>
    <s v="Study Table"/>
    <n v="25"/>
    <n v="5390.67"/>
    <n v="134766.75"/>
  </r>
  <r>
    <s v="West Bengal"/>
    <x v="3"/>
    <x v="3"/>
    <s v="Mouse"/>
    <n v="4"/>
    <n v="1082.6600000000001"/>
    <n v="4330.6400000000003"/>
  </r>
  <r>
    <s v="Maharashtra"/>
    <x v="2"/>
    <x v="4"/>
    <s v="Eraser"/>
    <n v="13"/>
    <n v="348.38"/>
    <n v="4528.9399999999996"/>
  </r>
  <r>
    <s v="Maharashtra"/>
    <x v="2"/>
    <x v="0"/>
    <s v="Storage Jar"/>
    <n v="7"/>
    <n v="939.43"/>
    <n v="6576.0099999999993"/>
  </r>
  <r>
    <s v="Telangana"/>
    <x v="1"/>
    <x v="2"/>
    <s v="Office Chair"/>
    <n v="16"/>
    <n v="1743.35"/>
    <n v="27893.599999999999"/>
  </r>
  <r>
    <s v="Telangana"/>
    <x v="1"/>
    <x v="3"/>
    <s v="Earphones"/>
    <n v="19"/>
    <n v="1364.55"/>
    <n v="25926.45"/>
  </r>
  <r>
    <s v="Uttar Pradesh"/>
    <x v="0"/>
    <x v="1"/>
    <s v="Jacket"/>
    <n v="10"/>
    <n v="1142.8800000000001"/>
    <n v="11428.800000000001"/>
  </r>
  <r>
    <s v="Maharashtra"/>
    <x v="2"/>
    <x v="0"/>
    <s v="Storage Jar"/>
    <n v="25"/>
    <n v="543.58000000000004"/>
    <n v="13589.500000000002"/>
  </r>
  <r>
    <s v="Delhi"/>
    <x v="0"/>
    <x v="1"/>
    <s v="Cap"/>
    <n v="12"/>
    <n v="1173.46"/>
    <n v="14081.52"/>
  </r>
  <r>
    <s v="Telangana"/>
    <x v="1"/>
    <x v="1"/>
    <s v="Socks"/>
    <n v="20"/>
    <n v="1408.74"/>
    <n v="28174.799999999999"/>
  </r>
  <r>
    <s v="Maharashtra"/>
    <x v="2"/>
    <x v="2"/>
    <s v="Office Chair"/>
    <n v="11"/>
    <n v="7357.23"/>
    <n v="80929.53"/>
  </r>
  <r>
    <s v="Karnataka"/>
    <x v="1"/>
    <x v="1"/>
    <s v="Jacket"/>
    <n v="17"/>
    <n v="224.47"/>
    <n v="3815.99"/>
  </r>
  <r>
    <s v="West Bengal"/>
    <x v="3"/>
    <x v="2"/>
    <s v="Bookshelf"/>
    <n v="15"/>
    <n v="3063.88"/>
    <n v="45958.200000000004"/>
  </r>
  <r>
    <s v="West Bengal"/>
    <x v="3"/>
    <x v="1"/>
    <s v="Socks"/>
    <n v="6"/>
    <n v="876.97"/>
    <n v="5261.82"/>
  </r>
  <r>
    <s v="West Bengal"/>
    <x v="3"/>
    <x v="1"/>
    <s v="Jacket"/>
    <n v="23"/>
    <n v="1191.4100000000001"/>
    <n v="27402.43"/>
  </r>
  <r>
    <s v="Bihar"/>
    <x v="3"/>
    <x v="0"/>
    <s v="Water Bottle"/>
    <n v="14"/>
    <n v="742.07"/>
    <n v="10388.980000000001"/>
  </r>
  <r>
    <s v="Uttar Pradesh"/>
    <x v="0"/>
    <x v="0"/>
    <s v="Lunch Box"/>
    <n v="24"/>
    <n v="156.49"/>
    <n v="3755.76"/>
  </r>
  <r>
    <s v="Gujarat"/>
    <x v="2"/>
    <x v="3"/>
    <s v="Earphones"/>
    <n v="2"/>
    <n v="2089.48"/>
    <n v="4178.96"/>
  </r>
  <r>
    <s v="Karnataka"/>
    <x v="1"/>
    <x v="4"/>
    <s v="Ruler"/>
    <n v="11"/>
    <n v="179.14"/>
    <n v="1970.54"/>
  </r>
  <r>
    <s v="Rajasthan"/>
    <x v="0"/>
    <x v="1"/>
    <s v="Jacket"/>
    <n v="24"/>
    <n v="1495.69"/>
    <n v="35896.559999999998"/>
  </r>
  <r>
    <s v="Karnataka"/>
    <x v="1"/>
    <x v="1"/>
    <s v="Socks"/>
    <n v="22"/>
    <n v="1034.99"/>
    <n v="22769.78"/>
  </r>
  <r>
    <s v="Maharashtra"/>
    <x v="2"/>
    <x v="2"/>
    <s v="Bookshelf"/>
    <n v="11"/>
    <n v="7235.87"/>
    <n v="79594.569999999992"/>
  </r>
  <r>
    <s v="Uttar Pradesh"/>
    <x v="0"/>
    <x v="3"/>
    <s v="Earphones"/>
    <n v="9"/>
    <n v="2041.69"/>
    <n v="18375.21"/>
  </r>
  <r>
    <s v="Tamil Nadu"/>
    <x v="1"/>
    <x v="3"/>
    <s v="Mouse"/>
    <n v="11"/>
    <n v="1783.35"/>
    <n v="19616.849999999999"/>
  </r>
  <r>
    <s v="Tamil Nadu"/>
    <x v="1"/>
    <x v="4"/>
    <s v="Pencil Box"/>
    <n v="22"/>
    <n v="226.41"/>
    <n v="4981.0199999999995"/>
  </r>
  <r>
    <s v="Maharashtra"/>
    <x v="2"/>
    <x v="0"/>
    <s v="Water Bottle"/>
    <n v="10"/>
    <n v="1150.8499999999999"/>
    <n v="11508.5"/>
  </r>
  <r>
    <s v="Telangana"/>
    <x v="1"/>
    <x v="0"/>
    <s v="Steel Plate"/>
    <n v="7"/>
    <n v="322.27"/>
    <n v="2255.89"/>
  </r>
  <r>
    <s v="Tamil Nadu"/>
    <x v="1"/>
    <x v="3"/>
    <s v="USB Cable"/>
    <n v="20"/>
    <n v="2644.94"/>
    <n v="52898.8"/>
  </r>
  <r>
    <s v="Delhi"/>
    <x v="0"/>
    <x v="1"/>
    <s v="Cap"/>
    <n v="21"/>
    <n v="580.75"/>
    <n v="12195.75"/>
  </r>
  <r>
    <s v="West Bengal"/>
    <x v="3"/>
    <x v="2"/>
    <s v="Study Table"/>
    <n v="22"/>
    <n v="9593.0400000000009"/>
    <n v="211046.88"/>
  </r>
  <r>
    <s v="Maharashtra"/>
    <x v="2"/>
    <x v="2"/>
    <s v="Bookshelf"/>
    <n v="16"/>
    <n v="6513.21"/>
    <n v="104211.36"/>
  </r>
  <r>
    <s v="West Bengal"/>
    <x v="3"/>
    <x v="0"/>
    <s v="Water Bottle"/>
    <n v="25"/>
    <n v="198.41"/>
    <n v="4960.25"/>
  </r>
  <r>
    <s v="Delhi"/>
    <x v="0"/>
    <x v="3"/>
    <s v="Mouse"/>
    <n v="6"/>
    <n v="3281.94"/>
    <n v="19691.64"/>
  </r>
  <r>
    <s v="Uttar Pradesh"/>
    <x v="0"/>
    <x v="3"/>
    <s v="Power Bank"/>
    <n v="2"/>
    <n v="230.58"/>
    <n v="461.16"/>
  </r>
  <r>
    <s v="Maharashtra"/>
    <x v="2"/>
    <x v="0"/>
    <s v="Storage Jar"/>
    <n v="15"/>
    <n v="1188.01"/>
    <n v="17820.150000000001"/>
  </r>
  <r>
    <s v="Uttar Pradesh"/>
    <x v="0"/>
    <x v="3"/>
    <s v="Keyboard"/>
    <n v="15"/>
    <n v="1100.3599999999999"/>
    <n v="16505.399999999998"/>
  </r>
  <r>
    <s v="Maharashtra"/>
    <x v="2"/>
    <x v="2"/>
    <s v="Bookshelf"/>
    <n v="9"/>
    <n v="9045.2800000000007"/>
    <n v="81407.520000000004"/>
  </r>
  <r>
    <s v="Tamil Nadu"/>
    <x v="1"/>
    <x v="1"/>
    <s v="Cap"/>
    <n v="6"/>
    <n v="1280.27"/>
    <n v="7681.62"/>
  </r>
  <r>
    <s v="Rajasthan"/>
    <x v="0"/>
    <x v="1"/>
    <s v="Socks"/>
    <n v="3"/>
    <n v="891.54"/>
    <n v="2674.62"/>
  </r>
  <r>
    <s v="Maharashtra"/>
    <x v="2"/>
    <x v="2"/>
    <s v="Office Chair"/>
    <n v="8"/>
    <n v="1571.72"/>
    <n v="12573.76"/>
  </r>
  <r>
    <s v="Telangana"/>
    <x v="1"/>
    <x v="0"/>
    <s v="Storage Jar"/>
    <n v="10"/>
    <n v="740.71"/>
    <n v="7407.1"/>
  </r>
  <r>
    <s v="Tamil Nadu"/>
    <x v="1"/>
    <x v="0"/>
    <s v="Lunch Box"/>
    <n v="2"/>
    <n v="834.56"/>
    <n v="1669.12"/>
  </r>
  <r>
    <s v="Maharashtra"/>
    <x v="2"/>
    <x v="2"/>
    <s v="Bookshelf"/>
    <n v="17"/>
    <n v="11192.61"/>
    <n v="190274.37"/>
  </r>
  <r>
    <s v="Maharashtra"/>
    <x v="2"/>
    <x v="0"/>
    <s v="Storage Jar"/>
    <n v="20"/>
    <n v="342.93"/>
    <n v="6858.6"/>
  </r>
  <r>
    <s v="Maharashtra"/>
    <x v="2"/>
    <x v="2"/>
    <s v="Bookshelf"/>
    <n v="20"/>
    <n v="5423.06"/>
    <n v="108461.20000000001"/>
  </r>
  <r>
    <s v="Uttar Pradesh"/>
    <x v="0"/>
    <x v="1"/>
    <s v="Cap"/>
    <n v="25"/>
    <n v="607.80999999999995"/>
    <n v="15195.249999999998"/>
  </r>
  <r>
    <s v="Telangana"/>
    <x v="1"/>
    <x v="1"/>
    <s v="Socks"/>
    <n v="3"/>
    <n v="1846.9"/>
    <n v="5540.7000000000007"/>
  </r>
  <r>
    <s v="Karnataka"/>
    <x v="1"/>
    <x v="1"/>
    <s v="Cap"/>
    <n v="6"/>
    <n v="757.02"/>
    <n v="4542.12"/>
  </r>
  <r>
    <s v="Maharashtra"/>
    <x v="2"/>
    <x v="3"/>
    <s v="Keyboard"/>
    <n v="16"/>
    <n v="500.11"/>
    <n v="8001.76"/>
  </r>
  <r>
    <s v="Delhi"/>
    <x v="0"/>
    <x v="2"/>
    <s v="Study Table"/>
    <n v="17"/>
    <n v="5861.96"/>
    <n v="99653.32"/>
  </r>
  <r>
    <s v="Telangana"/>
    <x v="1"/>
    <x v="0"/>
    <s v="Water Bottle"/>
    <n v="13"/>
    <n v="379.9"/>
    <n v="4938.7"/>
  </r>
  <r>
    <s v="Delhi"/>
    <x v="0"/>
    <x v="4"/>
    <s v="Ruler"/>
    <n v="12"/>
    <n v="286.14999999999998"/>
    <n v="3433.7999999999997"/>
  </r>
  <r>
    <s v="Delhi"/>
    <x v="0"/>
    <x v="2"/>
    <s v="Study Table"/>
    <n v="10"/>
    <n v="5793.1"/>
    <n v="57931"/>
  </r>
  <r>
    <s v="Bihar"/>
    <x v="3"/>
    <x v="2"/>
    <s v="Office Chair"/>
    <n v="13"/>
    <n v="5444.28"/>
    <n v="70775.64"/>
  </r>
  <r>
    <s v="Maharashtra"/>
    <x v="2"/>
    <x v="0"/>
    <s v="Water Bottle"/>
    <n v="6"/>
    <n v="1192.1300000000001"/>
    <n v="7152.7800000000007"/>
  </r>
  <r>
    <s v="Maharashtra"/>
    <x v="2"/>
    <x v="3"/>
    <s v="USB Cable"/>
    <n v="25"/>
    <n v="275.02999999999997"/>
    <n v="6875.7499999999991"/>
  </r>
  <r>
    <s v="Rajasthan"/>
    <x v="0"/>
    <x v="1"/>
    <s v="Jacket"/>
    <n v="8"/>
    <n v="607.9"/>
    <n v="4863.2"/>
  </r>
  <r>
    <s v="Tamil Nadu"/>
    <x v="1"/>
    <x v="3"/>
    <s v="USB Cable"/>
    <n v="2"/>
    <n v="2871.28"/>
    <n v="5742.56"/>
  </r>
  <r>
    <s v="Delhi"/>
    <x v="0"/>
    <x v="3"/>
    <s v="Earphones"/>
    <n v="3"/>
    <n v="532.96"/>
    <n v="1598.88"/>
  </r>
  <r>
    <s v="Delhi"/>
    <x v="0"/>
    <x v="3"/>
    <s v="USB Cable"/>
    <n v="13"/>
    <n v="1648.58"/>
    <n v="21431.54"/>
  </r>
  <r>
    <s v="Delhi"/>
    <x v="0"/>
    <x v="3"/>
    <s v="Keyboard"/>
    <n v="10"/>
    <n v="972.73"/>
    <n v="9727.2999999999993"/>
  </r>
  <r>
    <s v="West Bengal"/>
    <x v="3"/>
    <x v="3"/>
    <s v="Power Bank"/>
    <n v="5"/>
    <n v="3452.8"/>
    <n v="17264"/>
  </r>
  <r>
    <s v="Rajasthan"/>
    <x v="0"/>
    <x v="0"/>
    <s v="Storage Jar"/>
    <n v="2"/>
    <n v="712.39"/>
    <n v="1424.78"/>
  </r>
  <r>
    <s v="Rajasthan"/>
    <x v="0"/>
    <x v="1"/>
    <s v="Jacket"/>
    <n v="2"/>
    <n v="1948.74"/>
    <n v="3897.48"/>
  </r>
  <r>
    <s v="West Bengal"/>
    <x v="3"/>
    <x v="2"/>
    <s v="Office Chair"/>
    <n v="5"/>
    <n v="4648.83"/>
    <n v="23244.15"/>
  </r>
  <r>
    <s v="Uttar Pradesh"/>
    <x v="0"/>
    <x v="3"/>
    <s v="Earphones"/>
    <n v="10"/>
    <n v="3029.89"/>
    <n v="30298.899999999998"/>
  </r>
  <r>
    <s v="Delhi"/>
    <x v="0"/>
    <x v="1"/>
    <s v="Jacket"/>
    <n v="14"/>
    <n v="1180.98"/>
    <n v="16533.72"/>
  </r>
  <r>
    <s v="Karnataka"/>
    <x v="1"/>
    <x v="0"/>
    <s v="Lunch Box"/>
    <n v="11"/>
    <n v="811.38"/>
    <n v="8925.18"/>
  </r>
  <r>
    <s v="Delhi"/>
    <x v="0"/>
    <x v="1"/>
    <s v="Cap"/>
    <n v="2"/>
    <n v="646.65"/>
    <n v="1293.3"/>
  </r>
  <r>
    <s v="Delhi"/>
    <x v="0"/>
    <x v="4"/>
    <s v="Notebook"/>
    <n v="25"/>
    <n v="243.28"/>
    <n v="6082"/>
  </r>
  <r>
    <s v="Karnataka"/>
    <x v="1"/>
    <x v="2"/>
    <s v="Study Table"/>
    <n v="11"/>
    <n v="4683.47"/>
    <n v="51518.170000000006"/>
  </r>
  <r>
    <s v="Karnataka"/>
    <x v="1"/>
    <x v="4"/>
    <s v="Sketch Pens"/>
    <n v="25"/>
    <n v="201.99"/>
    <n v="5049.75"/>
  </r>
  <r>
    <s v="Karnataka"/>
    <x v="1"/>
    <x v="2"/>
    <s v="Study Table"/>
    <n v="18"/>
    <n v="4876.96"/>
    <n v="87785.279999999999"/>
  </r>
  <r>
    <s v="Telangana"/>
    <x v="1"/>
    <x v="1"/>
    <s v="Socks"/>
    <n v="10"/>
    <n v="633.89"/>
    <n v="6338.9"/>
  </r>
  <r>
    <s v="Telangana"/>
    <x v="1"/>
    <x v="4"/>
    <s v="Highlighter"/>
    <n v="24"/>
    <n v="198.41"/>
    <n v="4761.84"/>
  </r>
  <r>
    <s v="Bihar"/>
    <x v="3"/>
    <x v="0"/>
    <s v="Steel Plate"/>
    <n v="2"/>
    <n v="718.78"/>
    <n v="1437.56"/>
  </r>
  <r>
    <s v="Delhi"/>
    <x v="0"/>
    <x v="0"/>
    <s v="Steel Plate"/>
    <n v="10"/>
    <n v="267.64999999999998"/>
    <n v="2676.5"/>
  </r>
  <r>
    <s v="Gujarat"/>
    <x v="2"/>
    <x v="1"/>
    <s v="Cap"/>
    <n v="16"/>
    <n v="1168.69"/>
    <n v="18699.04"/>
  </r>
  <r>
    <s v="Tamil Nadu"/>
    <x v="1"/>
    <x v="2"/>
    <s v="Bookshelf"/>
    <n v="21"/>
    <n v="9265.74"/>
    <n v="194580.54"/>
  </r>
  <r>
    <s v="Bihar"/>
    <x v="3"/>
    <x v="3"/>
    <s v="Earphones"/>
    <n v="24"/>
    <n v="2003.6"/>
    <n v="48086.399999999994"/>
  </r>
  <r>
    <s v="Delhi"/>
    <x v="0"/>
    <x v="1"/>
    <s v="T-Shirt"/>
    <n v="3"/>
    <n v="1898.6"/>
    <n v="5695.7999999999993"/>
  </r>
  <r>
    <s v="Delhi"/>
    <x v="0"/>
    <x v="2"/>
    <s v="Study Table"/>
    <n v="21"/>
    <n v="3930.05"/>
    <n v="82531.05"/>
  </r>
  <r>
    <s v="Delhi"/>
    <x v="0"/>
    <x v="3"/>
    <s v="Keyboard"/>
    <n v="15"/>
    <n v="1431.56"/>
    <n v="21473.399999999998"/>
  </r>
  <r>
    <s v="Uttar Pradesh"/>
    <x v="0"/>
    <x v="2"/>
    <s v="Study Table"/>
    <n v="1"/>
    <n v="7088.23"/>
    <n v="7088.23"/>
  </r>
  <r>
    <s v="Delhi"/>
    <x v="0"/>
    <x v="1"/>
    <s v="Socks"/>
    <n v="18"/>
    <n v="1958.34"/>
    <n v="35250.119999999995"/>
  </r>
  <r>
    <s v="Rajasthan"/>
    <x v="0"/>
    <x v="3"/>
    <s v="USB Cable"/>
    <n v="4"/>
    <n v="1930.47"/>
    <n v="7721.88"/>
  </r>
  <r>
    <s v="Tamil Nadu"/>
    <x v="1"/>
    <x v="0"/>
    <s v="Storage Jar"/>
    <n v="13"/>
    <n v="186.92"/>
    <n v="2429.96"/>
  </r>
  <r>
    <s v="Karnataka"/>
    <x v="1"/>
    <x v="3"/>
    <s v="Power Bank"/>
    <n v="22"/>
    <n v="2932.6"/>
    <n v="64517.2"/>
  </r>
  <r>
    <s v="Delhi"/>
    <x v="0"/>
    <x v="2"/>
    <s v="Office Chair"/>
    <n v="13"/>
    <n v="7303.37"/>
    <n v="94943.81"/>
  </r>
  <r>
    <s v="Maharashtra"/>
    <x v="2"/>
    <x v="4"/>
    <s v="Ruler"/>
    <n v="14"/>
    <n v="265.06"/>
    <n v="3710.84"/>
  </r>
  <r>
    <s v="Maharashtra"/>
    <x v="2"/>
    <x v="1"/>
    <s v="T-Shirt"/>
    <n v="8"/>
    <n v="541.12"/>
    <n v="4328.96"/>
  </r>
  <r>
    <s v="Uttar Pradesh"/>
    <x v="0"/>
    <x v="0"/>
    <s v="Water Bottle"/>
    <n v="3"/>
    <n v="852.87"/>
    <n v="2558.61"/>
  </r>
  <r>
    <s v="Delhi"/>
    <x v="0"/>
    <x v="3"/>
    <s v="Power Bank"/>
    <n v="1"/>
    <n v="3372.85"/>
    <n v="3372.85"/>
  </r>
  <r>
    <s v="Gujarat"/>
    <x v="2"/>
    <x v="4"/>
    <s v="Eraser"/>
    <n v="6"/>
    <n v="234.3"/>
    <n v="1405.8000000000002"/>
  </r>
  <r>
    <s v="West Bengal"/>
    <x v="3"/>
    <x v="2"/>
    <s v="Bookshelf"/>
    <n v="5"/>
    <n v="9800.23"/>
    <n v="49001.149999999994"/>
  </r>
  <r>
    <s v="Bihar"/>
    <x v="3"/>
    <x v="4"/>
    <s v="Pen"/>
    <n v="14"/>
    <n v="108.21"/>
    <n v="1514.9399999999998"/>
  </r>
  <r>
    <s v="Gujarat"/>
    <x v="2"/>
    <x v="0"/>
    <s v="Water Bottle"/>
    <n v="21"/>
    <n v="400.66"/>
    <n v="8413.86"/>
  </r>
  <r>
    <s v="Karnataka"/>
    <x v="1"/>
    <x v="0"/>
    <s v="Steel Plate"/>
    <n v="14"/>
    <n v="304.31"/>
    <n v="4260.34"/>
  </r>
  <r>
    <s v="Delhi"/>
    <x v="0"/>
    <x v="1"/>
    <s v="Socks"/>
    <n v="8"/>
    <n v="1469.25"/>
    <n v="11754"/>
  </r>
  <r>
    <s v="Maharashtra"/>
    <x v="2"/>
    <x v="2"/>
    <s v="Bookshelf"/>
    <n v="21"/>
    <n v="3119.91"/>
    <n v="65518.11"/>
  </r>
  <r>
    <s v="Bihar"/>
    <x v="3"/>
    <x v="4"/>
    <s v="Pen"/>
    <n v="1"/>
    <n v="378.32"/>
    <n v="378.32"/>
  </r>
  <r>
    <s v="Tamil Nadu"/>
    <x v="1"/>
    <x v="4"/>
    <s v="Notebook"/>
    <n v="3"/>
    <n v="91.21"/>
    <n v="273.63"/>
  </r>
  <r>
    <s v="Rajasthan"/>
    <x v="0"/>
    <x v="4"/>
    <s v="Pen"/>
    <n v="3"/>
    <n v="154.49"/>
    <n v="463.47"/>
  </r>
  <r>
    <s v="West Bengal"/>
    <x v="3"/>
    <x v="2"/>
    <s v="Study Table"/>
    <n v="10"/>
    <n v="5845.01"/>
    <n v="58450.100000000006"/>
  </r>
  <r>
    <s v="Karnataka"/>
    <x v="1"/>
    <x v="1"/>
    <s v="Cap"/>
    <n v="22"/>
    <n v="854.35"/>
    <n v="18795.7"/>
  </r>
  <r>
    <s v="Tamil Nadu"/>
    <x v="1"/>
    <x v="0"/>
    <s v="Steel Plate"/>
    <n v="5"/>
    <n v="169.59"/>
    <n v="847.95"/>
  </r>
  <r>
    <s v="Rajasthan"/>
    <x v="0"/>
    <x v="0"/>
    <s v="Steel Plate"/>
    <n v="3"/>
    <n v="497.24"/>
    <n v="1491.72"/>
  </r>
  <r>
    <s v="Karnataka"/>
    <x v="1"/>
    <x v="2"/>
    <s v="Study Table"/>
    <n v="5"/>
    <n v="4698.91"/>
    <n v="23494.55"/>
  </r>
  <r>
    <s v="Gujarat"/>
    <x v="2"/>
    <x v="0"/>
    <s v="Steel Plate"/>
    <n v="11"/>
    <n v="573.67999999999995"/>
    <n v="6310.48"/>
  </r>
  <r>
    <s v="Maharashtra"/>
    <x v="2"/>
    <x v="0"/>
    <s v="Storage Jar"/>
    <n v="20"/>
    <n v="1142.01"/>
    <n v="22840.2"/>
  </r>
  <r>
    <s v="West Bengal"/>
    <x v="3"/>
    <x v="3"/>
    <s v="Mouse"/>
    <n v="11"/>
    <n v="1161.78"/>
    <n v="12779.58"/>
  </r>
  <r>
    <s v="Karnataka"/>
    <x v="1"/>
    <x v="0"/>
    <s v="Steel Plate"/>
    <n v="9"/>
    <n v="998.14"/>
    <n v="8983.26"/>
  </r>
  <r>
    <s v="Maharashtra"/>
    <x v="2"/>
    <x v="1"/>
    <s v="Cap"/>
    <n v="19"/>
    <n v="1994.94"/>
    <n v="37903.86"/>
  </r>
  <r>
    <s v="Delhi"/>
    <x v="0"/>
    <x v="2"/>
    <s v="Bookshelf"/>
    <n v="7"/>
    <n v="6103.78"/>
    <n v="42726.46"/>
  </r>
  <r>
    <s v="Rajasthan"/>
    <x v="0"/>
    <x v="2"/>
    <s v="Study Table"/>
    <n v="21"/>
    <n v="4679.74"/>
    <n v="98274.54"/>
  </r>
  <r>
    <s v="Rajasthan"/>
    <x v="0"/>
    <x v="2"/>
    <s v="Study Table"/>
    <n v="15"/>
    <n v="11902.36"/>
    <n v="178535.40000000002"/>
  </r>
  <r>
    <s v="Gujarat"/>
    <x v="2"/>
    <x v="1"/>
    <s v="Jacket"/>
    <n v="18"/>
    <n v="218.02"/>
    <n v="3924.36"/>
  </r>
  <r>
    <s v="Delhi"/>
    <x v="0"/>
    <x v="4"/>
    <s v="Highlighter"/>
    <n v="8"/>
    <n v="269.89"/>
    <n v="2159.12"/>
  </r>
  <r>
    <s v="Delhi"/>
    <x v="0"/>
    <x v="1"/>
    <s v="Jacket"/>
    <n v="25"/>
    <n v="763.45"/>
    <n v="19086.25"/>
  </r>
  <r>
    <s v="Delhi"/>
    <x v="0"/>
    <x v="4"/>
    <s v="Eraser"/>
    <n v="8"/>
    <n v="214.06"/>
    <n v="1712.48"/>
  </r>
  <r>
    <s v="Karnataka"/>
    <x v="1"/>
    <x v="2"/>
    <s v="Office Chair"/>
    <n v="13"/>
    <n v="6362.16"/>
    <n v="82708.08"/>
  </r>
  <r>
    <s v="Maharashtra"/>
    <x v="2"/>
    <x v="0"/>
    <s v="Water Bottle"/>
    <n v="16"/>
    <n v="215"/>
    <n v="3440"/>
  </r>
  <r>
    <s v="Maharashtra"/>
    <x v="2"/>
    <x v="3"/>
    <s v="Power Bank"/>
    <n v="10"/>
    <n v="1332.12"/>
    <n v="13321.199999999999"/>
  </r>
  <r>
    <s v="Uttar Pradesh"/>
    <x v="0"/>
    <x v="0"/>
    <s v="Steel Plate"/>
    <n v="4"/>
    <n v="581.98"/>
    <n v="2327.92"/>
  </r>
  <r>
    <s v="West Bengal"/>
    <x v="3"/>
    <x v="4"/>
    <s v="Eraser"/>
    <n v="2"/>
    <n v="327.87"/>
    <n v="655.74"/>
  </r>
  <r>
    <s v="West Bengal"/>
    <x v="3"/>
    <x v="4"/>
    <s v="Sketch Pens"/>
    <n v="6"/>
    <n v="373.37"/>
    <n v="2240.2200000000003"/>
  </r>
  <r>
    <s v="Maharashtra"/>
    <x v="2"/>
    <x v="1"/>
    <s v="Cap"/>
    <n v="11"/>
    <n v="1185.72"/>
    <n v="13042.92"/>
  </r>
  <r>
    <s v="Gujarat"/>
    <x v="2"/>
    <x v="3"/>
    <s v="Earphones"/>
    <n v="21"/>
    <n v="2369.12"/>
    <n v="49751.519999999997"/>
  </r>
  <r>
    <s v="Karnataka"/>
    <x v="1"/>
    <x v="2"/>
    <s v="Bookshelf"/>
    <n v="14"/>
    <n v="5582.78"/>
    <n v="78158.92"/>
  </r>
  <r>
    <s v="Karnataka"/>
    <x v="1"/>
    <x v="0"/>
    <s v="Water Bottle"/>
    <n v="19"/>
    <n v="211.93"/>
    <n v="4026.67"/>
  </r>
  <r>
    <s v="Bihar"/>
    <x v="3"/>
    <x v="0"/>
    <s v="Lunch Box"/>
    <n v="15"/>
    <n v="225.35"/>
    <n v="3380.25"/>
  </r>
  <r>
    <s v="West Bengal"/>
    <x v="3"/>
    <x v="1"/>
    <s v="Jacket"/>
    <n v="20"/>
    <n v="876.21"/>
    <n v="17524.2"/>
  </r>
  <r>
    <s v="Bihar"/>
    <x v="3"/>
    <x v="2"/>
    <s v="Bookshelf"/>
    <n v="6"/>
    <n v="10044.25"/>
    <n v="60265.5"/>
  </r>
  <r>
    <s v="Delhi"/>
    <x v="0"/>
    <x v="3"/>
    <s v="Power Bank"/>
    <n v="4"/>
    <n v="987.29"/>
    <n v="3949.16"/>
  </r>
  <r>
    <s v="Bihar"/>
    <x v="3"/>
    <x v="3"/>
    <s v="Keyboard"/>
    <n v="13"/>
    <n v="1580.19"/>
    <n v="20542.47"/>
  </r>
  <r>
    <s v="Gujarat"/>
    <x v="2"/>
    <x v="2"/>
    <s v="Study Table"/>
    <n v="16"/>
    <n v="8172.77"/>
    <n v="130764.32"/>
  </r>
  <r>
    <s v="Maharashtra"/>
    <x v="2"/>
    <x v="2"/>
    <s v="Office Chair"/>
    <n v="5"/>
    <n v="3464.54"/>
    <n v="17322.7"/>
  </r>
  <r>
    <s v="Delhi"/>
    <x v="0"/>
    <x v="0"/>
    <s v="Water Bottle"/>
    <n v="16"/>
    <n v="250.19"/>
    <n v="4003.04"/>
  </r>
  <r>
    <s v="Uttar Pradesh"/>
    <x v="0"/>
    <x v="2"/>
    <s v="Bookshelf"/>
    <n v="16"/>
    <n v="5864.12"/>
    <n v="93825.919999999998"/>
  </r>
  <r>
    <s v="Maharashtra"/>
    <x v="2"/>
    <x v="4"/>
    <s v="Pencil Box"/>
    <n v="1"/>
    <n v="322.43"/>
    <n v="322.43"/>
  </r>
  <r>
    <s v="Delhi"/>
    <x v="0"/>
    <x v="0"/>
    <s v="Lunch Box"/>
    <n v="18"/>
    <n v="417.54"/>
    <n v="7515.72"/>
  </r>
  <r>
    <s v="Uttar Pradesh"/>
    <x v="0"/>
    <x v="1"/>
    <s v="T-Shirt"/>
    <n v="19"/>
    <n v="361.28"/>
    <n v="6864.32"/>
  </r>
  <r>
    <s v="Delhi"/>
    <x v="0"/>
    <x v="2"/>
    <s v="Bookshelf"/>
    <n v="7"/>
    <n v="11892.65"/>
    <n v="83248.55"/>
  </r>
  <r>
    <s v="Tamil Nadu"/>
    <x v="1"/>
    <x v="4"/>
    <s v="Ruler"/>
    <n v="9"/>
    <n v="152.46"/>
    <n v="1372.14"/>
  </r>
  <r>
    <s v="Maharashtra"/>
    <x v="2"/>
    <x v="3"/>
    <s v="Earphones"/>
    <n v="24"/>
    <n v="2140.15"/>
    <n v="51363.600000000006"/>
  </r>
  <r>
    <s v="Rajasthan"/>
    <x v="0"/>
    <x v="3"/>
    <s v="Keyboard"/>
    <n v="5"/>
    <n v="2790"/>
    <n v="13950"/>
  </r>
  <r>
    <s v="Bihar"/>
    <x v="3"/>
    <x v="1"/>
    <s v="Socks"/>
    <n v="20"/>
    <n v="1146.72"/>
    <n v="22934.400000000001"/>
  </r>
  <r>
    <s v="Tamil Nadu"/>
    <x v="1"/>
    <x v="1"/>
    <s v="Socks"/>
    <n v="17"/>
    <n v="1973.15"/>
    <n v="33543.550000000003"/>
  </r>
  <r>
    <s v="Maharashtra"/>
    <x v="2"/>
    <x v="2"/>
    <s v="Study Table"/>
    <n v="9"/>
    <n v="10604"/>
    <n v="95436"/>
  </r>
  <r>
    <s v="Karnataka"/>
    <x v="1"/>
    <x v="3"/>
    <s v="Power Bank"/>
    <n v="8"/>
    <n v="2712.86"/>
    <n v="21702.880000000001"/>
  </r>
  <r>
    <s v="Uttar Pradesh"/>
    <x v="0"/>
    <x v="3"/>
    <s v="Keyboard"/>
    <n v="21"/>
    <n v="1086.77"/>
    <n v="22822.17"/>
  </r>
  <r>
    <s v="Telangana"/>
    <x v="1"/>
    <x v="4"/>
    <s v="Sketch Pens"/>
    <n v="25"/>
    <n v="55.38"/>
    <n v="1384.5"/>
  </r>
  <r>
    <s v="Bihar"/>
    <x v="3"/>
    <x v="2"/>
    <s v="Office Chair"/>
    <n v="11"/>
    <n v="7610.53"/>
    <n v="83715.83"/>
  </r>
  <r>
    <s v="Bihar"/>
    <x v="3"/>
    <x v="4"/>
    <s v="Highlighter"/>
    <n v="18"/>
    <n v="171.13"/>
    <n v="3080.34"/>
  </r>
  <r>
    <s v="Uttar Pradesh"/>
    <x v="0"/>
    <x v="0"/>
    <s v="Storage Jar"/>
    <n v="10"/>
    <n v="471.53"/>
    <n v="4715.2999999999993"/>
  </r>
  <r>
    <s v="Uttar Pradesh"/>
    <x v="0"/>
    <x v="0"/>
    <s v="Water Bottle"/>
    <n v="2"/>
    <n v="209.53"/>
    <n v="419.06"/>
  </r>
  <r>
    <s v="Maharashtra"/>
    <x v="2"/>
    <x v="3"/>
    <s v="Mouse"/>
    <n v="15"/>
    <n v="202.23"/>
    <n v="3033.45"/>
  </r>
  <r>
    <s v="Maharashtra"/>
    <x v="2"/>
    <x v="0"/>
    <s v="Lunch Box"/>
    <n v="9"/>
    <n v="202.67"/>
    <n v="1824.03"/>
  </r>
  <r>
    <s v="Delhi"/>
    <x v="0"/>
    <x v="0"/>
    <s v="Lunch Box"/>
    <n v="2"/>
    <n v="535.98"/>
    <n v="1071.96"/>
  </r>
  <r>
    <s v="Rajasthan"/>
    <x v="0"/>
    <x v="4"/>
    <s v="Sketch Pens"/>
    <n v="4"/>
    <n v="20.41"/>
    <n v="81.64"/>
  </r>
  <r>
    <s v="Maharashtra"/>
    <x v="2"/>
    <x v="1"/>
    <s v="Cap"/>
    <n v="17"/>
    <n v="1407.97"/>
    <n v="23935.49"/>
  </r>
  <r>
    <s v="West Bengal"/>
    <x v="3"/>
    <x v="4"/>
    <s v="Highlighter"/>
    <n v="14"/>
    <n v="283.73"/>
    <n v="3972.2200000000003"/>
  </r>
  <r>
    <s v="Karnataka"/>
    <x v="1"/>
    <x v="2"/>
    <s v="Study Table"/>
    <n v="24"/>
    <n v="9962.5499999999993"/>
    <n v="239101.19999999998"/>
  </r>
  <r>
    <s v="Bihar"/>
    <x v="3"/>
    <x v="0"/>
    <s v="Lunch Box"/>
    <n v="13"/>
    <n v="950.81"/>
    <n v="12360.529999999999"/>
  </r>
  <r>
    <s v="Delhi"/>
    <x v="0"/>
    <x v="1"/>
    <s v="T-Shirt"/>
    <n v="20"/>
    <n v="1352.54"/>
    <n v="27050.799999999999"/>
  </r>
  <r>
    <s v="Karnataka"/>
    <x v="1"/>
    <x v="3"/>
    <s v="Mouse"/>
    <n v="20"/>
    <n v="2465.67"/>
    <n v="49313.4"/>
  </r>
  <r>
    <s v="Maharashtra"/>
    <x v="2"/>
    <x v="3"/>
    <s v="USB Cable"/>
    <n v="19"/>
    <n v="2609.0300000000002"/>
    <n v="49571.570000000007"/>
  </r>
  <r>
    <s v="West Bengal"/>
    <x v="3"/>
    <x v="3"/>
    <s v="Earphones"/>
    <n v="9"/>
    <n v="2327.25"/>
    <n v="20945.25"/>
  </r>
  <r>
    <s v="Tamil Nadu"/>
    <x v="1"/>
    <x v="4"/>
    <s v="Highlighter"/>
    <n v="22"/>
    <n v="352.81"/>
    <n v="7761.82"/>
  </r>
  <r>
    <s v="Karnataka"/>
    <x v="1"/>
    <x v="2"/>
    <s v="Office Chair"/>
    <n v="21"/>
    <n v="2072.98"/>
    <n v="43532.58"/>
  </r>
  <r>
    <s v="Gujarat"/>
    <x v="2"/>
    <x v="4"/>
    <s v="Notebook"/>
    <n v="16"/>
    <n v="262.47000000000003"/>
    <n v="4199.5200000000004"/>
  </r>
  <r>
    <s v="Delhi"/>
    <x v="0"/>
    <x v="0"/>
    <s v="Storage Jar"/>
    <n v="5"/>
    <n v="525.52"/>
    <n v="2627.6"/>
  </r>
  <r>
    <s v="Bihar"/>
    <x v="3"/>
    <x v="1"/>
    <s v="Cap"/>
    <n v="25"/>
    <n v="1021.38"/>
    <n v="25534.5"/>
  </r>
  <r>
    <s v="Delhi"/>
    <x v="0"/>
    <x v="4"/>
    <s v="Eraser"/>
    <n v="7"/>
    <n v="35.130000000000003"/>
    <n v="245.91000000000003"/>
  </r>
  <r>
    <s v="Tamil Nadu"/>
    <x v="1"/>
    <x v="1"/>
    <s v="Jacket"/>
    <n v="14"/>
    <n v="1448.35"/>
    <n v="20276.899999999998"/>
  </r>
  <r>
    <s v="Maharashtra"/>
    <x v="2"/>
    <x v="0"/>
    <s v="Water Bottle"/>
    <n v="10"/>
    <n v="186.92"/>
    <n v="1869.1999999999998"/>
  </r>
  <r>
    <s v="West Bengal"/>
    <x v="3"/>
    <x v="2"/>
    <s v="Bookshelf"/>
    <n v="21"/>
    <n v="9513.85"/>
    <n v="199790.85"/>
  </r>
  <r>
    <s v="Tamil Nadu"/>
    <x v="1"/>
    <x v="2"/>
    <s v="Bookshelf"/>
    <n v="8"/>
    <n v="2108.0100000000002"/>
    <n v="16864.080000000002"/>
  </r>
  <r>
    <s v="Maharashtra"/>
    <x v="2"/>
    <x v="2"/>
    <s v="Bookshelf"/>
    <n v="20"/>
    <n v="2077.8000000000002"/>
    <n v="41556"/>
  </r>
  <r>
    <s v="Maharashtra"/>
    <x v="2"/>
    <x v="4"/>
    <s v="Sketch Pens"/>
    <n v="5"/>
    <n v="286.57"/>
    <n v="1432.85"/>
  </r>
  <r>
    <s v="Bihar"/>
    <x v="3"/>
    <x v="1"/>
    <s v="Socks"/>
    <n v="6"/>
    <n v="837.96"/>
    <n v="5027.76"/>
  </r>
  <r>
    <s v="Delhi"/>
    <x v="0"/>
    <x v="0"/>
    <s v="Steel Plate"/>
    <n v="9"/>
    <n v="676.24"/>
    <n v="6086.16"/>
  </r>
  <r>
    <s v="Delhi"/>
    <x v="0"/>
    <x v="2"/>
    <s v="Office Chair"/>
    <n v="17"/>
    <n v="5281.3"/>
    <n v="89782.1"/>
  </r>
  <r>
    <s v="Maharashtra"/>
    <x v="2"/>
    <x v="0"/>
    <s v="Lunch Box"/>
    <n v="9"/>
    <n v="950.66"/>
    <n v="8555.94"/>
  </r>
  <r>
    <s v="Karnataka"/>
    <x v="1"/>
    <x v="1"/>
    <s v="T-Shirt"/>
    <n v="2"/>
    <n v="1738.57"/>
    <n v="3477.14"/>
  </r>
  <r>
    <s v="Delhi"/>
    <x v="0"/>
    <x v="2"/>
    <s v="Office Chair"/>
    <n v="13"/>
    <n v="11162.38"/>
    <n v="145110.94"/>
  </r>
  <r>
    <s v="Rajasthan"/>
    <x v="0"/>
    <x v="3"/>
    <s v="Power Bank"/>
    <n v="8"/>
    <n v="1573.65"/>
    <n v="12589.2"/>
  </r>
  <r>
    <s v="Delhi"/>
    <x v="0"/>
    <x v="1"/>
    <s v="Socks"/>
    <n v="4"/>
    <n v="1078.78"/>
    <n v="4315.12"/>
  </r>
  <r>
    <s v="Karnataka"/>
    <x v="1"/>
    <x v="1"/>
    <s v="T-Shirt"/>
    <n v="13"/>
    <n v="277.51"/>
    <n v="3607.63"/>
  </r>
  <r>
    <s v="Tamil Nadu"/>
    <x v="1"/>
    <x v="0"/>
    <s v="Water Bottle"/>
    <n v="18"/>
    <n v="602.41999999999996"/>
    <n v="10843.56"/>
  </r>
  <r>
    <s v="Tamil Nadu"/>
    <x v="1"/>
    <x v="1"/>
    <s v="Socks"/>
    <n v="24"/>
    <n v="1302.03"/>
    <n v="31248.720000000001"/>
  </r>
  <r>
    <s v="Uttar Pradesh"/>
    <x v="0"/>
    <x v="3"/>
    <s v="Keyboard"/>
    <n v="25"/>
    <n v="2826.71"/>
    <n v="70667.75"/>
  </r>
  <r>
    <s v="Rajasthan"/>
    <x v="0"/>
    <x v="4"/>
    <s v="Notebook"/>
    <n v="18"/>
    <n v="151.63999999999999"/>
    <n v="2729.5199999999995"/>
  </r>
  <r>
    <s v="West Bengal"/>
    <x v="3"/>
    <x v="4"/>
    <s v="Highlighter"/>
    <n v="22"/>
    <n v="162.97999999999999"/>
    <n v="3585.56"/>
  </r>
  <r>
    <s v="Karnataka"/>
    <x v="1"/>
    <x v="1"/>
    <s v="Cap"/>
    <n v="14"/>
    <n v="1060.25"/>
    <n v="14843.5"/>
  </r>
  <r>
    <s v="Tamil Nadu"/>
    <x v="1"/>
    <x v="4"/>
    <s v="Pen"/>
    <n v="8"/>
    <n v="360.97"/>
    <n v="2887.76"/>
  </r>
  <r>
    <s v="Bihar"/>
    <x v="3"/>
    <x v="2"/>
    <s v="Bookshelf"/>
    <n v="3"/>
    <n v="7598.09"/>
    <n v="22794.27"/>
  </r>
  <r>
    <s v="Gujarat"/>
    <x v="2"/>
    <x v="4"/>
    <s v="Pencil Box"/>
    <n v="19"/>
    <n v="43.67"/>
    <n v="829.73"/>
  </r>
  <r>
    <s v="Karnataka"/>
    <x v="1"/>
    <x v="0"/>
    <s v="Storage Jar"/>
    <n v="11"/>
    <n v="1118.6500000000001"/>
    <n v="12305.150000000001"/>
  </r>
  <r>
    <s v="West Bengal"/>
    <x v="3"/>
    <x v="2"/>
    <s v="Office Chair"/>
    <n v="8"/>
    <n v="2284.2199999999998"/>
    <n v="18273.759999999998"/>
  </r>
  <r>
    <s v="Maharashtra"/>
    <x v="2"/>
    <x v="3"/>
    <s v="USB Cable"/>
    <n v="6"/>
    <n v="1683.57"/>
    <n v="10101.42"/>
  </r>
  <r>
    <s v="Maharashtra"/>
    <x v="2"/>
    <x v="1"/>
    <s v="Socks"/>
    <n v="25"/>
    <n v="534.13"/>
    <n v="13353.25"/>
  </r>
  <r>
    <s v="Tamil Nadu"/>
    <x v="1"/>
    <x v="4"/>
    <s v="Pen"/>
    <n v="6"/>
    <n v="326.89"/>
    <n v="1961.34"/>
  </r>
  <r>
    <s v="Delhi"/>
    <x v="0"/>
    <x v="3"/>
    <s v="Power Bank"/>
    <n v="5"/>
    <n v="501"/>
    <n v="2505"/>
  </r>
  <r>
    <s v="Gujarat"/>
    <x v="2"/>
    <x v="1"/>
    <s v="T-Shirt"/>
    <n v="22"/>
    <n v="702.86"/>
    <n v="15462.92"/>
  </r>
  <r>
    <s v="Gujarat"/>
    <x v="2"/>
    <x v="2"/>
    <s v="Bookshelf"/>
    <n v="24"/>
    <n v="7276.27"/>
    <n v="174630.48"/>
  </r>
  <r>
    <s v="Maharashtra"/>
    <x v="2"/>
    <x v="3"/>
    <s v="USB Cable"/>
    <n v="1"/>
    <n v="403.51"/>
    <n v="403.51"/>
  </r>
  <r>
    <s v="Karnataka"/>
    <x v="1"/>
    <x v="2"/>
    <s v="Office Chair"/>
    <n v="22"/>
    <n v="8118.12"/>
    <n v="178598.63999999998"/>
  </r>
  <r>
    <s v="Tamil Nadu"/>
    <x v="1"/>
    <x v="4"/>
    <s v="Pen"/>
    <n v="3"/>
    <n v="95.15"/>
    <n v="285.45000000000005"/>
  </r>
  <r>
    <s v="Maharashtra"/>
    <x v="2"/>
    <x v="4"/>
    <s v="Highlighter"/>
    <n v="11"/>
    <n v="66.56"/>
    <n v="732.16000000000008"/>
  </r>
  <r>
    <s v="Maharashtra"/>
    <x v="2"/>
    <x v="1"/>
    <s v="Jacket"/>
    <n v="24"/>
    <n v="880.75"/>
    <n v="21138"/>
  </r>
  <r>
    <s v="Rajasthan"/>
    <x v="0"/>
    <x v="3"/>
    <s v="Power Bank"/>
    <n v="7"/>
    <n v="3197.4"/>
    <n v="22381.8"/>
  </r>
  <r>
    <s v="Telangana"/>
    <x v="1"/>
    <x v="3"/>
    <s v="USB Cable"/>
    <n v="20"/>
    <n v="2243.2800000000002"/>
    <n v="44865.600000000006"/>
  </r>
  <r>
    <s v="Uttar Pradesh"/>
    <x v="0"/>
    <x v="2"/>
    <s v="Bookshelf"/>
    <n v="16"/>
    <n v="2140.2800000000002"/>
    <n v="34244.480000000003"/>
  </r>
  <r>
    <s v="Maharashtra"/>
    <x v="2"/>
    <x v="2"/>
    <s v="Study Table"/>
    <n v="21"/>
    <n v="10788.85"/>
    <n v="226565.85"/>
  </r>
  <r>
    <s v="Delhi"/>
    <x v="0"/>
    <x v="2"/>
    <s v="Bookshelf"/>
    <n v="12"/>
    <n v="6536.69"/>
    <n v="78440.28"/>
  </r>
  <r>
    <s v="West Bengal"/>
    <x v="3"/>
    <x v="2"/>
    <s v="Office Chair"/>
    <n v="6"/>
    <n v="1773.66"/>
    <n v="10641.960000000001"/>
  </r>
  <r>
    <s v="Delhi"/>
    <x v="0"/>
    <x v="0"/>
    <s v="Water Bottle"/>
    <n v="16"/>
    <n v="682.38"/>
    <n v="10918.08"/>
  </r>
  <r>
    <s v="Maharashtra"/>
    <x v="2"/>
    <x v="4"/>
    <s v="Notebook"/>
    <n v="22"/>
    <n v="111.64"/>
    <n v="2456.08"/>
  </r>
  <r>
    <s v="Karnataka"/>
    <x v="1"/>
    <x v="1"/>
    <s v="Jacket"/>
    <n v="12"/>
    <n v="1880.13"/>
    <n v="22561.56"/>
  </r>
  <r>
    <s v="Karnataka"/>
    <x v="1"/>
    <x v="1"/>
    <s v="Socks"/>
    <n v="24"/>
    <n v="1440.61"/>
    <n v="34574.639999999999"/>
  </r>
  <r>
    <s v="Bihar"/>
    <x v="3"/>
    <x v="1"/>
    <s v="Cap"/>
    <n v="19"/>
    <n v="1904.48"/>
    <n v="36185.120000000003"/>
  </r>
  <r>
    <s v="Tamil Nadu"/>
    <x v="1"/>
    <x v="3"/>
    <s v="Mouse"/>
    <n v="2"/>
    <n v="497.85"/>
    <n v="995.7"/>
  </r>
  <r>
    <s v="Karnataka"/>
    <x v="1"/>
    <x v="4"/>
    <s v="Pencil Box"/>
    <n v="16"/>
    <n v="20.260000000000002"/>
    <n v="324.16000000000003"/>
  </r>
  <r>
    <s v="Maharashtra"/>
    <x v="2"/>
    <x v="0"/>
    <s v="Lunch Box"/>
    <n v="11"/>
    <n v="165.51"/>
    <n v="1820.61"/>
  </r>
  <r>
    <s v="Maharashtra"/>
    <x v="2"/>
    <x v="4"/>
    <s v="Highlighter"/>
    <n v="17"/>
    <n v="347.05"/>
    <n v="5899.85"/>
  </r>
  <r>
    <s v="Gujarat"/>
    <x v="2"/>
    <x v="1"/>
    <s v="T-Shirt"/>
    <n v="11"/>
    <n v="708.27"/>
    <n v="7790.9699999999993"/>
  </r>
  <r>
    <s v="Rajasthan"/>
    <x v="0"/>
    <x v="2"/>
    <s v="Bookshelf"/>
    <n v="11"/>
    <n v="3329.13"/>
    <n v="36620.43"/>
  </r>
  <r>
    <s v="Bihar"/>
    <x v="3"/>
    <x v="3"/>
    <s v="Keyboard"/>
    <n v="6"/>
    <n v="1448.67"/>
    <n v="8692.02"/>
  </r>
  <r>
    <s v="Maharashtra"/>
    <x v="2"/>
    <x v="3"/>
    <s v="USB Cable"/>
    <n v="23"/>
    <n v="3330.7"/>
    <n v="76606.099999999991"/>
  </r>
  <r>
    <s v="Delhi"/>
    <x v="0"/>
    <x v="3"/>
    <s v="Keyboard"/>
    <n v="11"/>
    <n v="3239.43"/>
    <n v="35633.729999999996"/>
  </r>
  <r>
    <s v="Maharashtra"/>
    <x v="2"/>
    <x v="2"/>
    <s v="Study Table"/>
    <n v="11"/>
    <n v="9326.1"/>
    <n v="102587.1"/>
  </r>
  <r>
    <s v="West Bengal"/>
    <x v="3"/>
    <x v="3"/>
    <s v="USB Cable"/>
    <n v="23"/>
    <n v="2411.08"/>
    <n v="55454.84"/>
  </r>
  <r>
    <s v="Delhi"/>
    <x v="0"/>
    <x v="0"/>
    <s v="Lunch Box"/>
    <n v="8"/>
    <n v="862.49"/>
    <n v="6899.92"/>
  </r>
  <r>
    <s v="Maharashtra"/>
    <x v="2"/>
    <x v="4"/>
    <s v="Pen"/>
    <n v="13"/>
    <n v="186.52"/>
    <n v="2424.7600000000002"/>
  </r>
  <r>
    <s v="Rajasthan"/>
    <x v="0"/>
    <x v="2"/>
    <s v="Office Chair"/>
    <n v="12"/>
    <n v="7233.25"/>
    <n v="86799"/>
  </r>
  <r>
    <s v="Karnataka"/>
    <x v="1"/>
    <x v="3"/>
    <s v="Mouse"/>
    <n v="3"/>
    <n v="2837.34"/>
    <n v="8512.02"/>
  </r>
  <r>
    <s v="Delhi"/>
    <x v="0"/>
    <x v="0"/>
    <s v="Storage Jar"/>
    <n v="4"/>
    <n v="181.62"/>
    <n v="726.48"/>
  </r>
  <r>
    <s v="Maharashtra"/>
    <x v="2"/>
    <x v="4"/>
    <s v="Pencil Box"/>
    <n v="3"/>
    <n v="148.41999999999999"/>
    <n v="445.26"/>
  </r>
  <r>
    <s v="Delhi"/>
    <x v="0"/>
    <x v="2"/>
    <s v="Bookshelf"/>
    <n v="6"/>
    <n v="7876.84"/>
    <n v="47261.04"/>
  </r>
  <r>
    <s v="Delhi"/>
    <x v="0"/>
    <x v="4"/>
    <s v="Eraser"/>
    <n v="7"/>
    <n v="390.27"/>
    <n v="2731.89"/>
  </r>
  <r>
    <s v="Tamil Nadu"/>
    <x v="1"/>
    <x v="0"/>
    <s v="Storage Jar"/>
    <n v="8"/>
    <n v="205.51"/>
    <n v="1644.08"/>
  </r>
  <r>
    <s v="Uttar Pradesh"/>
    <x v="0"/>
    <x v="3"/>
    <s v="USB Cable"/>
    <n v="12"/>
    <n v="212.59"/>
    <n v="2551.08"/>
  </r>
  <r>
    <s v="Uttar Pradesh"/>
    <x v="0"/>
    <x v="3"/>
    <s v="USB Cable"/>
    <n v="1"/>
    <n v="882.94"/>
    <n v="882.94"/>
  </r>
  <r>
    <s v="Delhi"/>
    <x v="0"/>
    <x v="2"/>
    <s v="Study Table"/>
    <n v="10"/>
    <n v="9741.2000000000007"/>
    <n v="97412"/>
  </r>
  <r>
    <s v="Tamil Nadu"/>
    <x v="1"/>
    <x v="4"/>
    <s v="Sketch Pens"/>
    <n v="18"/>
    <n v="167.26"/>
    <n v="3010.68"/>
  </r>
  <r>
    <s v="Bihar"/>
    <x v="3"/>
    <x v="3"/>
    <s v="Mouse"/>
    <n v="2"/>
    <n v="1068.8800000000001"/>
    <n v="2137.7600000000002"/>
  </r>
  <r>
    <s v="Karnataka"/>
    <x v="1"/>
    <x v="0"/>
    <s v="Water Bottle"/>
    <n v="5"/>
    <n v="927.46"/>
    <n v="4637.3"/>
  </r>
  <r>
    <s v="Delhi"/>
    <x v="0"/>
    <x v="0"/>
    <s v="Steel Plate"/>
    <n v="25"/>
    <n v="748.7"/>
    <n v="18717.5"/>
  </r>
  <r>
    <s v="Gujarat"/>
    <x v="2"/>
    <x v="1"/>
    <s v="Jacket"/>
    <n v="18"/>
    <n v="1421.08"/>
    <n v="25579.439999999999"/>
  </r>
  <r>
    <s v="Karnataka"/>
    <x v="1"/>
    <x v="2"/>
    <s v="Office Chair"/>
    <n v="3"/>
    <n v="5645.45"/>
    <n v="16936.349999999999"/>
  </r>
  <r>
    <s v="Maharashtra"/>
    <x v="2"/>
    <x v="4"/>
    <s v="Highlighter"/>
    <n v="15"/>
    <n v="85.69"/>
    <n v="1285.3499999999999"/>
  </r>
  <r>
    <s v="Karnataka"/>
    <x v="1"/>
    <x v="3"/>
    <s v="USB Cable"/>
    <n v="14"/>
    <n v="458.62"/>
    <n v="6420.68"/>
  </r>
  <r>
    <s v="Karnataka"/>
    <x v="1"/>
    <x v="3"/>
    <s v="Keyboard"/>
    <n v="9"/>
    <n v="1255.17"/>
    <n v="11296.53"/>
  </r>
  <r>
    <s v="Gujarat"/>
    <x v="2"/>
    <x v="1"/>
    <s v="Jacket"/>
    <n v="18"/>
    <n v="753.33"/>
    <n v="13559.94"/>
  </r>
  <r>
    <s v="Telangana"/>
    <x v="1"/>
    <x v="4"/>
    <s v="Highlighter"/>
    <n v="23"/>
    <n v="256.76"/>
    <n v="5905.48"/>
  </r>
  <r>
    <s v="Maharashtra"/>
    <x v="2"/>
    <x v="2"/>
    <s v="Study Table"/>
    <n v="5"/>
    <n v="7449.24"/>
    <n v="37246.199999999997"/>
  </r>
  <r>
    <s v="Maharashtra"/>
    <x v="2"/>
    <x v="1"/>
    <s v="T-Shirt"/>
    <n v="10"/>
    <n v="1754.83"/>
    <n v="17548.3"/>
  </r>
  <r>
    <s v="Tamil Nadu"/>
    <x v="1"/>
    <x v="2"/>
    <s v="Bookshelf"/>
    <n v="16"/>
    <n v="7506.24"/>
    <n v="120099.84"/>
  </r>
  <r>
    <s v="Maharashtra"/>
    <x v="2"/>
    <x v="0"/>
    <s v="Steel Plate"/>
    <n v="5"/>
    <n v="780.07"/>
    <n v="3900.3500000000004"/>
  </r>
  <r>
    <s v="Delhi"/>
    <x v="0"/>
    <x v="2"/>
    <s v="Office Chair"/>
    <n v="23"/>
    <n v="3994.58"/>
    <n v="91875.34"/>
  </r>
  <r>
    <s v="Bihar"/>
    <x v="3"/>
    <x v="4"/>
    <s v="Eraser"/>
    <n v="10"/>
    <n v="138.16"/>
    <n v="1381.6"/>
  </r>
  <r>
    <s v="Karnataka"/>
    <x v="1"/>
    <x v="3"/>
    <s v="Power Bank"/>
    <n v="24"/>
    <n v="1662.27"/>
    <n v="39894.479999999996"/>
  </r>
  <r>
    <s v="Rajasthan"/>
    <x v="0"/>
    <x v="1"/>
    <s v="T-Shirt"/>
    <n v="7"/>
    <n v="967.18"/>
    <n v="6770.2599999999993"/>
  </r>
  <r>
    <s v="Bihar"/>
    <x v="3"/>
    <x v="4"/>
    <s v="Pencil Box"/>
    <n v="6"/>
    <n v="44.93"/>
    <n v="269.58"/>
  </r>
  <r>
    <s v="Gujarat"/>
    <x v="2"/>
    <x v="3"/>
    <s v="Keyboard"/>
    <n v="19"/>
    <n v="295.52999999999997"/>
    <n v="5615.07"/>
  </r>
  <r>
    <s v="Delhi"/>
    <x v="0"/>
    <x v="3"/>
    <s v="USB Cable"/>
    <n v="15"/>
    <n v="366.85"/>
    <n v="5502.75"/>
  </r>
  <r>
    <s v="Tamil Nadu"/>
    <x v="1"/>
    <x v="0"/>
    <s v="Steel Plate"/>
    <n v="17"/>
    <n v="536.64"/>
    <n v="9122.8799999999992"/>
  </r>
  <r>
    <s v="Karnataka"/>
    <x v="1"/>
    <x v="0"/>
    <s v="Steel Plate"/>
    <n v="20"/>
    <n v="590.71"/>
    <n v="11814.2"/>
  </r>
  <r>
    <s v="Bihar"/>
    <x v="3"/>
    <x v="0"/>
    <s v="Lunch Box"/>
    <n v="9"/>
    <n v="923.86"/>
    <n v="8314.74"/>
  </r>
  <r>
    <s v="Tamil Nadu"/>
    <x v="1"/>
    <x v="4"/>
    <s v="Ruler"/>
    <n v="2"/>
    <n v="81.900000000000006"/>
    <n v="163.80000000000001"/>
  </r>
  <r>
    <s v="Karnataka"/>
    <x v="1"/>
    <x v="3"/>
    <s v="Earphones"/>
    <n v="9"/>
    <n v="2350.2399999999998"/>
    <n v="21152.159999999996"/>
  </r>
  <r>
    <s v="Delhi"/>
    <x v="0"/>
    <x v="2"/>
    <s v="Study Table"/>
    <n v="21"/>
    <n v="3318.61"/>
    <n v="69690.81"/>
  </r>
  <r>
    <s v="Tamil Nadu"/>
    <x v="1"/>
    <x v="1"/>
    <s v="Socks"/>
    <n v="23"/>
    <n v="1939"/>
    <n v="44597"/>
  </r>
  <r>
    <s v="Rajasthan"/>
    <x v="0"/>
    <x v="2"/>
    <s v="Office Chair"/>
    <n v="15"/>
    <n v="4145.99"/>
    <n v="62189.85"/>
  </r>
  <r>
    <s v="Gujarat"/>
    <x v="2"/>
    <x v="1"/>
    <s v="T-Shirt"/>
    <n v="1"/>
    <n v="1096.3"/>
    <n v="1096.3"/>
  </r>
  <r>
    <s v="Tamil Nadu"/>
    <x v="1"/>
    <x v="0"/>
    <s v="Water Bottle"/>
    <n v="16"/>
    <n v="170.22"/>
    <n v="2723.52"/>
  </r>
  <r>
    <s v="Tamil Nadu"/>
    <x v="1"/>
    <x v="0"/>
    <s v="Storage Jar"/>
    <n v="7"/>
    <n v="264.92"/>
    <n v="1854.44"/>
  </r>
  <r>
    <s v="Gujarat"/>
    <x v="2"/>
    <x v="0"/>
    <s v="Lunch Box"/>
    <n v="24"/>
    <n v="128"/>
    <n v="3072"/>
  </r>
  <r>
    <s v="Tamil Nadu"/>
    <x v="1"/>
    <x v="2"/>
    <s v="Office Chair"/>
    <n v="13"/>
    <n v="9235.69"/>
    <n v="120063.97"/>
  </r>
  <r>
    <s v="Karnataka"/>
    <x v="1"/>
    <x v="0"/>
    <s v="Lunch Box"/>
    <n v="22"/>
    <n v="688.1"/>
    <n v="15138.2"/>
  </r>
  <r>
    <s v="Tamil Nadu"/>
    <x v="1"/>
    <x v="3"/>
    <s v="Keyboard"/>
    <n v="6"/>
    <n v="1169.49"/>
    <n v="7016.9400000000005"/>
  </r>
  <r>
    <s v="Tamil Nadu"/>
    <x v="1"/>
    <x v="1"/>
    <s v="Cap"/>
    <n v="22"/>
    <n v="1814.24"/>
    <n v="39913.279999999999"/>
  </r>
  <r>
    <s v="Karnataka"/>
    <x v="1"/>
    <x v="0"/>
    <s v="Lunch Box"/>
    <n v="24"/>
    <n v="1058.58"/>
    <n v="25405.919999999998"/>
  </r>
  <r>
    <s v="Bihar"/>
    <x v="3"/>
    <x v="0"/>
    <s v="Storage Jar"/>
    <n v="15"/>
    <n v="1036.3399999999999"/>
    <n v="15545.099999999999"/>
  </r>
  <r>
    <s v="Delhi"/>
    <x v="0"/>
    <x v="2"/>
    <s v="Study Table"/>
    <n v="17"/>
    <n v="2758.07"/>
    <n v="46887.19"/>
  </r>
  <r>
    <s v="Tamil Nadu"/>
    <x v="1"/>
    <x v="2"/>
    <s v="Study Table"/>
    <n v="5"/>
    <n v="2942.34"/>
    <n v="14711.7"/>
  </r>
  <r>
    <s v="Rajasthan"/>
    <x v="0"/>
    <x v="1"/>
    <s v="Jacket"/>
    <n v="5"/>
    <n v="735.31"/>
    <n v="3676.5499999999997"/>
  </r>
  <r>
    <s v="Uttar Pradesh"/>
    <x v="0"/>
    <x v="0"/>
    <s v="Lunch Box"/>
    <n v="11"/>
    <n v="797.95"/>
    <n v="8777.4500000000007"/>
  </r>
  <r>
    <s v="Tamil Nadu"/>
    <x v="1"/>
    <x v="3"/>
    <s v="Earphones"/>
    <n v="19"/>
    <n v="2722.8"/>
    <n v="51733.200000000004"/>
  </r>
  <r>
    <s v="Maharashtra"/>
    <x v="2"/>
    <x v="1"/>
    <s v="Jacket"/>
    <n v="21"/>
    <n v="944.41"/>
    <n v="19832.61"/>
  </r>
  <r>
    <s v="Gujarat"/>
    <x v="2"/>
    <x v="4"/>
    <s v="Pen"/>
    <n v="18"/>
    <n v="95.78"/>
    <n v="1724.04"/>
  </r>
  <r>
    <s v="West Bengal"/>
    <x v="3"/>
    <x v="1"/>
    <s v="Cap"/>
    <n v="1"/>
    <n v="1401.98"/>
    <n v="1401.98"/>
  </r>
  <r>
    <s v="Karnataka"/>
    <x v="1"/>
    <x v="0"/>
    <s v="Storage Jar"/>
    <n v="5"/>
    <n v="212.98"/>
    <n v="1064.8999999999999"/>
  </r>
  <r>
    <s v="Tamil Nadu"/>
    <x v="1"/>
    <x v="3"/>
    <s v="USB Cable"/>
    <n v="2"/>
    <n v="1184.07"/>
    <n v="2368.14"/>
  </r>
  <r>
    <s v="West Bengal"/>
    <x v="3"/>
    <x v="2"/>
    <s v="Bookshelf"/>
    <n v="5"/>
    <n v="5098.6899999999996"/>
    <n v="25493.449999999997"/>
  </r>
  <r>
    <s v="Karnataka"/>
    <x v="1"/>
    <x v="3"/>
    <s v="Mouse"/>
    <n v="1"/>
    <n v="953.78"/>
    <n v="953.78"/>
  </r>
  <r>
    <s v="Delhi"/>
    <x v="0"/>
    <x v="1"/>
    <s v="Cap"/>
    <n v="4"/>
    <n v="828.19"/>
    <n v="3312.76"/>
  </r>
  <r>
    <s v="Gujarat"/>
    <x v="2"/>
    <x v="0"/>
    <s v="Water Bottle"/>
    <n v="20"/>
    <n v="1194.1500000000001"/>
    <n v="23883"/>
  </r>
  <r>
    <s v="Delhi"/>
    <x v="0"/>
    <x v="4"/>
    <s v="Sketch Pens"/>
    <n v="4"/>
    <n v="178.37"/>
    <n v="713.48"/>
  </r>
  <r>
    <s v="Tamil Nadu"/>
    <x v="1"/>
    <x v="2"/>
    <s v="Bookshelf"/>
    <n v="5"/>
    <n v="3657.7"/>
    <n v="18288.5"/>
  </r>
  <r>
    <s v="Tamil Nadu"/>
    <x v="1"/>
    <x v="2"/>
    <s v="Bookshelf"/>
    <n v="4"/>
    <n v="8456.07"/>
    <n v="33824.28"/>
  </r>
  <r>
    <s v="Maharashtra"/>
    <x v="2"/>
    <x v="2"/>
    <s v="Study Table"/>
    <n v="17"/>
    <n v="9047.0499999999993"/>
    <n v="153799.84999999998"/>
  </r>
  <r>
    <s v="Maharashtra"/>
    <x v="2"/>
    <x v="4"/>
    <s v="Ruler"/>
    <n v="7"/>
    <n v="251.42"/>
    <n v="1759.9399999999998"/>
  </r>
  <r>
    <s v="Karnataka"/>
    <x v="1"/>
    <x v="0"/>
    <s v="Steel Plate"/>
    <n v="10"/>
    <n v="276.41000000000003"/>
    <n v="2764.1000000000004"/>
  </r>
  <r>
    <s v="Karnataka"/>
    <x v="1"/>
    <x v="2"/>
    <s v="Office Chair"/>
    <n v="8"/>
    <n v="1528.75"/>
    <n v="12230"/>
  </r>
  <r>
    <s v="Maharashtra"/>
    <x v="2"/>
    <x v="1"/>
    <s v="Jacket"/>
    <n v="5"/>
    <n v="1906.48"/>
    <n v="9532.4"/>
  </r>
  <r>
    <s v="Maharashtra"/>
    <x v="2"/>
    <x v="0"/>
    <s v="Lunch Box"/>
    <n v="15"/>
    <n v="1187.53"/>
    <n v="17812.95"/>
  </r>
  <r>
    <s v="Telangana"/>
    <x v="1"/>
    <x v="4"/>
    <s v="Pen"/>
    <n v="6"/>
    <n v="352.17"/>
    <n v="2113.02"/>
  </r>
  <r>
    <s v="West Bengal"/>
    <x v="3"/>
    <x v="2"/>
    <s v="Bookshelf"/>
    <n v="4"/>
    <n v="2497.48"/>
    <n v="9989.92"/>
  </r>
  <r>
    <s v="Maharashtra"/>
    <x v="2"/>
    <x v="3"/>
    <s v="Power Bank"/>
    <n v="12"/>
    <n v="3151.94"/>
    <n v="37823.279999999999"/>
  </r>
  <r>
    <s v="Delhi"/>
    <x v="0"/>
    <x v="0"/>
    <s v="Storage Jar"/>
    <n v="6"/>
    <n v="225.22"/>
    <n v="1351.32"/>
  </r>
  <r>
    <s v="Tamil Nadu"/>
    <x v="1"/>
    <x v="2"/>
    <s v="Bookshelf"/>
    <n v="16"/>
    <n v="9898.94"/>
    <n v="158383.04000000001"/>
  </r>
  <r>
    <s v="Maharashtra"/>
    <x v="2"/>
    <x v="3"/>
    <s v="USB Cable"/>
    <n v="6"/>
    <n v="542.25"/>
    <n v="3253.5"/>
  </r>
  <r>
    <s v="Telangana"/>
    <x v="1"/>
    <x v="3"/>
    <s v="Keyboard"/>
    <n v="13"/>
    <n v="2771.24"/>
    <n v="36026.119999999995"/>
  </r>
  <r>
    <s v="Maharashtra"/>
    <x v="2"/>
    <x v="2"/>
    <s v="Office Chair"/>
    <n v="4"/>
    <n v="10819.74"/>
    <n v="43278.96"/>
  </r>
  <r>
    <s v="Delhi"/>
    <x v="0"/>
    <x v="0"/>
    <s v="Storage Jar"/>
    <n v="1"/>
    <n v="875.02"/>
    <n v="875.02"/>
  </r>
  <r>
    <s v="Karnataka"/>
    <x v="1"/>
    <x v="0"/>
    <s v="Water Bottle"/>
    <n v="14"/>
    <n v="827.88"/>
    <n v="11590.32"/>
  </r>
  <r>
    <s v="Bihar"/>
    <x v="3"/>
    <x v="2"/>
    <s v="Study Table"/>
    <n v="18"/>
    <n v="10866.65"/>
    <n v="195599.6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s v="Nishant"/>
    <x v="0"/>
    <s v="Delhi"/>
    <s v="North"/>
    <s v="Home &amp; Kitchen"/>
    <s v="Lunch Box"/>
    <n v="8"/>
    <n v="253.49"/>
    <n v="2027.92"/>
  </r>
  <r>
    <x v="1"/>
    <s v="Rahul"/>
    <x v="1"/>
    <s v="Delhi"/>
    <s v="North"/>
    <s v="Apparel"/>
    <s v="Jacket"/>
    <n v="2"/>
    <n v="205.12"/>
    <n v="410.24"/>
  </r>
  <r>
    <x v="2"/>
    <s v="Riya"/>
    <x v="0"/>
    <s v="Delhi"/>
    <s v="North"/>
    <s v="Apparel"/>
    <s v="Cap"/>
    <n v="23"/>
    <n v="1352.29"/>
    <n v="31102.67"/>
  </r>
  <r>
    <x v="3"/>
    <s v="Arjun"/>
    <x v="2"/>
    <s v="Karnataka"/>
    <s v="South"/>
    <s v="Furniture"/>
    <s v="Bookshelf"/>
    <n v="9"/>
    <n v="9999.02"/>
    <n v="89991.180000000008"/>
  </r>
  <r>
    <x v="4"/>
    <s v="Ananya"/>
    <x v="3"/>
    <s v="Rajasthan"/>
    <s v="North"/>
    <s v="Home &amp; Kitchen"/>
    <s v="Storage Jar"/>
    <n v="5"/>
    <n v="336.85"/>
    <n v="1684.25"/>
  </r>
  <r>
    <x v="5"/>
    <s v="Nishant"/>
    <x v="1"/>
    <s v="Delhi"/>
    <s v="North"/>
    <s v="Furniture"/>
    <s v="Study Table"/>
    <n v="12"/>
    <n v="10398.69"/>
    <n v="124784.28"/>
  </r>
  <r>
    <x v="6"/>
    <s v="Aditi"/>
    <x v="4"/>
    <s v="Delhi"/>
    <s v="North"/>
    <s v="Furniture"/>
    <s v="Bookshelf"/>
    <n v="4"/>
    <n v="11717.72"/>
    <n v="46870.879999999997"/>
  </r>
  <r>
    <x v="7"/>
    <s v="Meera"/>
    <x v="5"/>
    <s v="Tamil Nadu"/>
    <s v="South"/>
    <s v="Apparel"/>
    <s v="Socks"/>
    <n v="19"/>
    <n v="505.73"/>
    <n v="9608.8700000000008"/>
  </r>
  <r>
    <x v="8"/>
    <s v="Vihaan"/>
    <x v="2"/>
    <s v="Karnataka"/>
    <s v="South"/>
    <s v="Home &amp; Kitchen"/>
    <s v="Water Bottle"/>
    <n v="8"/>
    <n v="1053.1300000000001"/>
    <n v="8425.0400000000009"/>
  </r>
  <r>
    <x v="9"/>
    <s v="Aditi"/>
    <x v="6"/>
    <s v="Telangana"/>
    <s v="South"/>
    <s v="Home &amp; Kitchen"/>
    <s v="Lunch Box"/>
    <n v="12"/>
    <n v="490.8"/>
    <n v="5889.6"/>
  </r>
  <r>
    <x v="10"/>
    <s v="Aditi"/>
    <x v="1"/>
    <s v="Delhi"/>
    <s v="North"/>
    <s v="Apparel"/>
    <s v="Cap"/>
    <n v="18"/>
    <n v="1498.88"/>
    <n v="26979.840000000004"/>
  </r>
  <r>
    <x v="11"/>
    <s v="Priya"/>
    <x v="7"/>
    <s v="Gujarat"/>
    <s v="West"/>
    <s v="Home &amp; Kitchen"/>
    <s v="Lunch Box"/>
    <n v="22"/>
    <n v="456.71"/>
    <n v="10047.619999999999"/>
  </r>
  <r>
    <x v="12"/>
    <s v="Riya"/>
    <x v="4"/>
    <s v="Delhi"/>
    <s v="North"/>
    <s v="Home &amp; Kitchen"/>
    <s v="Steel Plate"/>
    <n v="9"/>
    <n v="172.81"/>
    <n v="1555.29"/>
  </r>
  <r>
    <x v="13"/>
    <s v="Rohan"/>
    <x v="8"/>
    <s v="Karnataka"/>
    <s v="South"/>
    <s v="Furniture"/>
    <s v="Office Chair"/>
    <n v="21"/>
    <n v="6317.94"/>
    <n v="132676.74"/>
  </r>
  <r>
    <x v="14"/>
    <s v="Kabir"/>
    <x v="2"/>
    <s v="Karnataka"/>
    <s v="South"/>
    <s v="Apparel"/>
    <s v="Socks"/>
    <n v="24"/>
    <n v="1231.48"/>
    <n v="29555.52"/>
  </r>
  <r>
    <x v="15"/>
    <s v="Kabir"/>
    <x v="9"/>
    <s v="Bihar"/>
    <s v="East"/>
    <s v="Electronics"/>
    <s v="Earphones"/>
    <n v="17"/>
    <n v="1828.6"/>
    <n v="31086.199999999997"/>
  </r>
  <r>
    <x v="16"/>
    <s v="Nishant"/>
    <x v="10"/>
    <s v="Maharashtra"/>
    <s v="West"/>
    <s v="Electronics"/>
    <s v="Mouse"/>
    <n v="20"/>
    <n v="409.64"/>
    <n v="8192.7999999999993"/>
  </r>
  <r>
    <x v="17"/>
    <s v="Yash"/>
    <x v="6"/>
    <s v="Telangana"/>
    <s v="South"/>
    <s v="Apparel"/>
    <s v="Socks"/>
    <n v="18"/>
    <n v="1742.44"/>
    <n v="31363.920000000002"/>
  </r>
  <r>
    <x v="18"/>
    <s v="Nishant"/>
    <x v="11"/>
    <s v="Tamil Nadu"/>
    <s v="South"/>
    <s v="Home &amp; Kitchen"/>
    <s v="Water Bottle"/>
    <n v="10"/>
    <n v="578.24"/>
    <n v="5782.4"/>
  </r>
  <r>
    <x v="19"/>
    <s v="Ishita"/>
    <x v="11"/>
    <s v="Tamil Nadu"/>
    <s v="South"/>
    <s v="Apparel"/>
    <s v="Cap"/>
    <n v="17"/>
    <n v="1838.36"/>
    <n v="31252.12"/>
  </r>
  <r>
    <x v="20"/>
    <s v="Aarohi"/>
    <x v="8"/>
    <s v="Karnataka"/>
    <s v="South"/>
    <s v="Electronics"/>
    <s v="Power Bank"/>
    <n v="25"/>
    <n v="733.11"/>
    <n v="18327.75"/>
  </r>
  <r>
    <x v="21"/>
    <s v="Ishita"/>
    <x v="12"/>
    <s v="West Bengal"/>
    <s v="East"/>
    <s v="Furniture"/>
    <s v="Study Table"/>
    <n v="4"/>
    <n v="11255.54"/>
    <n v="45022.16"/>
  </r>
  <r>
    <x v="22"/>
    <s v="Riya"/>
    <x v="4"/>
    <s v="Delhi"/>
    <s v="North"/>
    <s v="Electronics"/>
    <s v="Keyboard"/>
    <n v="3"/>
    <n v="482.66"/>
    <n v="1447.98"/>
  </r>
  <r>
    <x v="23"/>
    <s v="Meera"/>
    <x v="10"/>
    <s v="Maharashtra"/>
    <s v="West"/>
    <s v="Electronics"/>
    <s v="Mouse"/>
    <n v="18"/>
    <n v="744.92"/>
    <n v="13408.56"/>
  </r>
  <r>
    <x v="24"/>
    <s v="Yash"/>
    <x v="3"/>
    <s v="Rajasthan"/>
    <s v="North"/>
    <s v="Electronics"/>
    <s v="Keyboard"/>
    <n v="25"/>
    <n v="2608.77"/>
    <n v="65219.25"/>
  </r>
  <r>
    <x v="25"/>
    <s v="Aarohi"/>
    <x v="7"/>
    <s v="Gujarat"/>
    <s v="West"/>
    <s v="Home &amp; Kitchen"/>
    <s v="Steel Plate"/>
    <n v="17"/>
    <n v="596.63"/>
    <n v="10142.709999999999"/>
  </r>
  <r>
    <x v="26"/>
    <s v="Riya"/>
    <x v="1"/>
    <s v="Delhi"/>
    <s v="North"/>
    <s v="Home &amp; Kitchen"/>
    <s v="Water Bottle"/>
    <n v="19"/>
    <n v="709.31"/>
    <n v="13476.89"/>
  </r>
  <r>
    <x v="27"/>
    <s v="Riya"/>
    <x v="0"/>
    <s v="Delhi"/>
    <s v="North"/>
    <s v="Stationery"/>
    <s v="Sketch Pens"/>
    <n v="21"/>
    <n v="42.37"/>
    <n v="889.77"/>
  </r>
  <r>
    <x v="28"/>
    <s v="Vihaan"/>
    <x v="12"/>
    <s v="West Bengal"/>
    <s v="East"/>
    <s v="Stationery"/>
    <s v="Pencil Box"/>
    <n v="8"/>
    <n v="125.82"/>
    <n v="1006.56"/>
  </r>
  <r>
    <x v="23"/>
    <s v="Aarav"/>
    <x v="10"/>
    <s v="Maharashtra"/>
    <s v="West"/>
    <s v="Apparel"/>
    <s v="Jacket"/>
    <n v="8"/>
    <n v="1601.55"/>
    <n v="12812.4"/>
  </r>
  <r>
    <x v="29"/>
    <s v="Aarav"/>
    <x v="13"/>
    <s v="Maharashtra"/>
    <s v="West"/>
    <s v="Stationery"/>
    <s v="Sketch Pens"/>
    <n v="14"/>
    <n v="154.63"/>
    <n v="2164.8199999999997"/>
  </r>
  <r>
    <x v="30"/>
    <s v="Priya"/>
    <x v="4"/>
    <s v="Delhi"/>
    <s v="North"/>
    <s v="Stationery"/>
    <s v="Pen"/>
    <n v="13"/>
    <n v="296.72000000000003"/>
    <n v="3857.3600000000006"/>
  </r>
  <r>
    <x v="31"/>
    <s v="Riya"/>
    <x v="8"/>
    <s v="Karnataka"/>
    <s v="South"/>
    <s v="Electronics"/>
    <s v="Keyboard"/>
    <n v="15"/>
    <n v="662.6"/>
    <n v="9939"/>
  </r>
  <r>
    <x v="32"/>
    <s v="Aditi"/>
    <x v="6"/>
    <s v="Telangana"/>
    <s v="South"/>
    <s v="Electronics"/>
    <s v="USB Cable"/>
    <n v="15"/>
    <n v="2866.47"/>
    <n v="42997.049999999996"/>
  </r>
  <r>
    <x v="33"/>
    <s v="Nishant"/>
    <x v="4"/>
    <s v="Delhi"/>
    <s v="North"/>
    <s v="Apparel"/>
    <s v="T-Shirt"/>
    <n v="3"/>
    <n v="1863.78"/>
    <n v="5591.34"/>
  </r>
  <r>
    <x v="34"/>
    <s v="Ananya"/>
    <x v="3"/>
    <s v="Rajasthan"/>
    <s v="North"/>
    <s v="Furniture"/>
    <s v="Office Chair"/>
    <n v="7"/>
    <n v="10578.83"/>
    <n v="74051.81"/>
  </r>
  <r>
    <x v="35"/>
    <s v="Ananya"/>
    <x v="7"/>
    <s v="Gujarat"/>
    <s v="West"/>
    <s v="Stationery"/>
    <s v="Ruler"/>
    <n v="9"/>
    <n v="372.08"/>
    <n v="3348.72"/>
  </r>
  <r>
    <x v="36"/>
    <s v="Aarohi"/>
    <x v="3"/>
    <s v="Rajasthan"/>
    <s v="North"/>
    <s v="Apparel"/>
    <s v="Jacket"/>
    <n v="5"/>
    <n v="501.31"/>
    <n v="2506.5500000000002"/>
  </r>
  <r>
    <x v="37"/>
    <s v="Vihaan"/>
    <x v="4"/>
    <s v="Delhi"/>
    <s v="North"/>
    <s v="Home &amp; Kitchen"/>
    <s v="Water Bottle"/>
    <n v="2"/>
    <n v="742.6"/>
    <n v="1485.2"/>
  </r>
  <r>
    <x v="38"/>
    <s v="Neha"/>
    <x v="14"/>
    <s v="Maharashtra"/>
    <s v="West"/>
    <s v="Stationery"/>
    <s v="Pencil Box"/>
    <n v="3"/>
    <n v="343.51"/>
    <n v="1030.53"/>
  </r>
  <r>
    <x v="39"/>
    <s v="Yash"/>
    <x v="1"/>
    <s v="Delhi"/>
    <s v="North"/>
    <s v="Electronics"/>
    <s v="Mouse"/>
    <n v="4"/>
    <n v="3307.27"/>
    <n v="13229.08"/>
  </r>
  <r>
    <x v="40"/>
    <s v="Riya"/>
    <x v="4"/>
    <s v="Delhi"/>
    <s v="North"/>
    <s v="Apparel"/>
    <s v="T-Shirt"/>
    <n v="14"/>
    <n v="1366.14"/>
    <n v="19125.960000000003"/>
  </r>
  <r>
    <x v="41"/>
    <s v="Neha"/>
    <x v="12"/>
    <s v="West Bengal"/>
    <s v="East"/>
    <s v="Home &amp; Kitchen"/>
    <s v="Lunch Box"/>
    <n v="22"/>
    <n v="887.81"/>
    <n v="19531.82"/>
  </r>
  <r>
    <x v="42"/>
    <s v="Aditi"/>
    <x v="7"/>
    <s v="Gujarat"/>
    <s v="West"/>
    <s v="Electronics"/>
    <s v="Power Bank"/>
    <n v="15"/>
    <n v="1243.3800000000001"/>
    <n v="18650.7"/>
  </r>
  <r>
    <x v="43"/>
    <s v="Ishita"/>
    <x v="6"/>
    <s v="Telangana"/>
    <s v="South"/>
    <s v="Apparel"/>
    <s v="T-Shirt"/>
    <n v="3"/>
    <n v="1144.6199999999999"/>
    <n v="3433.8599999999997"/>
  </r>
  <r>
    <x v="44"/>
    <s v="Aditi"/>
    <x v="10"/>
    <s v="Maharashtra"/>
    <s v="West"/>
    <s v="Home &amp; Kitchen"/>
    <s v="Water Bottle"/>
    <n v="8"/>
    <n v="506.48"/>
    <n v="4051.84"/>
  </r>
  <r>
    <x v="45"/>
    <s v="Priya"/>
    <x v="5"/>
    <s v="Tamil Nadu"/>
    <s v="South"/>
    <s v="Apparel"/>
    <s v="T-Shirt"/>
    <n v="22"/>
    <n v="1661.64"/>
    <n v="36556.080000000002"/>
  </r>
  <r>
    <x v="46"/>
    <s v="Nishant"/>
    <x v="10"/>
    <s v="Maharashtra"/>
    <s v="West"/>
    <s v="Home &amp; Kitchen"/>
    <s v="Water Bottle"/>
    <n v="4"/>
    <n v="916.66"/>
    <n v="3666.64"/>
  </r>
  <r>
    <x v="47"/>
    <s v="Aditi"/>
    <x v="5"/>
    <s v="Tamil Nadu"/>
    <s v="South"/>
    <s v="Apparel"/>
    <s v="Cap"/>
    <n v="23"/>
    <n v="784.33"/>
    <n v="18039.59"/>
  </r>
  <r>
    <x v="48"/>
    <s v="Aditi"/>
    <x v="15"/>
    <s v="Uttar Pradesh"/>
    <s v="North"/>
    <s v="Home &amp; Kitchen"/>
    <s v="Water Bottle"/>
    <n v="3"/>
    <n v="797.71"/>
    <n v="2393.13"/>
  </r>
  <r>
    <x v="49"/>
    <s v="Vihaan"/>
    <x v="0"/>
    <s v="Delhi"/>
    <s v="North"/>
    <s v="Home &amp; Kitchen"/>
    <s v="Lunch Box"/>
    <n v="21"/>
    <n v="1177.78"/>
    <n v="24733.38"/>
  </r>
  <r>
    <x v="50"/>
    <s v="Priya"/>
    <x v="3"/>
    <s v="Rajasthan"/>
    <s v="North"/>
    <s v="Apparel"/>
    <s v="T-Shirt"/>
    <n v="4"/>
    <n v="289.2"/>
    <n v="1156.8"/>
  </r>
  <r>
    <x v="51"/>
    <s v="Kabir"/>
    <x v="4"/>
    <s v="Delhi"/>
    <s v="North"/>
    <s v="Home &amp; Kitchen"/>
    <s v="Lunch Box"/>
    <n v="14"/>
    <n v="240.19"/>
    <n v="3362.66"/>
  </r>
  <r>
    <x v="52"/>
    <s v="Sanya"/>
    <x v="4"/>
    <s v="Delhi"/>
    <s v="North"/>
    <s v="Home &amp; Kitchen"/>
    <s v="Lunch Box"/>
    <n v="22"/>
    <n v="374.48"/>
    <n v="8238.5600000000013"/>
  </r>
  <r>
    <x v="53"/>
    <s v="Sanya"/>
    <x v="3"/>
    <s v="Rajasthan"/>
    <s v="North"/>
    <s v="Apparel"/>
    <s v="Cap"/>
    <n v="8"/>
    <n v="1749.52"/>
    <n v="13996.16"/>
  </r>
  <r>
    <x v="54"/>
    <s v="Arjun"/>
    <x v="0"/>
    <s v="Delhi"/>
    <s v="North"/>
    <s v="Electronics"/>
    <s v="Power Bank"/>
    <n v="14"/>
    <n v="2847.38"/>
    <n v="39863.32"/>
  </r>
  <r>
    <x v="55"/>
    <s v="Aditi"/>
    <x v="14"/>
    <s v="Maharashtra"/>
    <s v="West"/>
    <s v="Stationery"/>
    <s v="Ruler"/>
    <n v="2"/>
    <n v="346.27"/>
    <n v="692.54"/>
  </r>
  <r>
    <x v="56"/>
    <s v="Aarav"/>
    <x v="6"/>
    <s v="Telangana"/>
    <s v="South"/>
    <s v="Home &amp; Kitchen"/>
    <s v="Storage Jar"/>
    <n v="8"/>
    <n v="345.22"/>
    <n v="2761.76"/>
  </r>
  <r>
    <x v="57"/>
    <s v="Aarav"/>
    <x v="7"/>
    <s v="Gujarat"/>
    <s v="West"/>
    <s v="Home &amp; Kitchen"/>
    <s v="Storage Jar"/>
    <n v="3"/>
    <n v="1163.58"/>
    <n v="3490.74"/>
  </r>
  <r>
    <x v="58"/>
    <s v="Sanya"/>
    <x v="7"/>
    <s v="Gujarat"/>
    <s v="West"/>
    <s v="Apparel"/>
    <s v="Socks"/>
    <n v="1"/>
    <n v="363.38"/>
    <n v="363.38"/>
  </r>
  <r>
    <x v="59"/>
    <s v="Ananya"/>
    <x v="11"/>
    <s v="Tamil Nadu"/>
    <s v="South"/>
    <s v="Stationery"/>
    <s v="Pen"/>
    <n v="20"/>
    <n v="185.13"/>
    <n v="3702.6"/>
  </r>
  <r>
    <x v="60"/>
    <s v="Arjun"/>
    <x v="13"/>
    <s v="Maharashtra"/>
    <s v="West"/>
    <s v="Furniture"/>
    <s v="Bookshelf"/>
    <n v="7"/>
    <n v="4174.59"/>
    <n v="29222.13"/>
  </r>
  <r>
    <x v="61"/>
    <s v="Arjun"/>
    <x v="0"/>
    <s v="Delhi"/>
    <s v="North"/>
    <s v="Apparel"/>
    <s v="Cap"/>
    <n v="12"/>
    <n v="947.9"/>
    <n v="11374.8"/>
  </r>
  <r>
    <x v="62"/>
    <s v="Rohan"/>
    <x v="12"/>
    <s v="West Bengal"/>
    <s v="East"/>
    <s v="Stationery"/>
    <s v="Sketch Pens"/>
    <n v="10"/>
    <n v="212.71"/>
    <n v="2127.1"/>
  </r>
  <r>
    <x v="63"/>
    <s v="Arjun"/>
    <x v="12"/>
    <s v="West Bengal"/>
    <s v="East"/>
    <s v="Furniture"/>
    <s v="Bookshelf"/>
    <n v="10"/>
    <n v="7321.33"/>
    <n v="73213.3"/>
  </r>
  <r>
    <x v="64"/>
    <s v="Arjun"/>
    <x v="7"/>
    <s v="Gujarat"/>
    <s v="West"/>
    <s v="Electronics"/>
    <s v="Keyboard"/>
    <n v="19"/>
    <n v="1193.1300000000001"/>
    <n v="22669.47"/>
  </r>
  <r>
    <x v="65"/>
    <s v="Ishita"/>
    <x v="5"/>
    <s v="Tamil Nadu"/>
    <s v="South"/>
    <s v="Home &amp; Kitchen"/>
    <s v="Lunch Box"/>
    <n v="14"/>
    <n v="964.33"/>
    <n v="13500.62"/>
  </r>
  <r>
    <x v="66"/>
    <s v="Rohan"/>
    <x v="6"/>
    <s v="Telangana"/>
    <s v="South"/>
    <s v="Furniture"/>
    <s v="Office Chair"/>
    <n v="22"/>
    <n v="3743.86"/>
    <n v="82364.92"/>
  </r>
  <r>
    <x v="67"/>
    <s v="Ananya"/>
    <x v="1"/>
    <s v="Delhi"/>
    <s v="North"/>
    <s v="Home &amp; Kitchen"/>
    <s v="Storage Jar"/>
    <n v="3"/>
    <n v="1000.27"/>
    <n v="3000.81"/>
  </r>
  <r>
    <x v="68"/>
    <s v="Aarohi"/>
    <x v="2"/>
    <s v="Karnataka"/>
    <s v="South"/>
    <s v="Electronics"/>
    <s v="Earphones"/>
    <n v="1"/>
    <n v="352.51"/>
    <n v="352.51"/>
  </r>
  <r>
    <x v="69"/>
    <s v="Yash"/>
    <x v="1"/>
    <s v="Delhi"/>
    <s v="North"/>
    <s v="Furniture"/>
    <s v="Office Chair"/>
    <n v="21"/>
    <n v="7544.54"/>
    <n v="158435.34"/>
  </r>
  <r>
    <x v="70"/>
    <s v="Kabir"/>
    <x v="15"/>
    <s v="Uttar Pradesh"/>
    <s v="North"/>
    <s v="Furniture"/>
    <s v="Study Table"/>
    <n v="5"/>
    <n v="8388.61"/>
    <n v="41943.05"/>
  </r>
  <r>
    <x v="71"/>
    <s v="Nishant"/>
    <x v="3"/>
    <s v="Rajasthan"/>
    <s v="North"/>
    <s v="Electronics"/>
    <s v="Earphones"/>
    <n v="23"/>
    <n v="1909.26"/>
    <n v="43912.98"/>
  </r>
  <r>
    <x v="72"/>
    <s v="Rahul"/>
    <x v="2"/>
    <s v="Karnataka"/>
    <s v="South"/>
    <s v="Stationery"/>
    <s v="Ruler"/>
    <n v="5"/>
    <n v="324.54000000000002"/>
    <n v="1622.7"/>
  </r>
  <r>
    <x v="73"/>
    <s v="Neha"/>
    <x v="12"/>
    <s v="West Bengal"/>
    <s v="East"/>
    <s v="Furniture"/>
    <s v="Bookshelf"/>
    <n v="24"/>
    <n v="10866.21"/>
    <n v="260789.03999999998"/>
  </r>
  <r>
    <x v="74"/>
    <s v="Rahul"/>
    <x v="6"/>
    <s v="Telangana"/>
    <s v="South"/>
    <s v="Electronics"/>
    <s v="Mouse"/>
    <n v="15"/>
    <n v="1055.33"/>
    <n v="15829.949999999999"/>
  </r>
  <r>
    <x v="26"/>
    <s v="Aditi"/>
    <x v="15"/>
    <s v="Uttar Pradesh"/>
    <s v="North"/>
    <s v="Electronics"/>
    <s v="Power Bank"/>
    <n v="15"/>
    <n v="455.7"/>
    <n v="6835.5"/>
  </r>
  <r>
    <x v="75"/>
    <s v="Riya"/>
    <x v="11"/>
    <s v="Tamil Nadu"/>
    <s v="South"/>
    <s v="Home &amp; Kitchen"/>
    <s v="Storage Jar"/>
    <n v="18"/>
    <n v="188.64"/>
    <n v="3395.5199999999995"/>
  </r>
  <r>
    <x v="76"/>
    <s v="Riya"/>
    <x v="7"/>
    <s v="Gujarat"/>
    <s v="West"/>
    <s v="Electronics"/>
    <s v="Earphones"/>
    <n v="3"/>
    <n v="1569.06"/>
    <n v="4707.18"/>
  </r>
  <r>
    <x v="77"/>
    <s v="Rahul"/>
    <x v="6"/>
    <s v="Telangana"/>
    <s v="South"/>
    <s v="Furniture"/>
    <s v="Study Table"/>
    <n v="7"/>
    <n v="10245.36"/>
    <n v="71717.52"/>
  </r>
  <r>
    <x v="78"/>
    <s v="Simran"/>
    <x v="0"/>
    <s v="Delhi"/>
    <s v="North"/>
    <s v="Apparel"/>
    <s v="Jacket"/>
    <n v="16"/>
    <n v="160.91"/>
    <n v="2574.56"/>
  </r>
  <r>
    <x v="79"/>
    <s v="Aarohi"/>
    <x v="7"/>
    <s v="Gujarat"/>
    <s v="West"/>
    <s v="Furniture"/>
    <s v="Bookshelf"/>
    <n v="24"/>
    <n v="9213.66"/>
    <n v="221127.84"/>
  </r>
  <r>
    <x v="80"/>
    <s v="Riya"/>
    <x v="15"/>
    <s v="Uttar Pradesh"/>
    <s v="North"/>
    <s v="Electronics"/>
    <s v="Power Bank"/>
    <n v="14"/>
    <n v="1802.62"/>
    <n v="25236.68"/>
  </r>
  <r>
    <x v="78"/>
    <s v="Rohan"/>
    <x v="7"/>
    <s v="Gujarat"/>
    <s v="West"/>
    <s v="Electronics"/>
    <s v="Mouse"/>
    <n v="5"/>
    <n v="3436.38"/>
    <n v="17181.900000000001"/>
  </r>
  <r>
    <x v="81"/>
    <s v="Ishita"/>
    <x v="7"/>
    <s v="Gujarat"/>
    <s v="West"/>
    <s v="Apparel"/>
    <s v="T-Shirt"/>
    <n v="3"/>
    <n v="1339.09"/>
    <n v="4017.2699999999995"/>
  </r>
  <r>
    <x v="82"/>
    <s v="Priya"/>
    <x v="14"/>
    <s v="Maharashtra"/>
    <s v="West"/>
    <s v="Stationery"/>
    <s v="Eraser"/>
    <n v="13"/>
    <n v="144.38999999999999"/>
    <n v="1877.0699999999997"/>
  </r>
  <r>
    <x v="36"/>
    <s v="Rohan"/>
    <x v="12"/>
    <s v="West Bengal"/>
    <s v="East"/>
    <s v="Furniture"/>
    <s v="Office Chair"/>
    <n v="25"/>
    <n v="11487.64"/>
    <n v="287191"/>
  </r>
  <r>
    <x v="83"/>
    <s v="Aditi"/>
    <x v="1"/>
    <s v="Delhi"/>
    <s v="North"/>
    <s v="Furniture"/>
    <s v="Study Table"/>
    <n v="24"/>
    <n v="7163.9"/>
    <n v="171933.59999999998"/>
  </r>
  <r>
    <x v="84"/>
    <s v="Riya"/>
    <x v="1"/>
    <s v="Delhi"/>
    <s v="North"/>
    <s v="Stationery"/>
    <s v="Highlighter"/>
    <n v="1"/>
    <n v="380.85"/>
    <n v="380.85"/>
  </r>
  <r>
    <x v="85"/>
    <s v="Ishita"/>
    <x v="10"/>
    <s v="Maharashtra"/>
    <s v="West"/>
    <s v="Electronics"/>
    <s v="Earphones"/>
    <n v="16"/>
    <n v="2409.21"/>
    <n v="38547.360000000001"/>
  </r>
  <r>
    <x v="86"/>
    <s v="Aarav"/>
    <x v="6"/>
    <s v="Telangana"/>
    <s v="South"/>
    <s v="Home &amp; Kitchen"/>
    <s v="Storage Jar"/>
    <n v="6"/>
    <n v="766.48"/>
    <n v="4598.88"/>
  </r>
  <r>
    <x v="87"/>
    <s v="Ananya"/>
    <x v="5"/>
    <s v="Tamil Nadu"/>
    <s v="South"/>
    <s v="Stationery"/>
    <s v="Pencil Box"/>
    <n v="1"/>
    <n v="372.98"/>
    <n v="372.98"/>
  </r>
  <r>
    <x v="88"/>
    <s v="Kabir"/>
    <x v="7"/>
    <s v="Gujarat"/>
    <s v="West"/>
    <s v="Electronics"/>
    <s v="USB Cable"/>
    <n v="19"/>
    <n v="2479.0300000000002"/>
    <n v="47101.570000000007"/>
  </r>
  <r>
    <x v="89"/>
    <s v="Riya"/>
    <x v="13"/>
    <s v="Maharashtra"/>
    <s v="West"/>
    <s v="Home &amp; Kitchen"/>
    <s v="Water Bottle"/>
    <n v="19"/>
    <n v="960.9"/>
    <n v="18257.099999999999"/>
  </r>
  <r>
    <x v="90"/>
    <s v="Rahul"/>
    <x v="3"/>
    <s v="Rajasthan"/>
    <s v="North"/>
    <s v="Home &amp; Kitchen"/>
    <s v="Water Bottle"/>
    <n v="17"/>
    <n v="812.3"/>
    <n v="13809.099999999999"/>
  </r>
  <r>
    <x v="91"/>
    <s v="Arjun"/>
    <x v="15"/>
    <s v="Uttar Pradesh"/>
    <s v="North"/>
    <s v="Stationery"/>
    <s v="Ruler"/>
    <n v="12"/>
    <n v="261.52"/>
    <n v="3138.24"/>
  </r>
  <r>
    <x v="92"/>
    <s v="Kabir"/>
    <x v="3"/>
    <s v="Rajasthan"/>
    <s v="North"/>
    <s v="Electronics"/>
    <s v="Keyboard"/>
    <n v="21"/>
    <n v="1091.27"/>
    <n v="22916.67"/>
  </r>
  <r>
    <x v="93"/>
    <s v="Karan"/>
    <x v="6"/>
    <s v="Telangana"/>
    <s v="South"/>
    <s v="Furniture"/>
    <s v="Bookshelf"/>
    <n v="19"/>
    <n v="4318.1499999999996"/>
    <n v="82044.849999999991"/>
  </r>
  <r>
    <x v="94"/>
    <s v="Meera"/>
    <x v="11"/>
    <s v="Tamil Nadu"/>
    <s v="South"/>
    <s v="Furniture"/>
    <s v="Study Table"/>
    <n v="25"/>
    <n v="6379.44"/>
    <n v="159486"/>
  </r>
  <r>
    <x v="95"/>
    <s v="Kabir"/>
    <x v="12"/>
    <s v="West Bengal"/>
    <s v="East"/>
    <s v="Stationery"/>
    <s v="Ruler"/>
    <n v="11"/>
    <n v="89.1"/>
    <n v="980.09999999999991"/>
  </r>
  <r>
    <x v="96"/>
    <s v="Sanya"/>
    <x v="11"/>
    <s v="Tamil Nadu"/>
    <s v="South"/>
    <s v="Home &amp; Kitchen"/>
    <s v="Storage Jar"/>
    <n v="20"/>
    <n v="871.3"/>
    <n v="17426"/>
  </r>
  <r>
    <x v="97"/>
    <s v="Rahul"/>
    <x v="0"/>
    <s v="Delhi"/>
    <s v="North"/>
    <s v="Apparel"/>
    <s v="Cap"/>
    <n v="3"/>
    <n v="596.51"/>
    <n v="1789.53"/>
  </r>
  <r>
    <x v="29"/>
    <s v="Karan"/>
    <x v="2"/>
    <s v="Karnataka"/>
    <s v="South"/>
    <s v="Furniture"/>
    <s v="Bookshelf"/>
    <n v="23"/>
    <n v="6653.62"/>
    <n v="153033.26"/>
  </r>
  <r>
    <x v="98"/>
    <s v="Meera"/>
    <x v="5"/>
    <s v="Tamil Nadu"/>
    <s v="South"/>
    <s v="Electronics"/>
    <s v="Mouse"/>
    <n v="23"/>
    <n v="1002.91"/>
    <n v="23066.93"/>
  </r>
  <r>
    <x v="99"/>
    <s v="Simran"/>
    <x v="9"/>
    <s v="Bihar"/>
    <s v="East"/>
    <s v="Furniture"/>
    <s v="Bookshelf"/>
    <n v="17"/>
    <n v="5109.45"/>
    <n v="86860.65"/>
  </r>
  <r>
    <x v="33"/>
    <s v="Rohan"/>
    <x v="9"/>
    <s v="Bihar"/>
    <s v="East"/>
    <s v="Furniture"/>
    <s v="Office Chair"/>
    <n v="10"/>
    <n v="4139.74"/>
    <n v="41397.399999999994"/>
  </r>
  <r>
    <x v="100"/>
    <s v="Aarav"/>
    <x v="12"/>
    <s v="West Bengal"/>
    <s v="East"/>
    <s v="Stationery"/>
    <s v="Sketch Pens"/>
    <n v="18"/>
    <n v="381.33"/>
    <n v="6863.94"/>
  </r>
  <r>
    <x v="101"/>
    <s v="Ananya"/>
    <x v="8"/>
    <s v="Karnataka"/>
    <s v="South"/>
    <s v="Electronics"/>
    <s v="Mouse"/>
    <n v="9"/>
    <n v="2591.13"/>
    <n v="23320.170000000002"/>
  </r>
  <r>
    <x v="102"/>
    <s v="Yash"/>
    <x v="5"/>
    <s v="Tamil Nadu"/>
    <s v="South"/>
    <s v="Stationery"/>
    <s v="Highlighter"/>
    <n v="7"/>
    <n v="132.57"/>
    <n v="927.99"/>
  </r>
  <r>
    <x v="103"/>
    <s v="Ananya"/>
    <x v="5"/>
    <s v="Tamil Nadu"/>
    <s v="South"/>
    <s v="Stationery"/>
    <s v="Sketch Pens"/>
    <n v="18"/>
    <n v="68.099999999999994"/>
    <n v="1225.8"/>
  </r>
  <r>
    <x v="104"/>
    <s v="Vihaan"/>
    <x v="5"/>
    <s v="Tamil Nadu"/>
    <s v="South"/>
    <s v="Electronics"/>
    <s v="Mouse"/>
    <n v="4"/>
    <n v="3079.98"/>
    <n v="12319.92"/>
  </r>
  <r>
    <x v="105"/>
    <s v="Aarohi"/>
    <x v="15"/>
    <s v="Uttar Pradesh"/>
    <s v="North"/>
    <s v="Furniture"/>
    <s v="Office Chair"/>
    <n v="11"/>
    <n v="3435.82"/>
    <n v="37794.020000000004"/>
  </r>
  <r>
    <x v="106"/>
    <s v="Aditi"/>
    <x v="15"/>
    <s v="Uttar Pradesh"/>
    <s v="North"/>
    <s v="Stationery"/>
    <s v="Highlighter"/>
    <n v="3"/>
    <n v="172.27"/>
    <n v="516.81000000000006"/>
  </r>
  <r>
    <x v="107"/>
    <s v="Simran"/>
    <x v="4"/>
    <s v="Delhi"/>
    <s v="North"/>
    <s v="Electronics"/>
    <s v="Earphones"/>
    <n v="19"/>
    <n v="3332.11"/>
    <n v="63310.090000000004"/>
  </r>
  <r>
    <x v="108"/>
    <s v="Riya"/>
    <x v="13"/>
    <s v="Maharashtra"/>
    <s v="West"/>
    <s v="Apparel"/>
    <s v="Jacket"/>
    <n v="20"/>
    <n v="1252.83"/>
    <n v="25056.6"/>
  </r>
  <r>
    <x v="109"/>
    <s v="Riya"/>
    <x v="7"/>
    <s v="Gujarat"/>
    <s v="West"/>
    <s v="Furniture"/>
    <s v="Office Chair"/>
    <n v="10"/>
    <n v="10531.75"/>
    <n v="105317.5"/>
  </r>
  <r>
    <x v="110"/>
    <s v="Aarohi"/>
    <x v="4"/>
    <s v="Delhi"/>
    <s v="North"/>
    <s v="Apparel"/>
    <s v="T-Shirt"/>
    <n v="25"/>
    <n v="534.41"/>
    <n v="13360.25"/>
  </r>
  <r>
    <x v="111"/>
    <s v="Aditi"/>
    <x v="1"/>
    <s v="Delhi"/>
    <s v="North"/>
    <s v="Electronics"/>
    <s v="Earphones"/>
    <n v="6"/>
    <n v="2021.57"/>
    <n v="12129.42"/>
  </r>
  <r>
    <x v="112"/>
    <s v="Ishita"/>
    <x v="3"/>
    <s v="Rajasthan"/>
    <s v="North"/>
    <s v="Furniture"/>
    <s v="Bookshelf"/>
    <n v="20"/>
    <n v="6434.08"/>
    <n v="128681.60000000001"/>
  </r>
  <r>
    <x v="113"/>
    <s v="Riya"/>
    <x v="5"/>
    <s v="Tamil Nadu"/>
    <s v="South"/>
    <s v="Home &amp; Kitchen"/>
    <s v="Steel Plate"/>
    <n v="3"/>
    <n v="856.12"/>
    <n v="2568.36"/>
  </r>
  <r>
    <x v="114"/>
    <s v="Simran"/>
    <x v="8"/>
    <s v="Karnataka"/>
    <s v="South"/>
    <s v="Furniture"/>
    <s v="Study Table"/>
    <n v="18"/>
    <n v="3860.5"/>
    <n v="69489"/>
  </r>
  <r>
    <x v="115"/>
    <s v="Aditi"/>
    <x v="10"/>
    <s v="Maharashtra"/>
    <s v="West"/>
    <s v="Stationery"/>
    <s v="Pen"/>
    <n v="6"/>
    <n v="321.2"/>
    <n v="1927.1999999999998"/>
  </r>
  <r>
    <x v="116"/>
    <s v="Simran"/>
    <x v="5"/>
    <s v="Tamil Nadu"/>
    <s v="South"/>
    <s v="Furniture"/>
    <s v="Study Table"/>
    <n v="15"/>
    <n v="8731.1200000000008"/>
    <n v="130966.80000000002"/>
  </r>
  <r>
    <x v="117"/>
    <s v="Kabir"/>
    <x v="11"/>
    <s v="Tamil Nadu"/>
    <s v="South"/>
    <s v="Apparel"/>
    <s v="Jacket"/>
    <n v="15"/>
    <n v="298.82"/>
    <n v="4482.3"/>
  </r>
  <r>
    <x v="118"/>
    <s v="Arjun"/>
    <x v="12"/>
    <s v="West Bengal"/>
    <s v="East"/>
    <s v="Apparel"/>
    <s v="Socks"/>
    <n v="1"/>
    <n v="318.95"/>
    <n v="318.95"/>
  </r>
  <r>
    <x v="119"/>
    <s v="Simran"/>
    <x v="0"/>
    <s v="Delhi"/>
    <s v="North"/>
    <s v="Home &amp; Kitchen"/>
    <s v="Water Bottle"/>
    <n v="25"/>
    <n v="931.9"/>
    <n v="23297.5"/>
  </r>
  <r>
    <x v="120"/>
    <s v="Neha"/>
    <x v="6"/>
    <s v="Telangana"/>
    <s v="South"/>
    <s v="Home &amp; Kitchen"/>
    <s v="Lunch Box"/>
    <n v="19"/>
    <n v="579.47"/>
    <n v="11009.93"/>
  </r>
  <r>
    <x v="121"/>
    <s v="Meera"/>
    <x v="15"/>
    <s v="Uttar Pradesh"/>
    <s v="North"/>
    <s v="Home &amp; Kitchen"/>
    <s v="Steel Plate"/>
    <n v="11"/>
    <n v="453.16"/>
    <n v="4984.76"/>
  </r>
  <r>
    <x v="122"/>
    <s v="Ananya"/>
    <x v="12"/>
    <s v="West Bengal"/>
    <s v="East"/>
    <s v="Furniture"/>
    <s v="Bookshelf"/>
    <n v="16"/>
    <n v="4526.29"/>
    <n v="72420.639999999999"/>
  </r>
  <r>
    <x v="123"/>
    <s v="Rahul"/>
    <x v="4"/>
    <s v="Delhi"/>
    <s v="North"/>
    <s v="Furniture"/>
    <s v="Study Table"/>
    <n v="11"/>
    <n v="4150.1899999999996"/>
    <n v="45652.09"/>
  </r>
  <r>
    <x v="124"/>
    <s v="Kabir"/>
    <x v="0"/>
    <s v="Delhi"/>
    <s v="North"/>
    <s v="Apparel"/>
    <s v="Jacket"/>
    <n v="14"/>
    <n v="250.28"/>
    <n v="3503.92"/>
  </r>
  <r>
    <x v="125"/>
    <s v="Sanya"/>
    <x v="15"/>
    <s v="Uttar Pradesh"/>
    <s v="North"/>
    <s v="Furniture"/>
    <s v="Study Table"/>
    <n v="7"/>
    <n v="4304.09"/>
    <n v="30128.63"/>
  </r>
  <r>
    <x v="126"/>
    <s v="Aarohi"/>
    <x v="6"/>
    <s v="Telangana"/>
    <s v="South"/>
    <s v="Furniture"/>
    <s v="Study Table"/>
    <n v="1"/>
    <n v="11718.04"/>
    <n v="11718.04"/>
  </r>
  <r>
    <x v="127"/>
    <s v="Riya"/>
    <x v="14"/>
    <s v="Maharashtra"/>
    <s v="West"/>
    <s v="Home &amp; Kitchen"/>
    <s v="Water Bottle"/>
    <n v="18"/>
    <n v="548.79"/>
    <n v="9878.2199999999993"/>
  </r>
  <r>
    <x v="128"/>
    <s v="Nishant"/>
    <x v="6"/>
    <s v="Telangana"/>
    <s v="South"/>
    <s v="Stationery"/>
    <s v="Sketch Pens"/>
    <n v="5"/>
    <n v="209.38"/>
    <n v="1046.9000000000001"/>
  </r>
  <r>
    <x v="129"/>
    <s v="Neha"/>
    <x v="11"/>
    <s v="Tamil Nadu"/>
    <s v="South"/>
    <s v="Furniture"/>
    <s v="Office Chair"/>
    <n v="16"/>
    <n v="4059.17"/>
    <n v="64946.720000000001"/>
  </r>
  <r>
    <x v="130"/>
    <s v="Kabir"/>
    <x v="7"/>
    <s v="Gujarat"/>
    <s v="West"/>
    <s v="Electronics"/>
    <s v="Keyboard"/>
    <n v="17"/>
    <n v="2662.77"/>
    <n v="45267.09"/>
  </r>
  <r>
    <x v="131"/>
    <s v="Meera"/>
    <x v="11"/>
    <s v="Tamil Nadu"/>
    <s v="South"/>
    <s v="Furniture"/>
    <s v="Office Chair"/>
    <n v="17"/>
    <n v="4305.3100000000004"/>
    <n v="73190.27"/>
  </r>
  <r>
    <x v="132"/>
    <s v="Aarohi"/>
    <x v="5"/>
    <s v="Tamil Nadu"/>
    <s v="South"/>
    <s v="Apparel"/>
    <s v="Jacket"/>
    <n v="5"/>
    <n v="976.11"/>
    <n v="4880.55"/>
  </r>
  <r>
    <x v="133"/>
    <s v="Sanya"/>
    <x v="12"/>
    <s v="West Bengal"/>
    <s v="East"/>
    <s v="Apparel"/>
    <s v="Jacket"/>
    <n v="15"/>
    <n v="1875.78"/>
    <n v="28136.7"/>
  </r>
  <r>
    <x v="134"/>
    <s v="Riya"/>
    <x v="7"/>
    <s v="Gujarat"/>
    <s v="West"/>
    <s v="Electronics"/>
    <s v="Mouse"/>
    <n v="2"/>
    <n v="1249.98"/>
    <n v="2499.96"/>
  </r>
  <r>
    <x v="67"/>
    <s v="Kabir"/>
    <x v="7"/>
    <s v="Gujarat"/>
    <s v="West"/>
    <s v="Electronics"/>
    <s v="Mouse"/>
    <n v="2"/>
    <n v="616.61"/>
    <n v="1233.22"/>
  </r>
  <r>
    <x v="135"/>
    <s v="Rohan"/>
    <x v="13"/>
    <s v="Maharashtra"/>
    <s v="West"/>
    <s v="Furniture"/>
    <s v="Study Table"/>
    <n v="17"/>
    <n v="11059.64"/>
    <n v="188013.88"/>
  </r>
  <r>
    <x v="136"/>
    <s v="Kabir"/>
    <x v="3"/>
    <s v="Rajasthan"/>
    <s v="North"/>
    <s v="Electronics"/>
    <s v="USB Cable"/>
    <n v="16"/>
    <n v="2779.03"/>
    <n v="44464.480000000003"/>
  </r>
  <r>
    <x v="14"/>
    <s v="Rohan"/>
    <x v="7"/>
    <s v="Gujarat"/>
    <s v="West"/>
    <s v="Stationery"/>
    <s v="Highlighter"/>
    <n v="11"/>
    <n v="343.89"/>
    <n v="3782.79"/>
  </r>
  <r>
    <x v="81"/>
    <s v="Kabir"/>
    <x v="12"/>
    <s v="West Bengal"/>
    <s v="East"/>
    <s v="Furniture"/>
    <s v="Bookshelf"/>
    <n v="2"/>
    <n v="7983.32"/>
    <n v="15966.64"/>
  </r>
  <r>
    <x v="68"/>
    <s v="Aarohi"/>
    <x v="2"/>
    <s v="Karnataka"/>
    <s v="South"/>
    <s v="Stationery"/>
    <s v="Ruler"/>
    <n v="4"/>
    <n v="308.94"/>
    <n v="1235.76"/>
  </r>
  <r>
    <x v="137"/>
    <s v="Nishant"/>
    <x v="6"/>
    <s v="Telangana"/>
    <s v="South"/>
    <s v="Electronics"/>
    <s v="Power Bank"/>
    <n v="1"/>
    <n v="351.77"/>
    <n v="351.77"/>
  </r>
  <r>
    <x v="12"/>
    <s v="Aarohi"/>
    <x v="9"/>
    <s v="Bihar"/>
    <s v="East"/>
    <s v="Home &amp; Kitchen"/>
    <s v="Steel Plate"/>
    <n v="5"/>
    <n v="368.62"/>
    <n v="1843.1"/>
  </r>
  <r>
    <x v="138"/>
    <s v="Simran"/>
    <x v="14"/>
    <s v="Maharashtra"/>
    <s v="West"/>
    <s v="Electronics"/>
    <s v="Earphones"/>
    <n v="3"/>
    <n v="2211.3200000000002"/>
    <n v="6633.9600000000009"/>
  </r>
  <r>
    <x v="139"/>
    <s v="Yash"/>
    <x v="2"/>
    <s v="Karnataka"/>
    <s v="South"/>
    <s v="Furniture"/>
    <s v="Bookshelf"/>
    <n v="5"/>
    <n v="3937.98"/>
    <n v="19689.900000000001"/>
  </r>
  <r>
    <x v="140"/>
    <s v="Aditi"/>
    <x v="6"/>
    <s v="Telangana"/>
    <s v="South"/>
    <s v="Home &amp; Kitchen"/>
    <s v="Water Bottle"/>
    <n v="15"/>
    <n v="1091.33"/>
    <n v="16369.949999999999"/>
  </r>
  <r>
    <x v="141"/>
    <s v="Rahul"/>
    <x v="14"/>
    <s v="Maharashtra"/>
    <s v="West"/>
    <s v="Stationery"/>
    <s v="Ruler"/>
    <n v="12"/>
    <n v="395.31"/>
    <n v="4743.72"/>
  </r>
  <r>
    <x v="46"/>
    <s v="Arjun"/>
    <x v="11"/>
    <s v="Tamil Nadu"/>
    <s v="South"/>
    <s v="Furniture"/>
    <s v="Office Chair"/>
    <n v="7"/>
    <n v="11993.42"/>
    <n v="83953.94"/>
  </r>
  <r>
    <x v="142"/>
    <s v="Nishant"/>
    <x v="2"/>
    <s v="Karnataka"/>
    <s v="South"/>
    <s v="Furniture"/>
    <s v="Bookshelf"/>
    <n v="12"/>
    <n v="7535.53"/>
    <n v="90426.36"/>
  </r>
  <r>
    <x v="117"/>
    <s v="Aarohi"/>
    <x v="0"/>
    <s v="Delhi"/>
    <s v="North"/>
    <s v="Furniture"/>
    <s v="Office Chair"/>
    <n v="1"/>
    <n v="7442.25"/>
    <n v="7442.25"/>
  </r>
  <r>
    <x v="143"/>
    <s v="Vihaan"/>
    <x v="15"/>
    <s v="Uttar Pradesh"/>
    <s v="North"/>
    <s v="Home &amp; Kitchen"/>
    <s v="Lunch Box"/>
    <n v="20"/>
    <n v="982.13"/>
    <n v="19642.599999999999"/>
  </r>
  <r>
    <x v="144"/>
    <s v="Aarav"/>
    <x v="11"/>
    <s v="Tamil Nadu"/>
    <s v="South"/>
    <s v="Electronics"/>
    <s v="USB Cable"/>
    <n v="21"/>
    <n v="2332.92"/>
    <n v="48991.32"/>
  </r>
  <r>
    <x v="145"/>
    <s v="Priya"/>
    <x v="4"/>
    <s v="Delhi"/>
    <s v="North"/>
    <s v="Apparel"/>
    <s v="Socks"/>
    <n v="24"/>
    <n v="393.11"/>
    <n v="9434.64"/>
  </r>
  <r>
    <x v="146"/>
    <s v="Rohan"/>
    <x v="3"/>
    <s v="Rajasthan"/>
    <s v="North"/>
    <s v="Electronics"/>
    <s v="Earphones"/>
    <n v="5"/>
    <n v="2795.49"/>
    <n v="13977.449999999999"/>
  </r>
  <r>
    <x v="147"/>
    <s v="Neha"/>
    <x v="11"/>
    <s v="Tamil Nadu"/>
    <s v="South"/>
    <s v="Electronics"/>
    <s v="Power Bank"/>
    <n v="16"/>
    <n v="3392.37"/>
    <n v="54277.919999999998"/>
  </r>
  <r>
    <x v="146"/>
    <s v="Rohan"/>
    <x v="13"/>
    <s v="Maharashtra"/>
    <s v="West"/>
    <s v="Furniture"/>
    <s v="Study Table"/>
    <n v="5"/>
    <n v="9418.59"/>
    <n v="47092.95"/>
  </r>
  <r>
    <x v="148"/>
    <s v="Kabir"/>
    <x v="9"/>
    <s v="Bihar"/>
    <s v="East"/>
    <s v="Stationery"/>
    <s v="Highlighter"/>
    <n v="13"/>
    <n v="25.29"/>
    <n v="328.77"/>
  </r>
  <r>
    <x v="149"/>
    <s v="Nishant"/>
    <x v="6"/>
    <s v="Telangana"/>
    <s v="South"/>
    <s v="Home &amp; Kitchen"/>
    <s v="Storage Jar"/>
    <n v="19"/>
    <n v="519.13"/>
    <n v="9863.4699999999993"/>
  </r>
  <r>
    <x v="140"/>
    <s v="Sanya"/>
    <x v="13"/>
    <s v="Maharashtra"/>
    <s v="West"/>
    <s v="Electronics"/>
    <s v="Mouse"/>
    <n v="1"/>
    <n v="2244.5"/>
    <n v="2244.5"/>
  </r>
  <r>
    <x v="150"/>
    <s v="Rohan"/>
    <x v="2"/>
    <s v="Karnataka"/>
    <s v="South"/>
    <s v="Stationery"/>
    <s v="Sketch Pens"/>
    <n v="15"/>
    <n v="365.57"/>
    <n v="5483.55"/>
  </r>
  <r>
    <x v="151"/>
    <s v="Arjun"/>
    <x v="13"/>
    <s v="Maharashtra"/>
    <s v="West"/>
    <s v="Electronics"/>
    <s v="USB Cable"/>
    <n v="2"/>
    <n v="1204.4000000000001"/>
    <n v="2408.8000000000002"/>
  </r>
  <r>
    <x v="152"/>
    <s v="Nishant"/>
    <x v="13"/>
    <s v="Maharashtra"/>
    <s v="West"/>
    <s v="Electronics"/>
    <s v="Keyboard"/>
    <n v="5"/>
    <n v="1482.53"/>
    <n v="7412.65"/>
  </r>
  <r>
    <x v="153"/>
    <s v="Rahul"/>
    <x v="3"/>
    <s v="Rajasthan"/>
    <s v="North"/>
    <s v="Apparel"/>
    <s v="Cap"/>
    <n v="14"/>
    <n v="1361.61"/>
    <n v="19062.539999999997"/>
  </r>
  <r>
    <x v="154"/>
    <s v="Yash"/>
    <x v="3"/>
    <s v="Rajasthan"/>
    <s v="North"/>
    <s v="Home &amp; Kitchen"/>
    <s v="Water Bottle"/>
    <n v="23"/>
    <n v="507.58"/>
    <n v="11674.34"/>
  </r>
  <r>
    <x v="155"/>
    <s v="Priya"/>
    <x v="2"/>
    <s v="Karnataka"/>
    <s v="South"/>
    <s v="Home &amp; Kitchen"/>
    <s v="Water Bottle"/>
    <n v="22"/>
    <n v="504.07"/>
    <n v="11089.539999999999"/>
  </r>
  <r>
    <x v="156"/>
    <s v="Sanya"/>
    <x v="4"/>
    <s v="Delhi"/>
    <s v="North"/>
    <s v="Furniture"/>
    <s v="Office Chair"/>
    <n v="7"/>
    <n v="11666.17"/>
    <n v="81663.19"/>
  </r>
  <r>
    <x v="36"/>
    <s v="Meera"/>
    <x v="8"/>
    <s v="Karnataka"/>
    <s v="South"/>
    <s v="Apparel"/>
    <s v="T-Shirt"/>
    <n v="2"/>
    <n v="1605.57"/>
    <n v="3211.14"/>
  </r>
  <r>
    <x v="157"/>
    <s v="Kabir"/>
    <x v="8"/>
    <s v="Karnataka"/>
    <s v="South"/>
    <s v="Stationery"/>
    <s v="Highlighter"/>
    <n v="25"/>
    <n v="230.6"/>
    <n v="5765"/>
  </r>
  <r>
    <x v="158"/>
    <s v="Aarav"/>
    <x v="2"/>
    <s v="Karnataka"/>
    <s v="South"/>
    <s v="Home &amp; Kitchen"/>
    <s v="Lunch Box"/>
    <n v="20"/>
    <n v="103.12"/>
    <n v="2062.4"/>
  </r>
  <r>
    <x v="159"/>
    <s v="Kabir"/>
    <x v="11"/>
    <s v="Tamil Nadu"/>
    <s v="South"/>
    <s v="Electronics"/>
    <s v="USB Cable"/>
    <n v="22"/>
    <n v="3059.28"/>
    <n v="67304.160000000003"/>
  </r>
  <r>
    <x v="126"/>
    <s v="Ishita"/>
    <x v="9"/>
    <s v="Bihar"/>
    <s v="East"/>
    <s v="Electronics"/>
    <s v="Keyboard"/>
    <n v="11"/>
    <n v="252.08"/>
    <n v="2772.88"/>
  </r>
  <r>
    <x v="14"/>
    <s v="Vihaan"/>
    <x v="10"/>
    <s v="Maharashtra"/>
    <s v="West"/>
    <s v="Furniture"/>
    <s v="Bookshelf"/>
    <n v="4"/>
    <n v="9329.49"/>
    <n v="37317.96"/>
  </r>
  <r>
    <x v="160"/>
    <s v="Priya"/>
    <x v="9"/>
    <s v="Bihar"/>
    <s v="East"/>
    <s v="Apparel"/>
    <s v="T-Shirt"/>
    <n v="15"/>
    <n v="1082.0999999999999"/>
    <n v="16231.499999999998"/>
  </r>
  <r>
    <x v="161"/>
    <s v="Vihaan"/>
    <x v="5"/>
    <s v="Tamil Nadu"/>
    <s v="South"/>
    <s v="Furniture"/>
    <s v="Bookshelf"/>
    <n v="1"/>
    <n v="2138.67"/>
    <n v="2138.67"/>
  </r>
  <r>
    <x v="162"/>
    <s v="Kabir"/>
    <x v="3"/>
    <s v="Rajasthan"/>
    <s v="North"/>
    <s v="Stationery"/>
    <s v="Ruler"/>
    <n v="23"/>
    <n v="365.69"/>
    <n v="8410.8700000000008"/>
  </r>
  <r>
    <x v="107"/>
    <s v="Meera"/>
    <x v="12"/>
    <s v="West Bengal"/>
    <s v="East"/>
    <s v="Apparel"/>
    <s v="Cap"/>
    <n v="3"/>
    <n v="383.45"/>
    <n v="1150.3499999999999"/>
  </r>
  <r>
    <x v="163"/>
    <s v="Simran"/>
    <x v="12"/>
    <s v="West Bengal"/>
    <s v="East"/>
    <s v="Furniture"/>
    <s v="Bookshelf"/>
    <n v="17"/>
    <n v="4596.43"/>
    <n v="78139.31"/>
  </r>
  <r>
    <x v="164"/>
    <s v="Yash"/>
    <x v="3"/>
    <s v="Rajasthan"/>
    <s v="North"/>
    <s v="Stationery"/>
    <s v="Highlighter"/>
    <n v="23"/>
    <n v="63.48"/>
    <n v="1460.04"/>
  </r>
  <r>
    <x v="165"/>
    <s v="Rahul"/>
    <x v="8"/>
    <s v="Karnataka"/>
    <s v="South"/>
    <s v="Furniture"/>
    <s v="Office Chair"/>
    <n v="8"/>
    <n v="5845.04"/>
    <n v="46760.32"/>
  </r>
  <r>
    <x v="19"/>
    <s v="Kabir"/>
    <x v="3"/>
    <s v="Rajasthan"/>
    <s v="North"/>
    <s v="Stationery"/>
    <s v="Eraser"/>
    <n v="14"/>
    <n v="138.76"/>
    <n v="1942.6399999999999"/>
  </r>
  <r>
    <x v="166"/>
    <s v="Sanya"/>
    <x v="10"/>
    <s v="Maharashtra"/>
    <s v="West"/>
    <s v="Furniture"/>
    <s v="Study Table"/>
    <n v="3"/>
    <n v="10233.6"/>
    <n v="30700.800000000003"/>
  </r>
  <r>
    <x v="167"/>
    <s v="Arjun"/>
    <x v="13"/>
    <s v="Maharashtra"/>
    <s v="West"/>
    <s v="Home &amp; Kitchen"/>
    <s v="Lunch Box"/>
    <n v="18"/>
    <n v="165.98"/>
    <n v="2987.64"/>
  </r>
  <r>
    <x v="168"/>
    <s v="Rahul"/>
    <x v="12"/>
    <s v="West Bengal"/>
    <s v="East"/>
    <s v="Stationery"/>
    <s v="Ruler"/>
    <n v="12"/>
    <n v="351.97"/>
    <n v="4223.6400000000003"/>
  </r>
  <r>
    <x v="169"/>
    <s v="Vihaan"/>
    <x v="5"/>
    <s v="Tamil Nadu"/>
    <s v="South"/>
    <s v="Apparel"/>
    <s v="Socks"/>
    <n v="12"/>
    <n v="341.66"/>
    <n v="4099.92"/>
  </r>
  <r>
    <x v="170"/>
    <s v="Aarav"/>
    <x v="10"/>
    <s v="Maharashtra"/>
    <s v="West"/>
    <s v="Furniture"/>
    <s v="Study Table"/>
    <n v="4"/>
    <n v="5176.2"/>
    <n v="20704.8"/>
  </r>
  <r>
    <x v="171"/>
    <s v="Sanya"/>
    <x v="13"/>
    <s v="Maharashtra"/>
    <s v="West"/>
    <s v="Home &amp; Kitchen"/>
    <s v="Lunch Box"/>
    <n v="14"/>
    <n v="1029.67"/>
    <n v="14415.380000000001"/>
  </r>
  <r>
    <x v="172"/>
    <s v="Yash"/>
    <x v="0"/>
    <s v="Delhi"/>
    <s v="North"/>
    <s v="Apparel"/>
    <s v="Socks"/>
    <n v="1"/>
    <n v="483.77"/>
    <n v="483.77"/>
  </r>
  <r>
    <x v="173"/>
    <s v="Aarohi"/>
    <x v="12"/>
    <s v="West Bengal"/>
    <s v="East"/>
    <s v="Home &amp; Kitchen"/>
    <s v="Water Bottle"/>
    <n v="6"/>
    <n v="1056.8499999999999"/>
    <n v="6341.0999999999995"/>
  </r>
  <r>
    <x v="174"/>
    <s v="Kabir"/>
    <x v="1"/>
    <s v="Delhi"/>
    <s v="North"/>
    <s v="Electronics"/>
    <s v="USB Cable"/>
    <n v="3"/>
    <n v="2662.17"/>
    <n v="7986.51"/>
  </r>
  <r>
    <x v="175"/>
    <s v="Kabir"/>
    <x v="3"/>
    <s v="Rajasthan"/>
    <s v="North"/>
    <s v="Furniture"/>
    <s v="Office Chair"/>
    <n v="6"/>
    <n v="5385.56"/>
    <n v="32313.360000000001"/>
  </r>
  <r>
    <x v="176"/>
    <s v="Simran"/>
    <x v="1"/>
    <s v="Delhi"/>
    <s v="North"/>
    <s v="Stationery"/>
    <s v="Notebook"/>
    <n v="6"/>
    <n v="306.69"/>
    <n v="1840.1399999999999"/>
  </r>
  <r>
    <x v="177"/>
    <s v="Meera"/>
    <x v="11"/>
    <s v="Tamil Nadu"/>
    <s v="South"/>
    <s v="Furniture"/>
    <s v="Bookshelf"/>
    <n v="14"/>
    <n v="6599.45"/>
    <n v="92392.3"/>
  </r>
  <r>
    <x v="178"/>
    <s v="Arjun"/>
    <x v="11"/>
    <s v="Tamil Nadu"/>
    <s v="South"/>
    <s v="Electronics"/>
    <s v="Keyboard"/>
    <n v="4"/>
    <n v="1339.07"/>
    <n v="5356.28"/>
  </r>
  <r>
    <x v="179"/>
    <s v="Aarohi"/>
    <x v="15"/>
    <s v="Uttar Pradesh"/>
    <s v="North"/>
    <s v="Apparel"/>
    <s v="Socks"/>
    <n v="2"/>
    <n v="557.96"/>
    <n v="1115.92"/>
  </r>
  <r>
    <x v="180"/>
    <s v="Vihaan"/>
    <x v="0"/>
    <s v="Delhi"/>
    <s v="North"/>
    <s v="Electronics"/>
    <s v="Power Bank"/>
    <n v="7"/>
    <n v="2732.25"/>
    <n v="19125.75"/>
  </r>
  <r>
    <x v="166"/>
    <s v="Aarohi"/>
    <x v="12"/>
    <s v="West Bengal"/>
    <s v="East"/>
    <s v="Stationery"/>
    <s v="Pen"/>
    <n v="16"/>
    <n v="303.87"/>
    <n v="4861.92"/>
  </r>
  <r>
    <x v="181"/>
    <s v="Kabir"/>
    <x v="7"/>
    <s v="Gujarat"/>
    <s v="West"/>
    <s v="Apparel"/>
    <s v="Cap"/>
    <n v="17"/>
    <n v="1183.6400000000001"/>
    <n v="20121.88"/>
  </r>
  <r>
    <x v="182"/>
    <s v="Sanya"/>
    <x v="1"/>
    <s v="Delhi"/>
    <s v="North"/>
    <s v="Furniture"/>
    <s v="Bookshelf"/>
    <n v="2"/>
    <n v="6080.31"/>
    <n v="12160.62"/>
  </r>
  <r>
    <x v="92"/>
    <s v="Meera"/>
    <x v="12"/>
    <s v="West Bengal"/>
    <s v="East"/>
    <s v="Apparel"/>
    <s v="Jacket"/>
    <n v="19"/>
    <n v="898.18"/>
    <n v="17065.419999999998"/>
  </r>
  <r>
    <x v="183"/>
    <s v="Arjun"/>
    <x v="5"/>
    <s v="Tamil Nadu"/>
    <s v="South"/>
    <s v="Stationery"/>
    <s v="Ruler"/>
    <n v="1"/>
    <n v="387.16"/>
    <n v="387.16"/>
  </r>
  <r>
    <x v="184"/>
    <s v="Yash"/>
    <x v="6"/>
    <s v="Telangana"/>
    <s v="South"/>
    <s v="Home &amp; Kitchen"/>
    <s v="Water Bottle"/>
    <n v="14"/>
    <n v="1028.93"/>
    <n v="14405.02"/>
  </r>
  <r>
    <x v="157"/>
    <s v="Arjun"/>
    <x v="7"/>
    <s v="Gujarat"/>
    <s v="West"/>
    <s v="Apparel"/>
    <s v="T-Shirt"/>
    <n v="13"/>
    <n v="1760.47"/>
    <n v="22886.11"/>
  </r>
  <r>
    <x v="185"/>
    <s v="Riya"/>
    <x v="12"/>
    <s v="West Bengal"/>
    <s v="East"/>
    <s v="Electronics"/>
    <s v="USB Cable"/>
    <n v="17"/>
    <n v="2289.64"/>
    <n v="38923.879999999997"/>
  </r>
  <r>
    <x v="21"/>
    <s v="Neha"/>
    <x v="8"/>
    <s v="Karnataka"/>
    <s v="South"/>
    <s v="Home &amp; Kitchen"/>
    <s v="Storage Jar"/>
    <n v="24"/>
    <n v="1154.05"/>
    <n v="27697.199999999997"/>
  </r>
  <r>
    <x v="156"/>
    <s v="Kabir"/>
    <x v="2"/>
    <s v="Karnataka"/>
    <s v="South"/>
    <s v="Stationery"/>
    <s v="Notebook"/>
    <n v="9"/>
    <n v="94.96"/>
    <n v="854.64"/>
  </r>
  <r>
    <x v="186"/>
    <s v="Kabir"/>
    <x v="1"/>
    <s v="Delhi"/>
    <s v="North"/>
    <s v="Electronics"/>
    <s v="Mouse"/>
    <n v="15"/>
    <n v="2689.67"/>
    <n v="40345.050000000003"/>
  </r>
  <r>
    <x v="187"/>
    <s v="Priya"/>
    <x v="12"/>
    <s v="West Bengal"/>
    <s v="East"/>
    <s v="Home &amp; Kitchen"/>
    <s v="Lunch Box"/>
    <n v="15"/>
    <n v="175.11"/>
    <n v="2626.65"/>
  </r>
  <r>
    <x v="178"/>
    <s v="Aarohi"/>
    <x v="11"/>
    <s v="Tamil Nadu"/>
    <s v="South"/>
    <s v="Apparel"/>
    <s v="T-Shirt"/>
    <n v="12"/>
    <n v="1088.57"/>
    <n v="13062.84"/>
  </r>
  <r>
    <x v="188"/>
    <s v="Priya"/>
    <x v="6"/>
    <s v="Telangana"/>
    <s v="South"/>
    <s v="Stationery"/>
    <s v="Pen"/>
    <n v="12"/>
    <n v="336.04"/>
    <n v="4032.4800000000005"/>
  </r>
  <r>
    <x v="189"/>
    <s v="Meera"/>
    <x v="7"/>
    <s v="Gujarat"/>
    <s v="West"/>
    <s v="Furniture"/>
    <s v="Bookshelf"/>
    <n v="18"/>
    <n v="11519.43"/>
    <n v="207349.74"/>
  </r>
  <r>
    <x v="190"/>
    <s v="Priya"/>
    <x v="8"/>
    <s v="Karnataka"/>
    <s v="South"/>
    <s v="Home &amp; Kitchen"/>
    <s v="Steel Plate"/>
    <n v="17"/>
    <n v="265.95"/>
    <n v="4521.1499999999996"/>
  </r>
  <r>
    <x v="191"/>
    <s v="Priya"/>
    <x v="13"/>
    <s v="Maharashtra"/>
    <s v="West"/>
    <s v="Home &amp; Kitchen"/>
    <s v="Water Bottle"/>
    <n v="17"/>
    <n v="810.74"/>
    <n v="13782.58"/>
  </r>
  <r>
    <x v="118"/>
    <s v="Riya"/>
    <x v="6"/>
    <s v="Telangana"/>
    <s v="South"/>
    <s v="Furniture"/>
    <s v="Bookshelf"/>
    <n v="17"/>
    <n v="7902.96"/>
    <n v="134350.32"/>
  </r>
  <r>
    <x v="192"/>
    <s v="Sanya"/>
    <x v="5"/>
    <s v="Tamil Nadu"/>
    <s v="South"/>
    <s v="Furniture"/>
    <s v="Office Chair"/>
    <n v="25"/>
    <n v="5052.8599999999997"/>
    <n v="126321.49999999999"/>
  </r>
  <r>
    <x v="193"/>
    <s v="Vihaan"/>
    <x v="12"/>
    <s v="West Bengal"/>
    <s v="East"/>
    <s v="Stationery"/>
    <s v="Eraser"/>
    <n v="4"/>
    <n v="232.03"/>
    <n v="928.12"/>
  </r>
  <r>
    <x v="194"/>
    <s v="Aarohi"/>
    <x v="11"/>
    <s v="Tamil Nadu"/>
    <s v="South"/>
    <s v="Apparel"/>
    <s v="Cap"/>
    <n v="11"/>
    <n v="300.77999999999997"/>
    <n v="3308.58"/>
  </r>
  <r>
    <x v="99"/>
    <s v="Kabir"/>
    <x v="9"/>
    <s v="Bihar"/>
    <s v="East"/>
    <s v="Home &amp; Kitchen"/>
    <s v="Steel Plate"/>
    <n v="5"/>
    <n v="754.55"/>
    <n v="3772.75"/>
  </r>
  <r>
    <x v="195"/>
    <s v="Aarohi"/>
    <x v="7"/>
    <s v="Gujarat"/>
    <s v="West"/>
    <s v="Home &amp; Kitchen"/>
    <s v="Lunch Box"/>
    <n v="22"/>
    <n v="873.11"/>
    <n v="19208.420000000002"/>
  </r>
  <r>
    <x v="196"/>
    <s v="Neha"/>
    <x v="1"/>
    <s v="Delhi"/>
    <s v="North"/>
    <s v="Furniture"/>
    <s v="Bookshelf"/>
    <n v="12"/>
    <n v="1691.42"/>
    <n v="20297.04"/>
  </r>
  <r>
    <x v="145"/>
    <s v="Ananya"/>
    <x v="8"/>
    <s v="Karnataka"/>
    <s v="South"/>
    <s v="Home &amp; Kitchen"/>
    <s v="Steel Plate"/>
    <n v="7"/>
    <n v="349.2"/>
    <n v="2444.4"/>
  </r>
  <r>
    <x v="197"/>
    <s v="Kabir"/>
    <x v="1"/>
    <s v="Delhi"/>
    <s v="North"/>
    <s v="Home &amp; Kitchen"/>
    <s v="Water Bottle"/>
    <n v="17"/>
    <n v="947.96"/>
    <n v="16115.32"/>
  </r>
  <r>
    <x v="198"/>
    <s v="Vihaan"/>
    <x v="12"/>
    <s v="West Bengal"/>
    <s v="East"/>
    <s v="Apparel"/>
    <s v="Cap"/>
    <n v="20"/>
    <n v="846.93"/>
    <n v="16938.599999999999"/>
  </r>
  <r>
    <x v="199"/>
    <s v="Ananya"/>
    <x v="14"/>
    <s v="Maharashtra"/>
    <s v="West"/>
    <s v="Furniture"/>
    <s v="Study Table"/>
    <n v="14"/>
    <n v="5325.14"/>
    <n v="74551.960000000006"/>
  </r>
  <r>
    <x v="200"/>
    <s v="Priya"/>
    <x v="5"/>
    <s v="Tamil Nadu"/>
    <s v="South"/>
    <s v="Furniture"/>
    <s v="Study Table"/>
    <n v="18"/>
    <n v="4011.27"/>
    <n v="72202.86"/>
  </r>
  <r>
    <x v="201"/>
    <s v="Aarav"/>
    <x v="9"/>
    <s v="Bihar"/>
    <s v="East"/>
    <s v="Apparel"/>
    <s v="Jacket"/>
    <n v="15"/>
    <n v="1573.46"/>
    <n v="23601.9"/>
  </r>
  <r>
    <x v="139"/>
    <s v="Neha"/>
    <x v="3"/>
    <s v="Rajasthan"/>
    <s v="North"/>
    <s v="Electronics"/>
    <s v="Earphones"/>
    <n v="20"/>
    <n v="656.72"/>
    <n v="13134.400000000001"/>
  </r>
  <r>
    <x v="202"/>
    <s v="Vihaan"/>
    <x v="15"/>
    <s v="Uttar Pradesh"/>
    <s v="North"/>
    <s v="Home &amp; Kitchen"/>
    <s v="Water Bottle"/>
    <n v="23"/>
    <n v="1030.48"/>
    <n v="23701.040000000001"/>
  </r>
  <r>
    <x v="203"/>
    <s v="Aarohi"/>
    <x v="1"/>
    <s v="Delhi"/>
    <s v="North"/>
    <s v="Electronics"/>
    <s v="Power Bank"/>
    <n v="15"/>
    <n v="3187.51"/>
    <n v="47812.65"/>
  </r>
  <r>
    <x v="204"/>
    <s v="Arjun"/>
    <x v="1"/>
    <s v="Delhi"/>
    <s v="North"/>
    <s v="Electronics"/>
    <s v="Mouse"/>
    <n v="12"/>
    <n v="3270.56"/>
    <n v="39246.720000000001"/>
  </r>
  <r>
    <x v="205"/>
    <s v="Vihaan"/>
    <x v="7"/>
    <s v="Gujarat"/>
    <s v="West"/>
    <s v="Apparel"/>
    <s v="Socks"/>
    <n v="8"/>
    <n v="864.41"/>
    <n v="6915.28"/>
  </r>
  <r>
    <x v="206"/>
    <s v="Sanya"/>
    <x v="2"/>
    <s v="Karnataka"/>
    <s v="South"/>
    <s v="Stationery"/>
    <s v="Eraser"/>
    <n v="4"/>
    <n v="338.89"/>
    <n v="1355.56"/>
  </r>
  <r>
    <x v="207"/>
    <s v="Rohan"/>
    <x v="10"/>
    <s v="Maharashtra"/>
    <s v="West"/>
    <s v="Electronics"/>
    <s v="USB Cable"/>
    <n v="10"/>
    <n v="3227.41"/>
    <n v="32274.1"/>
  </r>
  <r>
    <x v="208"/>
    <s v="Kabir"/>
    <x v="15"/>
    <s v="Uttar Pradesh"/>
    <s v="North"/>
    <s v="Furniture"/>
    <s v="Bookshelf"/>
    <n v="1"/>
    <n v="11011.5"/>
    <n v="11011.5"/>
  </r>
  <r>
    <x v="209"/>
    <s v="Aditi"/>
    <x v="8"/>
    <s v="Karnataka"/>
    <s v="South"/>
    <s v="Electronics"/>
    <s v="Keyboard"/>
    <n v="24"/>
    <n v="2209.3000000000002"/>
    <n v="53023.200000000004"/>
  </r>
  <r>
    <x v="169"/>
    <s v="Nishant"/>
    <x v="5"/>
    <s v="Tamil Nadu"/>
    <s v="South"/>
    <s v="Electronics"/>
    <s v="Power Bank"/>
    <n v="4"/>
    <n v="357.57"/>
    <n v="1430.28"/>
  </r>
  <r>
    <x v="210"/>
    <s v="Yash"/>
    <x v="6"/>
    <s v="Telangana"/>
    <s v="South"/>
    <s v="Stationery"/>
    <s v="Pen"/>
    <n v="16"/>
    <n v="246.76"/>
    <n v="3948.16"/>
  </r>
  <r>
    <x v="211"/>
    <s v="Neha"/>
    <x v="2"/>
    <s v="Karnataka"/>
    <s v="South"/>
    <s v="Electronics"/>
    <s v="Power Bank"/>
    <n v="14"/>
    <n v="205.16"/>
    <n v="2872.24"/>
  </r>
  <r>
    <x v="212"/>
    <s v="Riya"/>
    <x v="3"/>
    <s v="Rajasthan"/>
    <s v="North"/>
    <s v="Electronics"/>
    <s v="USB Cable"/>
    <n v="17"/>
    <n v="3416.36"/>
    <n v="58078.12"/>
  </r>
  <r>
    <x v="28"/>
    <s v="Neha"/>
    <x v="0"/>
    <s v="Delhi"/>
    <s v="North"/>
    <s v="Furniture"/>
    <s v="Office Chair"/>
    <n v="2"/>
    <n v="8174.54"/>
    <n v="16349.08"/>
  </r>
  <r>
    <x v="213"/>
    <s v="Aditi"/>
    <x v="0"/>
    <s v="Delhi"/>
    <s v="North"/>
    <s v="Home &amp; Kitchen"/>
    <s v="Water Bottle"/>
    <n v="12"/>
    <n v="365.24"/>
    <n v="4382.88"/>
  </r>
  <r>
    <x v="214"/>
    <s v="Nishant"/>
    <x v="12"/>
    <s v="West Bengal"/>
    <s v="East"/>
    <s v="Electronics"/>
    <s v="USB Cable"/>
    <n v="12"/>
    <n v="2001.85"/>
    <n v="24022.199999999997"/>
  </r>
  <r>
    <x v="215"/>
    <s v="Ananya"/>
    <x v="6"/>
    <s v="Telangana"/>
    <s v="South"/>
    <s v="Furniture"/>
    <s v="Bookshelf"/>
    <n v="6"/>
    <n v="10020.73"/>
    <n v="60124.38"/>
  </r>
  <r>
    <x v="216"/>
    <s v="Priya"/>
    <x v="4"/>
    <s v="Delhi"/>
    <s v="North"/>
    <s v="Home &amp; Kitchen"/>
    <s v="Lunch Box"/>
    <n v="2"/>
    <n v="970.22"/>
    <n v="1940.44"/>
  </r>
  <r>
    <x v="190"/>
    <s v="Rohan"/>
    <x v="5"/>
    <s v="Tamil Nadu"/>
    <s v="South"/>
    <s v="Apparel"/>
    <s v="Jacket"/>
    <n v="18"/>
    <n v="1025.79"/>
    <n v="18464.22"/>
  </r>
  <r>
    <x v="217"/>
    <s v="Aarav"/>
    <x v="5"/>
    <s v="Tamil Nadu"/>
    <s v="South"/>
    <s v="Home &amp; Kitchen"/>
    <s v="Water Bottle"/>
    <n v="21"/>
    <n v="465.12"/>
    <n v="9767.52"/>
  </r>
  <r>
    <x v="203"/>
    <s v="Sanya"/>
    <x v="3"/>
    <s v="Rajasthan"/>
    <s v="North"/>
    <s v="Furniture"/>
    <s v="Bookshelf"/>
    <n v="15"/>
    <n v="10893.69"/>
    <n v="163405.35"/>
  </r>
  <r>
    <x v="194"/>
    <s v="Rohan"/>
    <x v="14"/>
    <s v="Maharashtra"/>
    <s v="West"/>
    <s v="Furniture"/>
    <s v="Bookshelf"/>
    <n v="16"/>
    <n v="5357.14"/>
    <n v="85714.240000000005"/>
  </r>
  <r>
    <x v="218"/>
    <s v="Aditi"/>
    <x v="1"/>
    <s v="Delhi"/>
    <s v="North"/>
    <s v="Furniture"/>
    <s v="Study Table"/>
    <n v="14"/>
    <n v="7825.76"/>
    <n v="109560.64"/>
  </r>
  <r>
    <x v="219"/>
    <s v="Rahul"/>
    <x v="5"/>
    <s v="Tamil Nadu"/>
    <s v="South"/>
    <s v="Home &amp; Kitchen"/>
    <s v="Water Bottle"/>
    <n v="3"/>
    <n v="460.71"/>
    <n v="1382.1299999999999"/>
  </r>
  <r>
    <x v="146"/>
    <s v="Aarohi"/>
    <x v="6"/>
    <s v="Telangana"/>
    <s v="South"/>
    <s v="Apparel"/>
    <s v="Jacket"/>
    <n v="6"/>
    <n v="1426.06"/>
    <n v="8556.36"/>
  </r>
  <r>
    <x v="220"/>
    <s v="Priya"/>
    <x v="4"/>
    <s v="Delhi"/>
    <s v="North"/>
    <s v="Home &amp; Kitchen"/>
    <s v="Steel Plate"/>
    <n v="9"/>
    <n v="803.42"/>
    <n v="7230.78"/>
  </r>
  <r>
    <x v="221"/>
    <s v="Meera"/>
    <x v="7"/>
    <s v="Gujarat"/>
    <s v="West"/>
    <s v="Home &amp; Kitchen"/>
    <s v="Lunch Box"/>
    <n v="1"/>
    <n v="257.06"/>
    <n v="257.06"/>
  </r>
  <r>
    <x v="222"/>
    <s v="Priya"/>
    <x v="4"/>
    <s v="Delhi"/>
    <s v="North"/>
    <s v="Electronics"/>
    <s v="USB Cable"/>
    <n v="8"/>
    <n v="2769.1"/>
    <n v="22152.799999999999"/>
  </r>
  <r>
    <x v="223"/>
    <s v="Sanya"/>
    <x v="7"/>
    <s v="Gujarat"/>
    <s v="West"/>
    <s v="Apparel"/>
    <s v="T-Shirt"/>
    <n v="20"/>
    <n v="433.86"/>
    <n v="8677.2000000000007"/>
  </r>
  <r>
    <x v="224"/>
    <s v="Sanya"/>
    <x v="9"/>
    <s v="Bihar"/>
    <s v="East"/>
    <s v="Furniture"/>
    <s v="Study Table"/>
    <n v="19"/>
    <n v="2945.8"/>
    <n v="55970.200000000004"/>
  </r>
  <r>
    <x v="223"/>
    <s v="Kabir"/>
    <x v="12"/>
    <s v="West Bengal"/>
    <s v="East"/>
    <s v="Home &amp; Kitchen"/>
    <s v="Lunch Box"/>
    <n v="4"/>
    <n v="128.5"/>
    <n v="514"/>
  </r>
  <r>
    <x v="225"/>
    <s v="Karan"/>
    <x v="7"/>
    <s v="Gujarat"/>
    <s v="West"/>
    <s v="Apparel"/>
    <s v="T-Shirt"/>
    <n v="9"/>
    <n v="1583.68"/>
    <n v="14253.12"/>
  </r>
  <r>
    <x v="137"/>
    <s v="Priya"/>
    <x v="8"/>
    <s v="Karnataka"/>
    <s v="South"/>
    <s v="Apparel"/>
    <s v="Socks"/>
    <n v="23"/>
    <n v="1845.49"/>
    <n v="42446.27"/>
  </r>
  <r>
    <x v="226"/>
    <s v="Aarav"/>
    <x v="13"/>
    <s v="Maharashtra"/>
    <s v="West"/>
    <s v="Electronics"/>
    <s v="USB Cable"/>
    <n v="15"/>
    <n v="769.77"/>
    <n v="11546.55"/>
  </r>
  <r>
    <x v="227"/>
    <s v="Priya"/>
    <x v="1"/>
    <s v="Delhi"/>
    <s v="North"/>
    <s v="Home &amp; Kitchen"/>
    <s v="Storage Jar"/>
    <n v="23"/>
    <n v="171.43"/>
    <n v="3942.8900000000003"/>
  </r>
  <r>
    <x v="228"/>
    <s v="Aarohi"/>
    <x v="5"/>
    <s v="Tamil Nadu"/>
    <s v="South"/>
    <s v="Electronics"/>
    <s v="Earphones"/>
    <n v="12"/>
    <n v="1878.89"/>
    <n v="22546.68"/>
  </r>
  <r>
    <x v="229"/>
    <s v="Aarav"/>
    <x v="10"/>
    <s v="Maharashtra"/>
    <s v="West"/>
    <s v="Electronics"/>
    <s v="Mouse"/>
    <n v="1"/>
    <n v="1390.96"/>
    <n v="1390.96"/>
  </r>
  <r>
    <x v="230"/>
    <s v="Sanya"/>
    <x v="6"/>
    <s v="Telangana"/>
    <s v="South"/>
    <s v="Apparel"/>
    <s v="Cap"/>
    <n v="20"/>
    <n v="1785.86"/>
    <n v="35717.199999999997"/>
  </r>
  <r>
    <x v="231"/>
    <s v="Aarohi"/>
    <x v="7"/>
    <s v="Gujarat"/>
    <s v="West"/>
    <s v="Furniture"/>
    <s v="Bookshelf"/>
    <n v="14"/>
    <n v="9576.23"/>
    <n v="134067.22"/>
  </r>
  <r>
    <x v="232"/>
    <s v="Meera"/>
    <x v="10"/>
    <s v="Maharashtra"/>
    <s v="West"/>
    <s v="Home &amp; Kitchen"/>
    <s v="Water Bottle"/>
    <n v="15"/>
    <n v="612.41999999999996"/>
    <n v="9186.2999999999993"/>
  </r>
  <r>
    <x v="233"/>
    <s v="Sanya"/>
    <x v="10"/>
    <s v="Maharashtra"/>
    <s v="West"/>
    <s v="Apparel"/>
    <s v="Cap"/>
    <n v="25"/>
    <n v="1937.59"/>
    <n v="48439.75"/>
  </r>
  <r>
    <x v="234"/>
    <s v="Neha"/>
    <x v="4"/>
    <s v="Delhi"/>
    <s v="North"/>
    <s v="Stationery"/>
    <s v="Pencil Box"/>
    <n v="5"/>
    <n v="135.57"/>
    <n v="677.84999999999991"/>
  </r>
  <r>
    <x v="50"/>
    <s v="Rohan"/>
    <x v="2"/>
    <s v="Karnataka"/>
    <s v="South"/>
    <s v="Home &amp; Kitchen"/>
    <s v="Storage Jar"/>
    <n v="3"/>
    <n v="375.67"/>
    <n v="1127.01"/>
  </r>
  <r>
    <x v="235"/>
    <s v="Rahul"/>
    <x v="11"/>
    <s v="Tamil Nadu"/>
    <s v="South"/>
    <s v="Electronics"/>
    <s v="Power Bank"/>
    <n v="20"/>
    <n v="1960.48"/>
    <n v="39209.599999999999"/>
  </r>
  <r>
    <x v="38"/>
    <s v="Ananya"/>
    <x v="10"/>
    <s v="Maharashtra"/>
    <s v="West"/>
    <s v="Electronics"/>
    <s v="Keyboard"/>
    <n v="24"/>
    <n v="3176.6"/>
    <n v="76238.399999999994"/>
  </r>
  <r>
    <x v="236"/>
    <s v="Simran"/>
    <x v="4"/>
    <s v="Delhi"/>
    <s v="North"/>
    <s v="Stationery"/>
    <s v="Pen"/>
    <n v="2"/>
    <n v="380.45"/>
    <n v="760.9"/>
  </r>
  <r>
    <x v="237"/>
    <s v="Aditi"/>
    <x v="8"/>
    <s v="Karnataka"/>
    <s v="South"/>
    <s v="Apparel"/>
    <s v="Jacket"/>
    <n v="20"/>
    <n v="1332.13"/>
    <n v="26642.600000000002"/>
  </r>
  <r>
    <x v="238"/>
    <s v="Rahul"/>
    <x v="5"/>
    <s v="Tamil Nadu"/>
    <s v="South"/>
    <s v="Home &amp; Kitchen"/>
    <s v="Steel Plate"/>
    <n v="8"/>
    <n v="985.16"/>
    <n v="7881.28"/>
  </r>
  <r>
    <x v="196"/>
    <s v="Kabir"/>
    <x v="5"/>
    <s v="Tamil Nadu"/>
    <s v="South"/>
    <s v="Furniture"/>
    <s v="Study Table"/>
    <n v="23"/>
    <n v="2129.09"/>
    <n v="48969.070000000007"/>
  </r>
  <r>
    <x v="239"/>
    <s v="Arjun"/>
    <x v="15"/>
    <s v="Uttar Pradesh"/>
    <s v="North"/>
    <s v="Furniture"/>
    <s v="Study Table"/>
    <n v="11"/>
    <n v="7869.93"/>
    <n v="86569.23000000001"/>
  </r>
  <r>
    <x v="240"/>
    <s v="Rohan"/>
    <x v="9"/>
    <s v="Bihar"/>
    <s v="East"/>
    <s v="Furniture"/>
    <s v="Study Table"/>
    <n v="25"/>
    <n v="5390.67"/>
    <n v="134766.75"/>
  </r>
  <r>
    <x v="168"/>
    <s v="Nishant"/>
    <x v="12"/>
    <s v="West Bengal"/>
    <s v="East"/>
    <s v="Electronics"/>
    <s v="Mouse"/>
    <n v="4"/>
    <n v="1082.6600000000001"/>
    <n v="4330.6400000000003"/>
  </r>
  <r>
    <x v="26"/>
    <s v="Kabir"/>
    <x v="13"/>
    <s v="Maharashtra"/>
    <s v="West"/>
    <s v="Stationery"/>
    <s v="Eraser"/>
    <n v="13"/>
    <n v="348.38"/>
    <n v="4528.9399999999996"/>
  </r>
  <r>
    <x v="241"/>
    <s v="Riya"/>
    <x v="14"/>
    <s v="Maharashtra"/>
    <s v="West"/>
    <s v="Home &amp; Kitchen"/>
    <s v="Storage Jar"/>
    <n v="7"/>
    <n v="939.43"/>
    <n v="6576.0099999999993"/>
  </r>
  <r>
    <x v="242"/>
    <s v="Neha"/>
    <x v="6"/>
    <s v="Telangana"/>
    <s v="South"/>
    <s v="Furniture"/>
    <s v="Office Chair"/>
    <n v="16"/>
    <n v="1743.35"/>
    <n v="27893.599999999999"/>
  </r>
  <r>
    <x v="243"/>
    <s v="Neha"/>
    <x v="6"/>
    <s v="Telangana"/>
    <s v="South"/>
    <s v="Electronics"/>
    <s v="Earphones"/>
    <n v="19"/>
    <n v="1364.55"/>
    <n v="25926.45"/>
  </r>
  <r>
    <x v="72"/>
    <s v="Aarohi"/>
    <x v="15"/>
    <s v="Uttar Pradesh"/>
    <s v="North"/>
    <s v="Apparel"/>
    <s v="Jacket"/>
    <n v="10"/>
    <n v="1142.8800000000001"/>
    <n v="11428.800000000001"/>
  </r>
  <r>
    <x v="244"/>
    <s v="Arjun"/>
    <x v="10"/>
    <s v="Maharashtra"/>
    <s v="West"/>
    <s v="Home &amp; Kitchen"/>
    <s v="Storage Jar"/>
    <n v="25"/>
    <n v="543.58000000000004"/>
    <n v="13589.500000000002"/>
  </r>
  <r>
    <x v="104"/>
    <s v="Kabir"/>
    <x v="4"/>
    <s v="Delhi"/>
    <s v="North"/>
    <s v="Apparel"/>
    <s v="Cap"/>
    <n v="12"/>
    <n v="1173.46"/>
    <n v="14081.52"/>
  </r>
  <r>
    <x v="107"/>
    <s v="Kabir"/>
    <x v="6"/>
    <s v="Telangana"/>
    <s v="South"/>
    <s v="Apparel"/>
    <s v="Socks"/>
    <n v="20"/>
    <n v="1408.74"/>
    <n v="28174.799999999999"/>
  </r>
  <r>
    <x v="245"/>
    <s v="Kabir"/>
    <x v="13"/>
    <s v="Maharashtra"/>
    <s v="West"/>
    <s v="Furniture"/>
    <s v="Office Chair"/>
    <n v="11"/>
    <n v="7357.23"/>
    <n v="80929.53"/>
  </r>
  <r>
    <x v="147"/>
    <s v="Kabir"/>
    <x v="8"/>
    <s v="Karnataka"/>
    <s v="South"/>
    <s v="Apparel"/>
    <s v="Jacket"/>
    <n v="17"/>
    <n v="224.47"/>
    <n v="3815.99"/>
  </r>
  <r>
    <x v="246"/>
    <s v="Kabir"/>
    <x v="12"/>
    <s v="West Bengal"/>
    <s v="East"/>
    <s v="Furniture"/>
    <s v="Bookshelf"/>
    <n v="15"/>
    <n v="3063.88"/>
    <n v="45958.200000000004"/>
  </r>
  <r>
    <x v="247"/>
    <s v="Kabir"/>
    <x v="12"/>
    <s v="West Bengal"/>
    <s v="East"/>
    <s v="Apparel"/>
    <s v="Socks"/>
    <n v="6"/>
    <n v="876.97"/>
    <n v="5261.82"/>
  </r>
  <r>
    <x v="248"/>
    <s v="Aarohi"/>
    <x v="12"/>
    <s v="West Bengal"/>
    <s v="East"/>
    <s v="Apparel"/>
    <s v="Jacket"/>
    <n v="23"/>
    <n v="1191.4100000000001"/>
    <n v="27402.43"/>
  </r>
  <r>
    <x v="69"/>
    <s v="Ishita"/>
    <x v="9"/>
    <s v="Bihar"/>
    <s v="East"/>
    <s v="Home &amp; Kitchen"/>
    <s v="Water Bottle"/>
    <n v="14"/>
    <n v="742.07"/>
    <n v="10388.980000000001"/>
  </r>
  <r>
    <x v="249"/>
    <s v="Ishita"/>
    <x v="15"/>
    <s v="Uttar Pradesh"/>
    <s v="North"/>
    <s v="Home &amp; Kitchen"/>
    <s v="Lunch Box"/>
    <n v="24"/>
    <n v="156.49"/>
    <n v="3755.76"/>
  </r>
  <r>
    <x v="250"/>
    <s v="Ananya"/>
    <x v="7"/>
    <s v="Gujarat"/>
    <s v="West"/>
    <s v="Electronics"/>
    <s v="Earphones"/>
    <n v="2"/>
    <n v="2089.48"/>
    <n v="4178.96"/>
  </r>
  <r>
    <x v="251"/>
    <s v="Nishant"/>
    <x v="8"/>
    <s v="Karnataka"/>
    <s v="South"/>
    <s v="Stationery"/>
    <s v="Ruler"/>
    <n v="11"/>
    <n v="179.14"/>
    <n v="1970.54"/>
  </r>
  <r>
    <x v="252"/>
    <s v="Aarav"/>
    <x v="3"/>
    <s v="Rajasthan"/>
    <s v="North"/>
    <s v="Apparel"/>
    <s v="Jacket"/>
    <n v="24"/>
    <n v="1495.69"/>
    <n v="35896.559999999998"/>
  </r>
  <r>
    <x v="253"/>
    <s v="Kabir"/>
    <x v="8"/>
    <s v="Karnataka"/>
    <s v="South"/>
    <s v="Apparel"/>
    <s v="Socks"/>
    <n v="22"/>
    <n v="1034.99"/>
    <n v="22769.78"/>
  </r>
  <r>
    <x v="254"/>
    <s v="Rohan"/>
    <x v="14"/>
    <s v="Maharashtra"/>
    <s v="West"/>
    <s v="Furniture"/>
    <s v="Bookshelf"/>
    <n v="11"/>
    <n v="7235.87"/>
    <n v="79594.569999999992"/>
  </r>
  <r>
    <x v="255"/>
    <s v="Aditi"/>
    <x v="15"/>
    <s v="Uttar Pradesh"/>
    <s v="North"/>
    <s v="Electronics"/>
    <s v="Earphones"/>
    <n v="9"/>
    <n v="2041.69"/>
    <n v="18375.21"/>
  </r>
  <r>
    <x v="128"/>
    <s v="Aarohi"/>
    <x v="5"/>
    <s v="Tamil Nadu"/>
    <s v="South"/>
    <s v="Electronics"/>
    <s v="Mouse"/>
    <n v="11"/>
    <n v="1783.35"/>
    <n v="19616.849999999999"/>
  </r>
  <r>
    <x v="256"/>
    <s v="Aditi"/>
    <x v="5"/>
    <s v="Tamil Nadu"/>
    <s v="South"/>
    <s v="Stationery"/>
    <s v="Pencil Box"/>
    <n v="22"/>
    <n v="226.41"/>
    <n v="4981.0199999999995"/>
  </r>
  <r>
    <x v="257"/>
    <s v="Sanya"/>
    <x v="10"/>
    <s v="Maharashtra"/>
    <s v="West"/>
    <s v="Home &amp; Kitchen"/>
    <s v="Water Bottle"/>
    <n v="10"/>
    <n v="1150.8499999999999"/>
    <n v="11508.5"/>
  </r>
  <r>
    <x v="258"/>
    <s v="Sanya"/>
    <x v="6"/>
    <s v="Telangana"/>
    <s v="South"/>
    <s v="Home &amp; Kitchen"/>
    <s v="Steel Plate"/>
    <n v="7"/>
    <n v="322.27"/>
    <n v="2255.89"/>
  </r>
  <r>
    <x v="93"/>
    <s v="Aditi"/>
    <x v="11"/>
    <s v="Tamil Nadu"/>
    <s v="South"/>
    <s v="Electronics"/>
    <s v="USB Cable"/>
    <n v="20"/>
    <n v="2644.94"/>
    <n v="52898.8"/>
  </r>
  <r>
    <x v="259"/>
    <s v="Riya"/>
    <x v="4"/>
    <s v="Delhi"/>
    <s v="North"/>
    <s v="Apparel"/>
    <s v="Cap"/>
    <n v="21"/>
    <n v="580.75"/>
    <n v="12195.75"/>
  </r>
  <r>
    <x v="260"/>
    <s v="Arjun"/>
    <x v="12"/>
    <s v="West Bengal"/>
    <s v="East"/>
    <s v="Furniture"/>
    <s v="Study Table"/>
    <n v="22"/>
    <n v="9593.0400000000009"/>
    <n v="211046.88"/>
  </r>
  <r>
    <x v="71"/>
    <s v="Rahul"/>
    <x v="14"/>
    <s v="Maharashtra"/>
    <s v="West"/>
    <s v="Furniture"/>
    <s v="Bookshelf"/>
    <n v="16"/>
    <n v="6513.21"/>
    <n v="104211.36"/>
  </r>
  <r>
    <x v="85"/>
    <s v="Aarohi"/>
    <x v="12"/>
    <s v="West Bengal"/>
    <s v="East"/>
    <s v="Home &amp; Kitchen"/>
    <s v="Water Bottle"/>
    <n v="25"/>
    <n v="198.41"/>
    <n v="4960.25"/>
  </r>
  <r>
    <x v="105"/>
    <s v="Riya"/>
    <x v="4"/>
    <s v="Delhi"/>
    <s v="North"/>
    <s v="Electronics"/>
    <s v="Mouse"/>
    <n v="6"/>
    <n v="3281.94"/>
    <n v="19691.64"/>
  </r>
  <r>
    <x v="217"/>
    <s v="Kabir"/>
    <x v="15"/>
    <s v="Uttar Pradesh"/>
    <s v="North"/>
    <s v="Electronics"/>
    <s v="Power Bank"/>
    <n v="2"/>
    <n v="230.58"/>
    <n v="461.16"/>
  </r>
  <r>
    <x v="261"/>
    <s v="Yash"/>
    <x v="13"/>
    <s v="Maharashtra"/>
    <s v="West"/>
    <s v="Home &amp; Kitchen"/>
    <s v="Storage Jar"/>
    <n v="15"/>
    <n v="1188.01"/>
    <n v="17820.150000000001"/>
  </r>
  <r>
    <x v="262"/>
    <s v="Neha"/>
    <x v="15"/>
    <s v="Uttar Pradesh"/>
    <s v="North"/>
    <s v="Electronics"/>
    <s v="Keyboard"/>
    <n v="15"/>
    <n v="1100.3599999999999"/>
    <n v="16505.399999999998"/>
  </r>
  <r>
    <x v="263"/>
    <s v="Rohan"/>
    <x v="14"/>
    <s v="Maharashtra"/>
    <s v="West"/>
    <s v="Furniture"/>
    <s v="Bookshelf"/>
    <n v="9"/>
    <n v="9045.2800000000007"/>
    <n v="81407.520000000004"/>
  </r>
  <r>
    <x v="264"/>
    <s v="Rohan"/>
    <x v="5"/>
    <s v="Tamil Nadu"/>
    <s v="South"/>
    <s v="Apparel"/>
    <s v="Cap"/>
    <n v="6"/>
    <n v="1280.27"/>
    <n v="7681.62"/>
  </r>
  <r>
    <x v="0"/>
    <s v="Kabir"/>
    <x v="3"/>
    <s v="Rajasthan"/>
    <s v="North"/>
    <s v="Apparel"/>
    <s v="Socks"/>
    <n v="3"/>
    <n v="891.54"/>
    <n v="2674.62"/>
  </r>
  <r>
    <x v="265"/>
    <s v="Ananya"/>
    <x v="10"/>
    <s v="Maharashtra"/>
    <s v="West"/>
    <s v="Furniture"/>
    <s v="Office Chair"/>
    <n v="8"/>
    <n v="1571.72"/>
    <n v="12573.76"/>
  </r>
  <r>
    <x v="266"/>
    <s v="Riya"/>
    <x v="6"/>
    <s v="Telangana"/>
    <s v="South"/>
    <s v="Home &amp; Kitchen"/>
    <s v="Storage Jar"/>
    <n v="10"/>
    <n v="740.71"/>
    <n v="7407.1"/>
  </r>
  <r>
    <x v="230"/>
    <s v="Ishita"/>
    <x v="11"/>
    <s v="Tamil Nadu"/>
    <s v="South"/>
    <s v="Home &amp; Kitchen"/>
    <s v="Lunch Box"/>
    <n v="2"/>
    <n v="834.56"/>
    <n v="1669.12"/>
  </r>
  <r>
    <x v="267"/>
    <s v="Aarohi"/>
    <x v="14"/>
    <s v="Maharashtra"/>
    <s v="West"/>
    <s v="Furniture"/>
    <s v="Bookshelf"/>
    <n v="17"/>
    <n v="11192.61"/>
    <n v="190274.37"/>
  </r>
  <r>
    <x v="137"/>
    <s v="Aarohi"/>
    <x v="13"/>
    <s v="Maharashtra"/>
    <s v="West"/>
    <s v="Home &amp; Kitchen"/>
    <s v="Storage Jar"/>
    <n v="20"/>
    <n v="342.93"/>
    <n v="6858.6"/>
  </r>
  <r>
    <x v="268"/>
    <s v="Karan"/>
    <x v="10"/>
    <s v="Maharashtra"/>
    <s v="West"/>
    <s v="Furniture"/>
    <s v="Bookshelf"/>
    <n v="20"/>
    <n v="5423.06"/>
    <n v="108461.20000000001"/>
  </r>
  <r>
    <x v="269"/>
    <s v="Rahul"/>
    <x v="15"/>
    <s v="Uttar Pradesh"/>
    <s v="North"/>
    <s v="Apparel"/>
    <s v="Cap"/>
    <n v="25"/>
    <n v="607.80999999999995"/>
    <n v="15195.249999999998"/>
  </r>
  <r>
    <x v="270"/>
    <s v="Meera"/>
    <x v="6"/>
    <s v="Telangana"/>
    <s v="South"/>
    <s v="Apparel"/>
    <s v="Socks"/>
    <n v="3"/>
    <n v="1846.9"/>
    <n v="5540.7000000000007"/>
  </r>
  <r>
    <x v="271"/>
    <s v="Vihaan"/>
    <x v="8"/>
    <s v="Karnataka"/>
    <s v="South"/>
    <s v="Apparel"/>
    <s v="Cap"/>
    <n v="6"/>
    <n v="757.02"/>
    <n v="4542.12"/>
  </r>
  <r>
    <x v="272"/>
    <s v="Priya"/>
    <x v="13"/>
    <s v="Maharashtra"/>
    <s v="West"/>
    <s v="Electronics"/>
    <s v="Keyboard"/>
    <n v="16"/>
    <n v="500.11"/>
    <n v="8001.76"/>
  </r>
  <r>
    <x v="273"/>
    <s v="Priya"/>
    <x v="4"/>
    <s v="Delhi"/>
    <s v="North"/>
    <s v="Furniture"/>
    <s v="Study Table"/>
    <n v="17"/>
    <n v="5861.96"/>
    <n v="99653.32"/>
  </r>
  <r>
    <x v="86"/>
    <s v="Vihaan"/>
    <x v="6"/>
    <s v="Telangana"/>
    <s v="South"/>
    <s v="Home &amp; Kitchen"/>
    <s v="Water Bottle"/>
    <n v="13"/>
    <n v="379.9"/>
    <n v="4938.7"/>
  </r>
  <r>
    <x v="274"/>
    <s v="Aarav"/>
    <x v="1"/>
    <s v="Delhi"/>
    <s v="North"/>
    <s v="Stationery"/>
    <s v="Ruler"/>
    <n v="12"/>
    <n v="286.14999999999998"/>
    <n v="3433.7999999999997"/>
  </r>
  <r>
    <x v="275"/>
    <s v="Vihaan"/>
    <x v="1"/>
    <s v="Delhi"/>
    <s v="North"/>
    <s v="Furniture"/>
    <s v="Study Table"/>
    <n v="10"/>
    <n v="5793.1"/>
    <n v="57931"/>
  </r>
  <r>
    <x v="82"/>
    <s v="Arjun"/>
    <x v="9"/>
    <s v="Bihar"/>
    <s v="East"/>
    <s v="Furniture"/>
    <s v="Office Chair"/>
    <n v="13"/>
    <n v="5444.28"/>
    <n v="70775.64"/>
  </r>
  <r>
    <x v="276"/>
    <s v="Rahul"/>
    <x v="10"/>
    <s v="Maharashtra"/>
    <s v="West"/>
    <s v="Home &amp; Kitchen"/>
    <s v="Water Bottle"/>
    <n v="6"/>
    <n v="1192.1300000000001"/>
    <n v="7152.7800000000007"/>
  </r>
  <r>
    <x v="243"/>
    <s v="Neha"/>
    <x v="10"/>
    <s v="Maharashtra"/>
    <s v="West"/>
    <s v="Electronics"/>
    <s v="USB Cable"/>
    <n v="25"/>
    <n v="275.02999999999997"/>
    <n v="6875.7499999999991"/>
  </r>
  <r>
    <x v="277"/>
    <s v="Priya"/>
    <x v="3"/>
    <s v="Rajasthan"/>
    <s v="North"/>
    <s v="Apparel"/>
    <s v="Jacket"/>
    <n v="8"/>
    <n v="607.9"/>
    <n v="4863.2"/>
  </r>
  <r>
    <x v="278"/>
    <s v="Kabir"/>
    <x v="11"/>
    <s v="Tamil Nadu"/>
    <s v="South"/>
    <s v="Electronics"/>
    <s v="USB Cable"/>
    <n v="2"/>
    <n v="2871.28"/>
    <n v="5742.56"/>
  </r>
  <r>
    <x v="210"/>
    <s v="Yash"/>
    <x v="0"/>
    <s v="Delhi"/>
    <s v="North"/>
    <s v="Electronics"/>
    <s v="Earphones"/>
    <n v="3"/>
    <n v="532.96"/>
    <n v="1598.88"/>
  </r>
  <r>
    <x v="279"/>
    <s v="Priya"/>
    <x v="4"/>
    <s v="Delhi"/>
    <s v="North"/>
    <s v="Electronics"/>
    <s v="USB Cable"/>
    <n v="13"/>
    <n v="1648.58"/>
    <n v="21431.54"/>
  </r>
  <r>
    <x v="280"/>
    <s v="Aarav"/>
    <x v="4"/>
    <s v="Delhi"/>
    <s v="North"/>
    <s v="Electronics"/>
    <s v="Keyboard"/>
    <n v="10"/>
    <n v="972.73"/>
    <n v="9727.2999999999993"/>
  </r>
  <r>
    <x v="88"/>
    <s v="Rohan"/>
    <x v="12"/>
    <s v="West Bengal"/>
    <s v="East"/>
    <s v="Electronics"/>
    <s v="Power Bank"/>
    <n v="5"/>
    <n v="3452.8"/>
    <n v="17264"/>
  </r>
  <r>
    <x v="281"/>
    <s v="Riya"/>
    <x v="3"/>
    <s v="Rajasthan"/>
    <s v="North"/>
    <s v="Home &amp; Kitchen"/>
    <s v="Storage Jar"/>
    <n v="2"/>
    <n v="712.39"/>
    <n v="1424.78"/>
  </r>
  <r>
    <x v="282"/>
    <s v="Ananya"/>
    <x v="3"/>
    <s v="Rajasthan"/>
    <s v="North"/>
    <s v="Apparel"/>
    <s v="Jacket"/>
    <n v="2"/>
    <n v="1948.74"/>
    <n v="3897.48"/>
  </r>
  <r>
    <x v="215"/>
    <s v="Kabir"/>
    <x v="12"/>
    <s v="West Bengal"/>
    <s v="East"/>
    <s v="Furniture"/>
    <s v="Office Chair"/>
    <n v="5"/>
    <n v="4648.83"/>
    <n v="23244.15"/>
  </r>
  <r>
    <x v="283"/>
    <s v="Rahul"/>
    <x v="15"/>
    <s v="Uttar Pradesh"/>
    <s v="North"/>
    <s v="Electronics"/>
    <s v="Earphones"/>
    <n v="10"/>
    <n v="3029.89"/>
    <n v="30298.899999999998"/>
  </r>
  <r>
    <x v="284"/>
    <s v="Priya"/>
    <x v="4"/>
    <s v="Delhi"/>
    <s v="North"/>
    <s v="Apparel"/>
    <s v="Jacket"/>
    <n v="14"/>
    <n v="1180.98"/>
    <n v="16533.72"/>
  </r>
  <r>
    <x v="285"/>
    <s v="Kabir"/>
    <x v="2"/>
    <s v="Karnataka"/>
    <s v="South"/>
    <s v="Home &amp; Kitchen"/>
    <s v="Lunch Box"/>
    <n v="11"/>
    <n v="811.38"/>
    <n v="8925.18"/>
  </r>
  <r>
    <x v="224"/>
    <s v="Sanya"/>
    <x v="1"/>
    <s v="Delhi"/>
    <s v="North"/>
    <s v="Apparel"/>
    <s v="Cap"/>
    <n v="2"/>
    <n v="646.65"/>
    <n v="1293.3"/>
  </r>
  <r>
    <x v="286"/>
    <s v="Yash"/>
    <x v="4"/>
    <s v="Delhi"/>
    <s v="North"/>
    <s v="Stationery"/>
    <s v="Notebook"/>
    <n v="25"/>
    <n v="243.28"/>
    <n v="6082"/>
  </r>
  <r>
    <x v="287"/>
    <s v="Rahul"/>
    <x v="8"/>
    <s v="Karnataka"/>
    <s v="South"/>
    <s v="Furniture"/>
    <s v="Study Table"/>
    <n v="11"/>
    <n v="4683.47"/>
    <n v="51518.170000000006"/>
  </r>
  <r>
    <x v="136"/>
    <s v="Aarav"/>
    <x v="8"/>
    <s v="Karnataka"/>
    <s v="South"/>
    <s v="Stationery"/>
    <s v="Sketch Pens"/>
    <n v="25"/>
    <n v="201.99"/>
    <n v="5049.75"/>
  </r>
  <r>
    <x v="288"/>
    <s v="Yash"/>
    <x v="8"/>
    <s v="Karnataka"/>
    <s v="South"/>
    <s v="Furniture"/>
    <s v="Study Table"/>
    <n v="18"/>
    <n v="4876.96"/>
    <n v="87785.279999999999"/>
  </r>
  <r>
    <x v="289"/>
    <s v="Kabir"/>
    <x v="6"/>
    <s v="Telangana"/>
    <s v="South"/>
    <s v="Apparel"/>
    <s v="Socks"/>
    <n v="10"/>
    <n v="633.89"/>
    <n v="6338.9"/>
  </r>
  <r>
    <x v="290"/>
    <s v="Karan"/>
    <x v="6"/>
    <s v="Telangana"/>
    <s v="South"/>
    <s v="Stationery"/>
    <s v="Highlighter"/>
    <n v="24"/>
    <n v="198.41"/>
    <n v="4761.84"/>
  </r>
  <r>
    <x v="291"/>
    <s v="Aarav"/>
    <x v="9"/>
    <s v="Bihar"/>
    <s v="East"/>
    <s v="Home &amp; Kitchen"/>
    <s v="Steel Plate"/>
    <n v="2"/>
    <n v="718.78"/>
    <n v="1437.56"/>
  </r>
  <r>
    <x v="292"/>
    <s v="Kabir"/>
    <x v="0"/>
    <s v="Delhi"/>
    <s v="North"/>
    <s v="Home &amp; Kitchen"/>
    <s v="Steel Plate"/>
    <n v="10"/>
    <n v="267.64999999999998"/>
    <n v="2676.5"/>
  </r>
  <r>
    <x v="293"/>
    <s v="Riya"/>
    <x v="7"/>
    <s v="Gujarat"/>
    <s v="West"/>
    <s v="Apparel"/>
    <s v="Cap"/>
    <n v="16"/>
    <n v="1168.69"/>
    <n v="18699.04"/>
  </r>
  <r>
    <x v="196"/>
    <s v="Rohan"/>
    <x v="11"/>
    <s v="Tamil Nadu"/>
    <s v="South"/>
    <s v="Furniture"/>
    <s v="Bookshelf"/>
    <n v="21"/>
    <n v="9265.74"/>
    <n v="194580.54"/>
  </r>
  <r>
    <x v="294"/>
    <s v="Ananya"/>
    <x v="9"/>
    <s v="Bihar"/>
    <s v="East"/>
    <s v="Electronics"/>
    <s v="Earphones"/>
    <n v="24"/>
    <n v="2003.6"/>
    <n v="48086.399999999994"/>
  </r>
  <r>
    <x v="283"/>
    <s v="Rahul"/>
    <x v="4"/>
    <s v="Delhi"/>
    <s v="North"/>
    <s v="Apparel"/>
    <s v="T-Shirt"/>
    <n v="3"/>
    <n v="1898.6"/>
    <n v="5695.7999999999993"/>
  </r>
  <r>
    <x v="182"/>
    <s v="Vihaan"/>
    <x v="0"/>
    <s v="Delhi"/>
    <s v="North"/>
    <s v="Furniture"/>
    <s v="Study Table"/>
    <n v="21"/>
    <n v="3930.05"/>
    <n v="82531.05"/>
  </r>
  <r>
    <x v="295"/>
    <s v="Kabir"/>
    <x v="0"/>
    <s v="Delhi"/>
    <s v="North"/>
    <s v="Electronics"/>
    <s v="Keyboard"/>
    <n v="15"/>
    <n v="1431.56"/>
    <n v="21473.399999999998"/>
  </r>
  <r>
    <x v="296"/>
    <s v="Yash"/>
    <x v="15"/>
    <s v="Uttar Pradesh"/>
    <s v="North"/>
    <s v="Furniture"/>
    <s v="Study Table"/>
    <n v="1"/>
    <n v="7088.23"/>
    <n v="7088.23"/>
  </r>
  <r>
    <x v="138"/>
    <s v="Ishita"/>
    <x v="0"/>
    <s v="Delhi"/>
    <s v="North"/>
    <s v="Apparel"/>
    <s v="Socks"/>
    <n v="18"/>
    <n v="1958.34"/>
    <n v="35250.119999999995"/>
  </r>
  <r>
    <x v="98"/>
    <s v="Neha"/>
    <x v="3"/>
    <s v="Rajasthan"/>
    <s v="North"/>
    <s v="Electronics"/>
    <s v="USB Cable"/>
    <n v="4"/>
    <n v="1930.47"/>
    <n v="7721.88"/>
  </r>
  <r>
    <x v="297"/>
    <s v="Aarav"/>
    <x v="11"/>
    <s v="Tamil Nadu"/>
    <s v="South"/>
    <s v="Home &amp; Kitchen"/>
    <s v="Storage Jar"/>
    <n v="13"/>
    <n v="186.92"/>
    <n v="2429.96"/>
  </r>
  <r>
    <x v="298"/>
    <s v="Priya"/>
    <x v="2"/>
    <s v="Karnataka"/>
    <s v="South"/>
    <s v="Electronics"/>
    <s v="Power Bank"/>
    <n v="22"/>
    <n v="2932.6"/>
    <n v="64517.2"/>
  </r>
  <r>
    <x v="299"/>
    <s v="Vihaan"/>
    <x v="1"/>
    <s v="Delhi"/>
    <s v="North"/>
    <s v="Furniture"/>
    <s v="Office Chair"/>
    <n v="13"/>
    <n v="7303.37"/>
    <n v="94943.81"/>
  </r>
  <r>
    <x v="12"/>
    <s v="Ishita"/>
    <x v="14"/>
    <s v="Maharashtra"/>
    <s v="West"/>
    <s v="Stationery"/>
    <s v="Ruler"/>
    <n v="14"/>
    <n v="265.06"/>
    <n v="3710.84"/>
  </r>
  <r>
    <x v="300"/>
    <s v="Simran"/>
    <x v="13"/>
    <s v="Maharashtra"/>
    <s v="West"/>
    <s v="Apparel"/>
    <s v="T-Shirt"/>
    <n v="8"/>
    <n v="541.12"/>
    <n v="4328.96"/>
  </r>
  <r>
    <x v="301"/>
    <s v="Simran"/>
    <x v="15"/>
    <s v="Uttar Pradesh"/>
    <s v="North"/>
    <s v="Home &amp; Kitchen"/>
    <s v="Water Bottle"/>
    <n v="3"/>
    <n v="852.87"/>
    <n v="2558.61"/>
  </r>
  <r>
    <x v="302"/>
    <s v="Rahul"/>
    <x v="4"/>
    <s v="Delhi"/>
    <s v="North"/>
    <s v="Electronics"/>
    <s v="Power Bank"/>
    <n v="1"/>
    <n v="3372.85"/>
    <n v="3372.85"/>
  </r>
  <r>
    <x v="303"/>
    <s v="Kabir"/>
    <x v="7"/>
    <s v="Gujarat"/>
    <s v="West"/>
    <s v="Stationery"/>
    <s v="Eraser"/>
    <n v="6"/>
    <n v="234.3"/>
    <n v="1405.8000000000002"/>
  </r>
  <r>
    <x v="13"/>
    <s v="Kabir"/>
    <x v="12"/>
    <s v="West Bengal"/>
    <s v="East"/>
    <s v="Furniture"/>
    <s v="Bookshelf"/>
    <n v="5"/>
    <n v="9800.23"/>
    <n v="49001.149999999994"/>
  </r>
  <r>
    <x v="304"/>
    <s v="Meera"/>
    <x v="9"/>
    <s v="Bihar"/>
    <s v="East"/>
    <s v="Stationery"/>
    <s v="Pen"/>
    <n v="14"/>
    <n v="108.21"/>
    <n v="1514.9399999999998"/>
  </r>
  <r>
    <x v="305"/>
    <s v="Rohan"/>
    <x v="7"/>
    <s v="Gujarat"/>
    <s v="West"/>
    <s v="Home &amp; Kitchen"/>
    <s v="Water Bottle"/>
    <n v="21"/>
    <n v="400.66"/>
    <n v="8413.86"/>
  </r>
  <r>
    <x v="306"/>
    <s v="Karan"/>
    <x v="2"/>
    <s v="Karnataka"/>
    <s v="South"/>
    <s v="Home &amp; Kitchen"/>
    <s v="Steel Plate"/>
    <n v="14"/>
    <n v="304.31"/>
    <n v="4260.34"/>
  </r>
  <r>
    <x v="307"/>
    <s v="Kabir"/>
    <x v="1"/>
    <s v="Delhi"/>
    <s v="North"/>
    <s v="Apparel"/>
    <s v="Socks"/>
    <n v="8"/>
    <n v="1469.25"/>
    <n v="11754"/>
  </r>
  <r>
    <x v="308"/>
    <s v="Aditi"/>
    <x v="10"/>
    <s v="Maharashtra"/>
    <s v="West"/>
    <s v="Furniture"/>
    <s v="Bookshelf"/>
    <n v="21"/>
    <n v="3119.91"/>
    <n v="65518.11"/>
  </r>
  <r>
    <x v="78"/>
    <s v="Rohan"/>
    <x v="9"/>
    <s v="Bihar"/>
    <s v="East"/>
    <s v="Stationery"/>
    <s v="Pen"/>
    <n v="1"/>
    <n v="378.32"/>
    <n v="378.32"/>
  </r>
  <r>
    <x v="309"/>
    <s v="Sanya"/>
    <x v="11"/>
    <s v="Tamil Nadu"/>
    <s v="South"/>
    <s v="Stationery"/>
    <s v="Notebook"/>
    <n v="3"/>
    <n v="91.21"/>
    <n v="273.63"/>
  </r>
  <r>
    <x v="310"/>
    <s v="Rahul"/>
    <x v="3"/>
    <s v="Rajasthan"/>
    <s v="North"/>
    <s v="Stationery"/>
    <s v="Pen"/>
    <n v="3"/>
    <n v="154.49"/>
    <n v="463.47"/>
  </r>
  <r>
    <x v="167"/>
    <s v="Yash"/>
    <x v="12"/>
    <s v="West Bengal"/>
    <s v="East"/>
    <s v="Furniture"/>
    <s v="Study Table"/>
    <n v="10"/>
    <n v="5845.01"/>
    <n v="58450.100000000006"/>
  </r>
  <r>
    <x v="195"/>
    <s v="Rahul"/>
    <x v="2"/>
    <s v="Karnataka"/>
    <s v="South"/>
    <s v="Apparel"/>
    <s v="Cap"/>
    <n v="22"/>
    <n v="854.35"/>
    <n v="18795.7"/>
  </r>
  <r>
    <x v="311"/>
    <s v="Aditi"/>
    <x v="5"/>
    <s v="Tamil Nadu"/>
    <s v="South"/>
    <s v="Home &amp; Kitchen"/>
    <s v="Steel Plate"/>
    <n v="5"/>
    <n v="169.59"/>
    <n v="847.95"/>
  </r>
  <r>
    <x v="312"/>
    <s v="Aditi"/>
    <x v="3"/>
    <s v="Rajasthan"/>
    <s v="North"/>
    <s v="Home &amp; Kitchen"/>
    <s v="Steel Plate"/>
    <n v="3"/>
    <n v="497.24"/>
    <n v="1491.72"/>
  </r>
  <r>
    <x v="313"/>
    <s v="Karan"/>
    <x v="8"/>
    <s v="Karnataka"/>
    <s v="South"/>
    <s v="Furniture"/>
    <s v="Study Table"/>
    <n v="5"/>
    <n v="4698.91"/>
    <n v="23494.55"/>
  </r>
  <r>
    <x v="314"/>
    <s v="Rohan"/>
    <x v="7"/>
    <s v="Gujarat"/>
    <s v="West"/>
    <s v="Home &amp; Kitchen"/>
    <s v="Steel Plate"/>
    <n v="11"/>
    <n v="573.67999999999995"/>
    <n v="6310.48"/>
  </r>
  <r>
    <x v="315"/>
    <s v="Yash"/>
    <x v="10"/>
    <s v="Maharashtra"/>
    <s v="West"/>
    <s v="Home &amp; Kitchen"/>
    <s v="Storage Jar"/>
    <n v="20"/>
    <n v="1142.01"/>
    <n v="22840.2"/>
  </r>
  <r>
    <x v="25"/>
    <s v="Karan"/>
    <x v="12"/>
    <s v="West Bengal"/>
    <s v="East"/>
    <s v="Electronics"/>
    <s v="Mouse"/>
    <n v="11"/>
    <n v="1161.78"/>
    <n v="12779.58"/>
  </r>
  <r>
    <x v="316"/>
    <s v="Karan"/>
    <x v="2"/>
    <s v="Karnataka"/>
    <s v="South"/>
    <s v="Home &amp; Kitchen"/>
    <s v="Steel Plate"/>
    <n v="9"/>
    <n v="998.14"/>
    <n v="8983.26"/>
  </r>
  <r>
    <x v="243"/>
    <s v="Sanya"/>
    <x v="13"/>
    <s v="Maharashtra"/>
    <s v="West"/>
    <s v="Apparel"/>
    <s v="Cap"/>
    <n v="19"/>
    <n v="1994.94"/>
    <n v="37903.86"/>
  </r>
  <r>
    <x v="219"/>
    <s v="Rahul"/>
    <x v="0"/>
    <s v="Delhi"/>
    <s v="North"/>
    <s v="Furniture"/>
    <s v="Bookshelf"/>
    <n v="7"/>
    <n v="6103.78"/>
    <n v="42726.46"/>
  </r>
  <r>
    <x v="129"/>
    <s v="Meera"/>
    <x v="3"/>
    <s v="Rajasthan"/>
    <s v="North"/>
    <s v="Furniture"/>
    <s v="Study Table"/>
    <n v="21"/>
    <n v="4679.74"/>
    <n v="98274.54"/>
  </r>
  <r>
    <x v="317"/>
    <s v="Kabir"/>
    <x v="3"/>
    <s v="Rajasthan"/>
    <s v="North"/>
    <s v="Furniture"/>
    <s v="Study Table"/>
    <n v="15"/>
    <n v="11902.36"/>
    <n v="178535.40000000002"/>
  </r>
  <r>
    <x v="162"/>
    <s v="Simran"/>
    <x v="7"/>
    <s v="Gujarat"/>
    <s v="West"/>
    <s v="Apparel"/>
    <s v="Jacket"/>
    <n v="18"/>
    <n v="218.02"/>
    <n v="3924.36"/>
  </r>
  <r>
    <x v="318"/>
    <s v="Rahul"/>
    <x v="1"/>
    <s v="Delhi"/>
    <s v="North"/>
    <s v="Stationery"/>
    <s v="Highlighter"/>
    <n v="8"/>
    <n v="269.89"/>
    <n v="2159.12"/>
  </r>
  <r>
    <x v="319"/>
    <s v="Ananya"/>
    <x v="4"/>
    <s v="Delhi"/>
    <s v="North"/>
    <s v="Apparel"/>
    <s v="Jacket"/>
    <n v="25"/>
    <n v="763.45"/>
    <n v="19086.25"/>
  </r>
  <r>
    <x v="320"/>
    <s v="Nishant"/>
    <x v="0"/>
    <s v="Delhi"/>
    <s v="North"/>
    <s v="Stationery"/>
    <s v="Eraser"/>
    <n v="8"/>
    <n v="214.06"/>
    <n v="1712.48"/>
  </r>
  <r>
    <x v="218"/>
    <s v="Rahul"/>
    <x v="2"/>
    <s v="Karnataka"/>
    <s v="South"/>
    <s v="Furniture"/>
    <s v="Office Chair"/>
    <n v="13"/>
    <n v="6362.16"/>
    <n v="82708.08"/>
  </r>
  <r>
    <x v="321"/>
    <s v="Simran"/>
    <x v="10"/>
    <s v="Maharashtra"/>
    <s v="West"/>
    <s v="Home &amp; Kitchen"/>
    <s v="Water Bottle"/>
    <n v="16"/>
    <n v="215"/>
    <n v="3440"/>
  </r>
  <r>
    <x v="322"/>
    <s v="Meera"/>
    <x v="13"/>
    <s v="Maharashtra"/>
    <s v="West"/>
    <s v="Electronics"/>
    <s v="Power Bank"/>
    <n v="10"/>
    <n v="1332.12"/>
    <n v="13321.199999999999"/>
  </r>
  <r>
    <x v="323"/>
    <s v="Neha"/>
    <x v="15"/>
    <s v="Uttar Pradesh"/>
    <s v="North"/>
    <s v="Home &amp; Kitchen"/>
    <s v="Steel Plate"/>
    <n v="4"/>
    <n v="581.98"/>
    <n v="2327.92"/>
  </r>
  <r>
    <x v="70"/>
    <s v="Priya"/>
    <x v="12"/>
    <s v="West Bengal"/>
    <s v="East"/>
    <s v="Stationery"/>
    <s v="Eraser"/>
    <n v="2"/>
    <n v="327.87"/>
    <n v="655.74"/>
  </r>
  <r>
    <x v="87"/>
    <s v="Ishita"/>
    <x v="12"/>
    <s v="West Bengal"/>
    <s v="East"/>
    <s v="Stationery"/>
    <s v="Sketch Pens"/>
    <n v="6"/>
    <n v="373.37"/>
    <n v="2240.2200000000003"/>
  </r>
  <r>
    <x v="157"/>
    <s v="Neha"/>
    <x v="14"/>
    <s v="Maharashtra"/>
    <s v="West"/>
    <s v="Apparel"/>
    <s v="Cap"/>
    <n v="11"/>
    <n v="1185.72"/>
    <n v="13042.92"/>
  </r>
  <r>
    <x v="324"/>
    <s v="Riya"/>
    <x v="7"/>
    <s v="Gujarat"/>
    <s v="West"/>
    <s v="Electronics"/>
    <s v="Earphones"/>
    <n v="21"/>
    <n v="2369.12"/>
    <n v="49751.519999999997"/>
  </r>
  <r>
    <x v="314"/>
    <s v="Ishita"/>
    <x v="8"/>
    <s v="Karnataka"/>
    <s v="South"/>
    <s v="Furniture"/>
    <s v="Bookshelf"/>
    <n v="14"/>
    <n v="5582.78"/>
    <n v="78158.92"/>
  </r>
  <r>
    <x v="325"/>
    <s v="Aarav"/>
    <x v="8"/>
    <s v="Karnataka"/>
    <s v="South"/>
    <s v="Home &amp; Kitchen"/>
    <s v="Water Bottle"/>
    <n v="19"/>
    <n v="211.93"/>
    <n v="4026.67"/>
  </r>
  <r>
    <x v="149"/>
    <s v="Ananya"/>
    <x v="9"/>
    <s v="Bihar"/>
    <s v="East"/>
    <s v="Home &amp; Kitchen"/>
    <s v="Lunch Box"/>
    <n v="15"/>
    <n v="225.35"/>
    <n v="3380.25"/>
  </r>
  <r>
    <x v="10"/>
    <s v="Karan"/>
    <x v="12"/>
    <s v="West Bengal"/>
    <s v="East"/>
    <s v="Apparel"/>
    <s v="Jacket"/>
    <n v="20"/>
    <n v="876.21"/>
    <n v="17524.2"/>
  </r>
  <r>
    <x v="326"/>
    <s v="Sanya"/>
    <x v="9"/>
    <s v="Bihar"/>
    <s v="East"/>
    <s v="Furniture"/>
    <s v="Bookshelf"/>
    <n v="6"/>
    <n v="10044.25"/>
    <n v="60265.5"/>
  </r>
  <r>
    <x v="253"/>
    <s v="Aarohi"/>
    <x v="1"/>
    <s v="Delhi"/>
    <s v="North"/>
    <s v="Electronics"/>
    <s v="Power Bank"/>
    <n v="4"/>
    <n v="987.29"/>
    <n v="3949.16"/>
  </r>
  <r>
    <x v="327"/>
    <s v="Ananya"/>
    <x v="9"/>
    <s v="Bihar"/>
    <s v="East"/>
    <s v="Electronics"/>
    <s v="Keyboard"/>
    <n v="13"/>
    <n v="1580.19"/>
    <n v="20542.47"/>
  </r>
  <r>
    <x v="328"/>
    <s v="Simran"/>
    <x v="7"/>
    <s v="Gujarat"/>
    <s v="West"/>
    <s v="Furniture"/>
    <s v="Study Table"/>
    <n v="16"/>
    <n v="8172.77"/>
    <n v="130764.32"/>
  </r>
  <r>
    <x v="329"/>
    <s v="Ananya"/>
    <x v="14"/>
    <s v="Maharashtra"/>
    <s v="West"/>
    <s v="Furniture"/>
    <s v="Office Chair"/>
    <n v="5"/>
    <n v="3464.54"/>
    <n v="17322.7"/>
  </r>
  <r>
    <x v="306"/>
    <s v="Yash"/>
    <x v="4"/>
    <s v="Delhi"/>
    <s v="North"/>
    <s v="Home &amp; Kitchen"/>
    <s v="Water Bottle"/>
    <n v="16"/>
    <n v="250.19"/>
    <n v="4003.04"/>
  </r>
  <r>
    <x v="330"/>
    <s v="Rahul"/>
    <x v="15"/>
    <s v="Uttar Pradesh"/>
    <s v="North"/>
    <s v="Furniture"/>
    <s v="Bookshelf"/>
    <n v="16"/>
    <n v="5864.12"/>
    <n v="93825.919999999998"/>
  </r>
  <r>
    <x v="155"/>
    <s v="Karan"/>
    <x v="14"/>
    <s v="Maharashtra"/>
    <s v="West"/>
    <s v="Stationery"/>
    <s v="Pencil Box"/>
    <n v="1"/>
    <n v="322.43"/>
    <n v="322.43"/>
  </r>
  <r>
    <x v="331"/>
    <s v="Aarohi"/>
    <x v="4"/>
    <s v="Delhi"/>
    <s v="North"/>
    <s v="Home &amp; Kitchen"/>
    <s v="Lunch Box"/>
    <n v="18"/>
    <n v="417.54"/>
    <n v="7515.72"/>
  </r>
  <r>
    <x v="332"/>
    <s v="Simran"/>
    <x v="15"/>
    <s v="Uttar Pradesh"/>
    <s v="North"/>
    <s v="Apparel"/>
    <s v="T-Shirt"/>
    <n v="19"/>
    <n v="361.28"/>
    <n v="6864.32"/>
  </r>
  <r>
    <x v="262"/>
    <s v="Sanya"/>
    <x v="4"/>
    <s v="Delhi"/>
    <s v="North"/>
    <s v="Furniture"/>
    <s v="Bookshelf"/>
    <n v="7"/>
    <n v="11892.65"/>
    <n v="83248.55"/>
  </r>
  <r>
    <x v="1"/>
    <s v="Riya"/>
    <x v="5"/>
    <s v="Tamil Nadu"/>
    <s v="South"/>
    <s v="Stationery"/>
    <s v="Ruler"/>
    <n v="9"/>
    <n v="152.46"/>
    <n v="1372.14"/>
  </r>
  <r>
    <x v="333"/>
    <s v="Priya"/>
    <x v="13"/>
    <s v="Maharashtra"/>
    <s v="West"/>
    <s v="Electronics"/>
    <s v="Earphones"/>
    <n v="24"/>
    <n v="2140.15"/>
    <n v="51363.600000000006"/>
  </r>
  <r>
    <x v="220"/>
    <s v="Yash"/>
    <x v="3"/>
    <s v="Rajasthan"/>
    <s v="North"/>
    <s v="Electronics"/>
    <s v="Keyboard"/>
    <n v="5"/>
    <n v="2790"/>
    <n v="13950"/>
  </r>
  <r>
    <x v="323"/>
    <s v="Vihaan"/>
    <x v="9"/>
    <s v="Bihar"/>
    <s v="East"/>
    <s v="Apparel"/>
    <s v="Socks"/>
    <n v="20"/>
    <n v="1146.72"/>
    <n v="22934.400000000001"/>
  </r>
  <r>
    <x v="334"/>
    <s v="Aarohi"/>
    <x v="5"/>
    <s v="Tamil Nadu"/>
    <s v="South"/>
    <s v="Apparel"/>
    <s v="Socks"/>
    <n v="17"/>
    <n v="1973.15"/>
    <n v="33543.550000000003"/>
  </r>
  <r>
    <x v="321"/>
    <s v="Nishant"/>
    <x v="10"/>
    <s v="Maharashtra"/>
    <s v="West"/>
    <s v="Furniture"/>
    <s v="Study Table"/>
    <n v="9"/>
    <n v="10604"/>
    <n v="95436"/>
  </r>
  <r>
    <x v="335"/>
    <s v="Kabir"/>
    <x v="2"/>
    <s v="Karnataka"/>
    <s v="South"/>
    <s v="Electronics"/>
    <s v="Power Bank"/>
    <n v="8"/>
    <n v="2712.86"/>
    <n v="21702.880000000001"/>
  </r>
  <r>
    <x v="255"/>
    <s v="Kabir"/>
    <x v="15"/>
    <s v="Uttar Pradesh"/>
    <s v="North"/>
    <s v="Electronics"/>
    <s v="Keyboard"/>
    <n v="21"/>
    <n v="1086.77"/>
    <n v="22822.17"/>
  </r>
  <r>
    <x v="205"/>
    <s v="Kabir"/>
    <x v="6"/>
    <s v="Telangana"/>
    <s v="South"/>
    <s v="Stationery"/>
    <s v="Sketch Pens"/>
    <n v="25"/>
    <n v="55.38"/>
    <n v="1384.5"/>
  </r>
  <r>
    <x v="247"/>
    <s v="Aditi"/>
    <x v="9"/>
    <s v="Bihar"/>
    <s v="East"/>
    <s v="Furniture"/>
    <s v="Office Chair"/>
    <n v="11"/>
    <n v="7610.53"/>
    <n v="83715.83"/>
  </r>
  <r>
    <x v="167"/>
    <s v="Priya"/>
    <x v="9"/>
    <s v="Bihar"/>
    <s v="East"/>
    <s v="Stationery"/>
    <s v="Highlighter"/>
    <n v="18"/>
    <n v="171.13"/>
    <n v="3080.34"/>
  </r>
  <r>
    <x v="110"/>
    <s v="Aarav"/>
    <x v="15"/>
    <s v="Uttar Pradesh"/>
    <s v="North"/>
    <s v="Home &amp; Kitchen"/>
    <s v="Storage Jar"/>
    <n v="10"/>
    <n v="471.53"/>
    <n v="4715.2999999999993"/>
  </r>
  <r>
    <x v="336"/>
    <s v="Kabir"/>
    <x v="15"/>
    <s v="Uttar Pradesh"/>
    <s v="North"/>
    <s v="Home &amp; Kitchen"/>
    <s v="Water Bottle"/>
    <n v="2"/>
    <n v="209.53"/>
    <n v="419.06"/>
  </r>
  <r>
    <x v="92"/>
    <s v="Ishita"/>
    <x v="13"/>
    <s v="Maharashtra"/>
    <s v="West"/>
    <s v="Electronics"/>
    <s v="Mouse"/>
    <n v="15"/>
    <n v="202.23"/>
    <n v="3033.45"/>
  </r>
  <r>
    <x v="337"/>
    <s v="Aarav"/>
    <x v="10"/>
    <s v="Maharashtra"/>
    <s v="West"/>
    <s v="Home &amp; Kitchen"/>
    <s v="Lunch Box"/>
    <n v="9"/>
    <n v="202.67"/>
    <n v="1824.03"/>
  </r>
  <r>
    <x v="103"/>
    <s v="Aditi"/>
    <x v="1"/>
    <s v="Delhi"/>
    <s v="North"/>
    <s v="Home &amp; Kitchen"/>
    <s v="Lunch Box"/>
    <n v="2"/>
    <n v="535.98"/>
    <n v="1071.96"/>
  </r>
  <r>
    <x v="338"/>
    <s v="Riya"/>
    <x v="3"/>
    <s v="Rajasthan"/>
    <s v="North"/>
    <s v="Stationery"/>
    <s v="Sketch Pens"/>
    <n v="4"/>
    <n v="20.41"/>
    <n v="81.64"/>
  </r>
  <r>
    <x v="339"/>
    <s v="Meera"/>
    <x v="10"/>
    <s v="Maharashtra"/>
    <s v="West"/>
    <s v="Apparel"/>
    <s v="Cap"/>
    <n v="17"/>
    <n v="1407.97"/>
    <n v="23935.49"/>
  </r>
  <r>
    <x v="340"/>
    <s v="Ishita"/>
    <x v="12"/>
    <s v="West Bengal"/>
    <s v="East"/>
    <s v="Stationery"/>
    <s v="Highlighter"/>
    <n v="14"/>
    <n v="283.73"/>
    <n v="3972.2200000000003"/>
  </r>
  <r>
    <x v="341"/>
    <s v="Meera"/>
    <x v="2"/>
    <s v="Karnataka"/>
    <s v="South"/>
    <s v="Furniture"/>
    <s v="Study Table"/>
    <n v="24"/>
    <n v="9962.5499999999993"/>
    <n v="239101.19999999998"/>
  </r>
  <r>
    <x v="53"/>
    <s v="Rohan"/>
    <x v="9"/>
    <s v="Bihar"/>
    <s v="East"/>
    <s v="Home &amp; Kitchen"/>
    <s v="Lunch Box"/>
    <n v="13"/>
    <n v="950.81"/>
    <n v="12360.529999999999"/>
  </r>
  <r>
    <x v="268"/>
    <s v="Kabir"/>
    <x v="1"/>
    <s v="Delhi"/>
    <s v="North"/>
    <s v="Apparel"/>
    <s v="T-Shirt"/>
    <n v="20"/>
    <n v="1352.54"/>
    <n v="27050.799999999999"/>
  </r>
  <r>
    <x v="239"/>
    <s v="Sanya"/>
    <x v="8"/>
    <s v="Karnataka"/>
    <s v="South"/>
    <s v="Electronics"/>
    <s v="Mouse"/>
    <n v="20"/>
    <n v="2465.67"/>
    <n v="49313.4"/>
  </r>
  <r>
    <x v="37"/>
    <s v="Meera"/>
    <x v="13"/>
    <s v="Maharashtra"/>
    <s v="West"/>
    <s v="Electronics"/>
    <s v="USB Cable"/>
    <n v="19"/>
    <n v="2609.0300000000002"/>
    <n v="49571.570000000007"/>
  </r>
  <r>
    <x v="220"/>
    <s v="Arjun"/>
    <x v="12"/>
    <s v="West Bengal"/>
    <s v="East"/>
    <s v="Electronics"/>
    <s v="Earphones"/>
    <n v="9"/>
    <n v="2327.25"/>
    <n v="20945.25"/>
  </r>
  <r>
    <x v="55"/>
    <s v="Rahul"/>
    <x v="5"/>
    <s v="Tamil Nadu"/>
    <s v="South"/>
    <s v="Stationery"/>
    <s v="Highlighter"/>
    <n v="22"/>
    <n v="352.81"/>
    <n v="7761.82"/>
  </r>
  <r>
    <x v="342"/>
    <s v="Neha"/>
    <x v="8"/>
    <s v="Karnataka"/>
    <s v="South"/>
    <s v="Furniture"/>
    <s v="Office Chair"/>
    <n v="21"/>
    <n v="2072.98"/>
    <n v="43532.58"/>
  </r>
  <r>
    <x v="259"/>
    <s v="Karan"/>
    <x v="7"/>
    <s v="Gujarat"/>
    <s v="West"/>
    <s v="Stationery"/>
    <s v="Notebook"/>
    <n v="16"/>
    <n v="262.47000000000003"/>
    <n v="4199.5200000000004"/>
  </r>
  <r>
    <x v="343"/>
    <s v="Neha"/>
    <x v="0"/>
    <s v="Delhi"/>
    <s v="North"/>
    <s v="Home &amp; Kitchen"/>
    <s v="Storage Jar"/>
    <n v="5"/>
    <n v="525.52"/>
    <n v="2627.6"/>
  </r>
  <r>
    <x v="344"/>
    <s v="Arjun"/>
    <x v="9"/>
    <s v="Bihar"/>
    <s v="East"/>
    <s v="Apparel"/>
    <s v="Cap"/>
    <n v="25"/>
    <n v="1021.38"/>
    <n v="25534.5"/>
  </r>
  <r>
    <x v="43"/>
    <s v="Ishita"/>
    <x v="1"/>
    <s v="Delhi"/>
    <s v="North"/>
    <s v="Stationery"/>
    <s v="Eraser"/>
    <n v="7"/>
    <n v="35.130000000000003"/>
    <n v="245.91000000000003"/>
  </r>
  <r>
    <x v="345"/>
    <s v="Kabir"/>
    <x v="5"/>
    <s v="Tamil Nadu"/>
    <s v="South"/>
    <s v="Apparel"/>
    <s v="Jacket"/>
    <n v="14"/>
    <n v="1448.35"/>
    <n v="20276.899999999998"/>
  </r>
  <r>
    <x v="308"/>
    <s v="Rahul"/>
    <x v="10"/>
    <s v="Maharashtra"/>
    <s v="West"/>
    <s v="Home &amp; Kitchen"/>
    <s v="Water Bottle"/>
    <n v="10"/>
    <n v="186.92"/>
    <n v="1869.1999999999998"/>
  </r>
  <r>
    <x v="346"/>
    <s v="Kabir"/>
    <x v="12"/>
    <s v="West Bengal"/>
    <s v="East"/>
    <s v="Furniture"/>
    <s v="Bookshelf"/>
    <n v="21"/>
    <n v="9513.85"/>
    <n v="199790.85"/>
  </r>
  <r>
    <x v="207"/>
    <s v="Meera"/>
    <x v="5"/>
    <s v="Tamil Nadu"/>
    <s v="South"/>
    <s v="Furniture"/>
    <s v="Bookshelf"/>
    <n v="8"/>
    <n v="2108.0100000000002"/>
    <n v="16864.080000000002"/>
  </r>
  <r>
    <x v="347"/>
    <s v="Arjun"/>
    <x v="13"/>
    <s v="Maharashtra"/>
    <s v="West"/>
    <s v="Furniture"/>
    <s v="Bookshelf"/>
    <n v="20"/>
    <n v="2077.8000000000002"/>
    <n v="41556"/>
  </r>
  <r>
    <x v="63"/>
    <s v="Ananya"/>
    <x v="13"/>
    <s v="Maharashtra"/>
    <s v="West"/>
    <s v="Stationery"/>
    <s v="Sketch Pens"/>
    <n v="5"/>
    <n v="286.57"/>
    <n v="1432.85"/>
  </r>
  <r>
    <x v="11"/>
    <s v="Karan"/>
    <x v="9"/>
    <s v="Bihar"/>
    <s v="East"/>
    <s v="Apparel"/>
    <s v="Socks"/>
    <n v="6"/>
    <n v="837.96"/>
    <n v="5027.76"/>
  </r>
  <r>
    <x v="348"/>
    <s v="Nishant"/>
    <x v="0"/>
    <s v="Delhi"/>
    <s v="North"/>
    <s v="Home &amp; Kitchen"/>
    <s v="Steel Plate"/>
    <n v="9"/>
    <n v="676.24"/>
    <n v="6086.16"/>
  </r>
  <r>
    <x v="349"/>
    <s v="Simran"/>
    <x v="1"/>
    <s v="Delhi"/>
    <s v="North"/>
    <s v="Furniture"/>
    <s v="Office Chair"/>
    <n v="17"/>
    <n v="5281.3"/>
    <n v="89782.1"/>
  </r>
  <r>
    <x v="350"/>
    <s v="Simran"/>
    <x v="14"/>
    <s v="Maharashtra"/>
    <s v="West"/>
    <s v="Home &amp; Kitchen"/>
    <s v="Lunch Box"/>
    <n v="9"/>
    <n v="950.66"/>
    <n v="8555.94"/>
  </r>
  <r>
    <x v="105"/>
    <s v="Nishant"/>
    <x v="2"/>
    <s v="Karnataka"/>
    <s v="South"/>
    <s v="Apparel"/>
    <s v="T-Shirt"/>
    <n v="2"/>
    <n v="1738.57"/>
    <n v="3477.14"/>
  </r>
  <r>
    <x v="91"/>
    <s v="Riya"/>
    <x v="4"/>
    <s v="Delhi"/>
    <s v="North"/>
    <s v="Furniture"/>
    <s v="Office Chair"/>
    <n v="13"/>
    <n v="11162.38"/>
    <n v="145110.94"/>
  </r>
  <r>
    <x v="351"/>
    <s v="Vihaan"/>
    <x v="3"/>
    <s v="Rajasthan"/>
    <s v="North"/>
    <s v="Electronics"/>
    <s v="Power Bank"/>
    <n v="8"/>
    <n v="1573.65"/>
    <n v="12589.2"/>
  </r>
  <r>
    <x v="291"/>
    <s v="Aditi"/>
    <x v="1"/>
    <s v="Delhi"/>
    <s v="North"/>
    <s v="Apparel"/>
    <s v="Socks"/>
    <n v="4"/>
    <n v="1078.78"/>
    <n v="4315.12"/>
  </r>
  <r>
    <x v="352"/>
    <s v="Ananya"/>
    <x v="2"/>
    <s v="Karnataka"/>
    <s v="South"/>
    <s v="Apparel"/>
    <s v="T-Shirt"/>
    <n v="13"/>
    <n v="277.51"/>
    <n v="3607.63"/>
  </r>
  <r>
    <x v="267"/>
    <s v="Aarohi"/>
    <x v="5"/>
    <s v="Tamil Nadu"/>
    <s v="South"/>
    <s v="Home &amp; Kitchen"/>
    <s v="Water Bottle"/>
    <n v="18"/>
    <n v="602.41999999999996"/>
    <n v="10843.56"/>
  </r>
  <r>
    <x v="353"/>
    <s v="Aarav"/>
    <x v="5"/>
    <s v="Tamil Nadu"/>
    <s v="South"/>
    <s v="Apparel"/>
    <s v="Socks"/>
    <n v="24"/>
    <n v="1302.03"/>
    <n v="31248.720000000001"/>
  </r>
  <r>
    <x v="354"/>
    <s v="Sanya"/>
    <x v="15"/>
    <s v="Uttar Pradesh"/>
    <s v="North"/>
    <s v="Electronics"/>
    <s v="Keyboard"/>
    <n v="25"/>
    <n v="2826.71"/>
    <n v="70667.75"/>
  </r>
  <r>
    <x v="76"/>
    <s v="Ishita"/>
    <x v="3"/>
    <s v="Rajasthan"/>
    <s v="North"/>
    <s v="Stationery"/>
    <s v="Notebook"/>
    <n v="18"/>
    <n v="151.63999999999999"/>
    <n v="2729.5199999999995"/>
  </r>
  <r>
    <x v="329"/>
    <s v="Ishita"/>
    <x v="12"/>
    <s v="West Bengal"/>
    <s v="East"/>
    <s v="Stationery"/>
    <s v="Highlighter"/>
    <n v="22"/>
    <n v="162.97999999999999"/>
    <n v="3585.56"/>
  </r>
  <r>
    <x v="22"/>
    <s v="Nishant"/>
    <x v="8"/>
    <s v="Karnataka"/>
    <s v="South"/>
    <s v="Apparel"/>
    <s v="Cap"/>
    <n v="14"/>
    <n v="1060.25"/>
    <n v="14843.5"/>
  </r>
  <r>
    <x v="345"/>
    <s v="Kabir"/>
    <x v="11"/>
    <s v="Tamil Nadu"/>
    <s v="South"/>
    <s v="Stationery"/>
    <s v="Pen"/>
    <n v="8"/>
    <n v="360.97"/>
    <n v="2887.76"/>
  </r>
  <r>
    <x v="272"/>
    <s v="Arjun"/>
    <x v="9"/>
    <s v="Bihar"/>
    <s v="East"/>
    <s v="Furniture"/>
    <s v="Bookshelf"/>
    <n v="3"/>
    <n v="7598.09"/>
    <n v="22794.27"/>
  </r>
  <r>
    <x v="164"/>
    <s v="Kabir"/>
    <x v="7"/>
    <s v="Gujarat"/>
    <s v="West"/>
    <s v="Stationery"/>
    <s v="Pencil Box"/>
    <n v="19"/>
    <n v="43.67"/>
    <n v="829.73"/>
  </r>
  <r>
    <x v="355"/>
    <s v="Kabir"/>
    <x v="2"/>
    <s v="Karnataka"/>
    <s v="South"/>
    <s v="Home &amp; Kitchen"/>
    <s v="Storage Jar"/>
    <n v="11"/>
    <n v="1118.6500000000001"/>
    <n v="12305.150000000001"/>
  </r>
  <r>
    <x v="243"/>
    <s v="Rohan"/>
    <x v="12"/>
    <s v="West Bengal"/>
    <s v="East"/>
    <s v="Furniture"/>
    <s v="Office Chair"/>
    <n v="8"/>
    <n v="2284.2199999999998"/>
    <n v="18273.759999999998"/>
  </r>
  <r>
    <x v="356"/>
    <s v="Kabir"/>
    <x v="13"/>
    <s v="Maharashtra"/>
    <s v="West"/>
    <s v="Electronics"/>
    <s v="USB Cable"/>
    <n v="6"/>
    <n v="1683.57"/>
    <n v="10101.42"/>
  </r>
  <r>
    <x v="60"/>
    <s v="Arjun"/>
    <x v="13"/>
    <s v="Maharashtra"/>
    <s v="West"/>
    <s v="Apparel"/>
    <s v="Socks"/>
    <n v="25"/>
    <n v="534.13"/>
    <n v="13353.25"/>
  </r>
  <r>
    <x v="52"/>
    <s v="Priya"/>
    <x v="11"/>
    <s v="Tamil Nadu"/>
    <s v="South"/>
    <s v="Stationery"/>
    <s v="Pen"/>
    <n v="6"/>
    <n v="326.89"/>
    <n v="1961.34"/>
  </r>
  <r>
    <x v="357"/>
    <s v="Yash"/>
    <x v="4"/>
    <s v="Delhi"/>
    <s v="North"/>
    <s v="Electronics"/>
    <s v="Power Bank"/>
    <n v="5"/>
    <n v="501"/>
    <n v="2505"/>
  </r>
  <r>
    <x v="55"/>
    <s v="Sanya"/>
    <x v="7"/>
    <s v="Gujarat"/>
    <s v="West"/>
    <s v="Apparel"/>
    <s v="T-Shirt"/>
    <n v="22"/>
    <n v="702.86"/>
    <n v="15462.92"/>
  </r>
  <r>
    <x v="358"/>
    <s v="Ishita"/>
    <x v="7"/>
    <s v="Gujarat"/>
    <s v="West"/>
    <s v="Furniture"/>
    <s v="Bookshelf"/>
    <n v="24"/>
    <n v="7276.27"/>
    <n v="174630.48"/>
  </r>
  <r>
    <x v="359"/>
    <s v="Priya"/>
    <x v="13"/>
    <s v="Maharashtra"/>
    <s v="West"/>
    <s v="Electronics"/>
    <s v="USB Cable"/>
    <n v="1"/>
    <n v="403.51"/>
    <n v="403.51"/>
  </r>
  <r>
    <x v="56"/>
    <s v="Kabir"/>
    <x v="8"/>
    <s v="Karnataka"/>
    <s v="South"/>
    <s v="Furniture"/>
    <s v="Office Chair"/>
    <n v="22"/>
    <n v="8118.12"/>
    <n v="178598.63999999998"/>
  </r>
  <r>
    <x v="156"/>
    <s v="Meera"/>
    <x v="11"/>
    <s v="Tamil Nadu"/>
    <s v="South"/>
    <s v="Stationery"/>
    <s v="Pen"/>
    <n v="3"/>
    <n v="95.15"/>
    <n v="285.45000000000005"/>
  </r>
  <r>
    <x v="360"/>
    <s v="Priya"/>
    <x v="10"/>
    <s v="Maharashtra"/>
    <s v="West"/>
    <s v="Stationery"/>
    <s v="Highlighter"/>
    <n v="11"/>
    <n v="66.56"/>
    <n v="732.16000000000008"/>
  </r>
  <r>
    <x v="361"/>
    <s v="Vihaan"/>
    <x v="14"/>
    <s v="Maharashtra"/>
    <s v="West"/>
    <s v="Apparel"/>
    <s v="Jacket"/>
    <n v="24"/>
    <n v="880.75"/>
    <n v="21138"/>
  </r>
  <r>
    <x v="362"/>
    <s v="Kabir"/>
    <x v="3"/>
    <s v="Rajasthan"/>
    <s v="North"/>
    <s v="Electronics"/>
    <s v="Power Bank"/>
    <n v="7"/>
    <n v="3197.4"/>
    <n v="22381.8"/>
  </r>
  <r>
    <x v="363"/>
    <s v="Aditi"/>
    <x v="6"/>
    <s v="Telangana"/>
    <s v="South"/>
    <s v="Electronics"/>
    <s v="USB Cable"/>
    <n v="20"/>
    <n v="2243.2800000000002"/>
    <n v="44865.600000000006"/>
  </r>
  <r>
    <x v="94"/>
    <s v="Aarohi"/>
    <x v="15"/>
    <s v="Uttar Pradesh"/>
    <s v="North"/>
    <s v="Furniture"/>
    <s v="Bookshelf"/>
    <n v="16"/>
    <n v="2140.2800000000002"/>
    <n v="34244.480000000003"/>
  </r>
  <r>
    <x v="364"/>
    <s v="Kabir"/>
    <x v="10"/>
    <s v="Maharashtra"/>
    <s v="West"/>
    <s v="Furniture"/>
    <s v="Study Table"/>
    <n v="21"/>
    <n v="10788.85"/>
    <n v="226565.85"/>
  </r>
  <r>
    <x v="365"/>
    <s v="Riya"/>
    <x v="0"/>
    <s v="Delhi"/>
    <s v="North"/>
    <s v="Furniture"/>
    <s v="Bookshelf"/>
    <n v="12"/>
    <n v="6536.69"/>
    <n v="78440.28"/>
  </r>
  <r>
    <x v="366"/>
    <s v="Sanya"/>
    <x v="12"/>
    <s v="West Bengal"/>
    <s v="East"/>
    <s v="Furniture"/>
    <s v="Office Chair"/>
    <n v="6"/>
    <n v="1773.66"/>
    <n v="10641.960000000001"/>
  </r>
  <r>
    <x v="367"/>
    <s v="Riya"/>
    <x v="0"/>
    <s v="Delhi"/>
    <s v="North"/>
    <s v="Home &amp; Kitchen"/>
    <s v="Water Bottle"/>
    <n v="16"/>
    <n v="682.38"/>
    <n v="10918.08"/>
  </r>
  <r>
    <x v="368"/>
    <s v="Riya"/>
    <x v="14"/>
    <s v="Maharashtra"/>
    <s v="West"/>
    <s v="Stationery"/>
    <s v="Notebook"/>
    <n v="22"/>
    <n v="111.64"/>
    <n v="2456.08"/>
  </r>
  <r>
    <x v="81"/>
    <s v="Vihaan"/>
    <x v="2"/>
    <s v="Karnataka"/>
    <s v="South"/>
    <s v="Apparel"/>
    <s v="Jacket"/>
    <n v="12"/>
    <n v="1880.13"/>
    <n v="22561.56"/>
  </r>
  <r>
    <x v="369"/>
    <s v="Ananya"/>
    <x v="2"/>
    <s v="Karnataka"/>
    <s v="South"/>
    <s v="Apparel"/>
    <s v="Socks"/>
    <n v="24"/>
    <n v="1440.61"/>
    <n v="34574.639999999999"/>
  </r>
  <r>
    <x v="282"/>
    <s v="Ishita"/>
    <x v="9"/>
    <s v="Bihar"/>
    <s v="East"/>
    <s v="Apparel"/>
    <s v="Cap"/>
    <n v="19"/>
    <n v="1904.48"/>
    <n v="36185.120000000003"/>
  </r>
  <r>
    <x v="152"/>
    <s v="Rahul"/>
    <x v="5"/>
    <s v="Tamil Nadu"/>
    <s v="South"/>
    <s v="Electronics"/>
    <s v="Mouse"/>
    <n v="2"/>
    <n v="497.85"/>
    <n v="995.7"/>
  </r>
  <r>
    <x v="370"/>
    <s v="Yash"/>
    <x v="2"/>
    <s v="Karnataka"/>
    <s v="South"/>
    <s v="Stationery"/>
    <s v="Pencil Box"/>
    <n v="16"/>
    <n v="20.260000000000002"/>
    <n v="324.16000000000003"/>
  </r>
  <r>
    <x v="371"/>
    <s v="Aarav"/>
    <x v="10"/>
    <s v="Maharashtra"/>
    <s v="West"/>
    <s v="Home &amp; Kitchen"/>
    <s v="Lunch Box"/>
    <n v="11"/>
    <n v="165.51"/>
    <n v="1820.61"/>
  </r>
  <r>
    <x v="372"/>
    <s v="Simran"/>
    <x v="10"/>
    <s v="Maharashtra"/>
    <s v="West"/>
    <s v="Stationery"/>
    <s v="Highlighter"/>
    <n v="17"/>
    <n v="347.05"/>
    <n v="5899.85"/>
  </r>
  <r>
    <x v="43"/>
    <s v="Sanya"/>
    <x v="7"/>
    <s v="Gujarat"/>
    <s v="West"/>
    <s v="Apparel"/>
    <s v="T-Shirt"/>
    <n v="11"/>
    <n v="708.27"/>
    <n v="7790.9699999999993"/>
  </r>
  <r>
    <x v="131"/>
    <s v="Ananya"/>
    <x v="3"/>
    <s v="Rajasthan"/>
    <s v="North"/>
    <s v="Furniture"/>
    <s v="Bookshelf"/>
    <n v="11"/>
    <n v="3329.13"/>
    <n v="36620.43"/>
  </r>
  <r>
    <x v="168"/>
    <s v="Yash"/>
    <x v="9"/>
    <s v="Bihar"/>
    <s v="East"/>
    <s v="Electronics"/>
    <s v="Keyboard"/>
    <n v="6"/>
    <n v="1448.67"/>
    <n v="8692.02"/>
  </r>
  <r>
    <x v="304"/>
    <s v="Aarohi"/>
    <x v="10"/>
    <s v="Maharashtra"/>
    <s v="West"/>
    <s v="Electronics"/>
    <s v="USB Cable"/>
    <n v="23"/>
    <n v="3330.7"/>
    <n v="76606.099999999991"/>
  </r>
  <r>
    <x v="373"/>
    <s v="Simran"/>
    <x v="4"/>
    <s v="Delhi"/>
    <s v="North"/>
    <s v="Electronics"/>
    <s v="Keyboard"/>
    <n v="11"/>
    <n v="3239.43"/>
    <n v="35633.729999999996"/>
  </r>
  <r>
    <x v="374"/>
    <s v="Riya"/>
    <x v="13"/>
    <s v="Maharashtra"/>
    <s v="West"/>
    <s v="Furniture"/>
    <s v="Study Table"/>
    <n v="11"/>
    <n v="9326.1"/>
    <n v="102587.1"/>
  </r>
  <r>
    <x v="200"/>
    <s v="Sanya"/>
    <x v="12"/>
    <s v="West Bengal"/>
    <s v="East"/>
    <s v="Electronics"/>
    <s v="USB Cable"/>
    <n v="23"/>
    <n v="2411.08"/>
    <n v="55454.84"/>
  </r>
  <r>
    <x v="375"/>
    <s v="Priya"/>
    <x v="0"/>
    <s v="Delhi"/>
    <s v="North"/>
    <s v="Home &amp; Kitchen"/>
    <s v="Lunch Box"/>
    <n v="8"/>
    <n v="862.49"/>
    <n v="6899.92"/>
  </r>
  <r>
    <x v="84"/>
    <s v="Aditi"/>
    <x v="13"/>
    <s v="Maharashtra"/>
    <s v="West"/>
    <s v="Stationery"/>
    <s v="Pen"/>
    <n v="13"/>
    <n v="186.52"/>
    <n v="2424.7600000000002"/>
  </r>
  <r>
    <x v="210"/>
    <s v="Ananya"/>
    <x v="3"/>
    <s v="Rajasthan"/>
    <s v="North"/>
    <s v="Furniture"/>
    <s v="Office Chair"/>
    <n v="12"/>
    <n v="7233.25"/>
    <n v="86799"/>
  </r>
  <r>
    <x v="376"/>
    <s v="Karan"/>
    <x v="2"/>
    <s v="Karnataka"/>
    <s v="South"/>
    <s v="Electronics"/>
    <s v="Mouse"/>
    <n v="3"/>
    <n v="2837.34"/>
    <n v="8512.02"/>
  </r>
  <r>
    <x v="279"/>
    <s v="Aarohi"/>
    <x v="0"/>
    <s v="Delhi"/>
    <s v="North"/>
    <s v="Home &amp; Kitchen"/>
    <s v="Storage Jar"/>
    <n v="4"/>
    <n v="181.62"/>
    <n v="726.48"/>
  </r>
  <r>
    <x v="377"/>
    <s v="Kabir"/>
    <x v="14"/>
    <s v="Maharashtra"/>
    <s v="West"/>
    <s v="Stationery"/>
    <s v="Pencil Box"/>
    <n v="3"/>
    <n v="148.41999999999999"/>
    <n v="445.26"/>
  </r>
  <r>
    <x v="371"/>
    <s v="Karan"/>
    <x v="0"/>
    <s v="Delhi"/>
    <s v="North"/>
    <s v="Furniture"/>
    <s v="Bookshelf"/>
    <n v="6"/>
    <n v="7876.84"/>
    <n v="47261.04"/>
  </r>
  <r>
    <x v="378"/>
    <s v="Ananya"/>
    <x v="4"/>
    <s v="Delhi"/>
    <s v="North"/>
    <s v="Stationery"/>
    <s v="Eraser"/>
    <n v="7"/>
    <n v="390.27"/>
    <n v="2731.89"/>
  </r>
  <r>
    <x v="379"/>
    <s v="Rahul"/>
    <x v="11"/>
    <s v="Tamil Nadu"/>
    <s v="South"/>
    <s v="Home &amp; Kitchen"/>
    <s v="Storage Jar"/>
    <n v="8"/>
    <n v="205.51"/>
    <n v="1644.08"/>
  </r>
  <r>
    <x v="243"/>
    <s v="Simran"/>
    <x v="15"/>
    <s v="Uttar Pradesh"/>
    <s v="North"/>
    <s v="Electronics"/>
    <s v="USB Cable"/>
    <n v="12"/>
    <n v="212.59"/>
    <n v="2551.08"/>
  </r>
  <r>
    <x v="333"/>
    <s v="Aarohi"/>
    <x v="15"/>
    <s v="Uttar Pradesh"/>
    <s v="North"/>
    <s v="Electronics"/>
    <s v="USB Cable"/>
    <n v="1"/>
    <n v="882.94"/>
    <n v="882.94"/>
  </r>
  <r>
    <x v="140"/>
    <s v="Aarohi"/>
    <x v="1"/>
    <s v="Delhi"/>
    <s v="North"/>
    <s v="Furniture"/>
    <s v="Study Table"/>
    <n v="10"/>
    <n v="9741.2000000000007"/>
    <n v="97412"/>
  </r>
  <r>
    <x v="380"/>
    <s v="Karan"/>
    <x v="11"/>
    <s v="Tamil Nadu"/>
    <s v="South"/>
    <s v="Stationery"/>
    <s v="Sketch Pens"/>
    <n v="18"/>
    <n v="167.26"/>
    <n v="3010.68"/>
  </r>
  <r>
    <x v="153"/>
    <s v="Kabir"/>
    <x v="9"/>
    <s v="Bihar"/>
    <s v="East"/>
    <s v="Electronics"/>
    <s v="Mouse"/>
    <n v="2"/>
    <n v="1068.8800000000001"/>
    <n v="2137.7600000000002"/>
  </r>
  <r>
    <x v="267"/>
    <s v="Aditi"/>
    <x v="2"/>
    <s v="Karnataka"/>
    <s v="South"/>
    <s v="Home &amp; Kitchen"/>
    <s v="Water Bottle"/>
    <n v="5"/>
    <n v="927.46"/>
    <n v="4637.3"/>
  </r>
  <r>
    <x v="73"/>
    <s v="Nishant"/>
    <x v="1"/>
    <s v="Delhi"/>
    <s v="North"/>
    <s v="Home &amp; Kitchen"/>
    <s v="Steel Plate"/>
    <n v="25"/>
    <n v="748.7"/>
    <n v="18717.5"/>
  </r>
  <r>
    <x v="381"/>
    <s v="Vihaan"/>
    <x v="7"/>
    <s v="Gujarat"/>
    <s v="West"/>
    <s v="Apparel"/>
    <s v="Jacket"/>
    <n v="18"/>
    <n v="1421.08"/>
    <n v="25579.439999999999"/>
  </r>
  <r>
    <x v="69"/>
    <s v="Simran"/>
    <x v="2"/>
    <s v="Karnataka"/>
    <s v="South"/>
    <s v="Furniture"/>
    <s v="Office Chair"/>
    <n v="3"/>
    <n v="5645.45"/>
    <n v="16936.349999999999"/>
  </r>
  <r>
    <x v="382"/>
    <s v="Neha"/>
    <x v="10"/>
    <s v="Maharashtra"/>
    <s v="West"/>
    <s v="Stationery"/>
    <s v="Highlighter"/>
    <n v="15"/>
    <n v="85.69"/>
    <n v="1285.3499999999999"/>
  </r>
  <r>
    <x v="383"/>
    <s v="Aarav"/>
    <x v="8"/>
    <s v="Karnataka"/>
    <s v="South"/>
    <s v="Electronics"/>
    <s v="USB Cable"/>
    <n v="14"/>
    <n v="458.62"/>
    <n v="6420.68"/>
  </r>
  <r>
    <x v="276"/>
    <s v="Arjun"/>
    <x v="8"/>
    <s v="Karnataka"/>
    <s v="South"/>
    <s v="Electronics"/>
    <s v="Keyboard"/>
    <n v="9"/>
    <n v="1255.17"/>
    <n v="11296.53"/>
  </r>
  <r>
    <x v="384"/>
    <s v="Meera"/>
    <x v="7"/>
    <s v="Gujarat"/>
    <s v="West"/>
    <s v="Apparel"/>
    <s v="Jacket"/>
    <n v="18"/>
    <n v="753.33"/>
    <n v="13559.94"/>
  </r>
  <r>
    <x v="97"/>
    <s v="Neha"/>
    <x v="6"/>
    <s v="Telangana"/>
    <s v="South"/>
    <s v="Stationery"/>
    <s v="Highlighter"/>
    <n v="23"/>
    <n v="256.76"/>
    <n v="5905.48"/>
  </r>
  <r>
    <x v="385"/>
    <s v="Arjun"/>
    <x v="13"/>
    <s v="Maharashtra"/>
    <s v="West"/>
    <s v="Furniture"/>
    <s v="Study Table"/>
    <n v="5"/>
    <n v="7449.24"/>
    <n v="37246.199999999997"/>
  </r>
  <r>
    <x v="386"/>
    <s v="Nishant"/>
    <x v="13"/>
    <s v="Maharashtra"/>
    <s v="West"/>
    <s v="Apparel"/>
    <s v="T-Shirt"/>
    <n v="10"/>
    <n v="1754.83"/>
    <n v="17548.3"/>
  </r>
  <r>
    <x v="387"/>
    <s v="Arjun"/>
    <x v="11"/>
    <s v="Tamil Nadu"/>
    <s v="South"/>
    <s v="Furniture"/>
    <s v="Bookshelf"/>
    <n v="16"/>
    <n v="7506.24"/>
    <n v="120099.84"/>
  </r>
  <r>
    <x v="67"/>
    <s v="Vihaan"/>
    <x v="14"/>
    <s v="Maharashtra"/>
    <s v="West"/>
    <s v="Home &amp; Kitchen"/>
    <s v="Steel Plate"/>
    <n v="5"/>
    <n v="780.07"/>
    <n v="3900.3500000000004"/>
  </r>
  <r>
    <x v="388"/>
    <s v="Kabir"/>
    <x v="4"/>
    <s v="Delhi"/>
    <s v="North"/>
    <s v="Furniture"/>
    <s v="Office Chair"/>
    <n v="23"/>
    <n v="3994.58"/>
    <n v="91875.34"/>
  </r>
  <r>
    <x v="69"/>
    <s v="Aditi"/>
    <x v="9"/>
    <s v="Bihar"/>
    <s v="East"/>
    <s v="Stationery"/>
    <s v="Eraser"/>
    <n v="10"/>
    <n v="138.16"/>
    <n v="1381.6"/>
  </r>
  <r>
    <x v="121"/>
    <s v="Nishant"/>
    <x v="2"/>
    <s v="Karnataka"/>
    <s v="South"/>
    <s v="Electronics"/>
    <s v="Power Bank"/>
    <n v="24"/>
    <n v="1662.27"/>
    <n v="39894.479999999996"/>
  </r>
  <r>
    <x v="389"/>
    <s v="Aditi"/>
    <x v="3"/>
    <s v="Rajasthan"/>
    <s v="North"/>
    <s v="Apparel"/>
    <s v="T-Shirt"/>
    <n v="7"/>
    <n v="967.18"/>
    <n v="6770.2599999999993"/>
  </r>
  <r>
    <x v="29"/>
    <s v="Karan"/>
    <x v="9"/>
    <s v="Bihar"/>
    <s v="East"/>
    <s v="Stationery"/>
    <s v="Pencil Box"/>
    <n v="6"/>
    <n v="44.93"/>
    <n v="269.58"/>
  </r>
  <r>
    <x v="390"/>
    <s v="Neha"/>
    <x v="7"/>
    <s v="Gujarat"/>
    <s v="West"/>
    <s v="Electronics"/>
    <s v="Keyboard"/>
    <n v="19"/>
    <n v="295.52999999999997"/>
    <n v="5615.07"/>
  </r>
  <r>
    <x v="391"/>
    <s v="Aarav"/>
    <x v="4"/>
    <s v="Delhi"/>
    <s v="North"/>
    <s v="Electronics"/>
    <s v="USB Cable"/>
    <n v="15"/>
    <n v="366.85"/>
    <n v="5502.75"/>
  </r>
  <r>
    <x v="103"/>
    <s v="Aarav"/>
    <x v="11"/>
    <s v="Tamil Nadu"/>
    <s v="South"/>
    <s v="Home &amp; Kitchen"/>
    <s v="Steel Plate"/>
    <n v="17"/>
    <n v="536.64"/>
    <n v="9122.8799999999992"/>
  </r>
  <r>
    <x v="392"/>
    <s v="Ishita"/>
    <x v="2"/>
    <s v="Karnataka"/>
    <s v="South"/>
    <s v="Home &amp; Kitchen"/>
    <s v="Steel Plate"/>
    <n v="20"/>
    <n v="590.71"/>
    <n v="11814.2"/>
  </r>
  <r>
    <x v="393"/>
    <s v="Simran"/>
    <x v="9"/>
    <s v="Bihar"/>
    <s v="East"/>
    <s v="Home &amp; Kitchen"/>
    <s v="Lunch Box"/>
    <n v="9"/>
    <n v="923.86"/>
    <n v="8314.74"/>
  </r>
  <r>
    <x v="304"/>
    <s v="Meera"/>
    <x v="5"/>
    <s v="Tamil Nadu"/>
    <s v="South"/>
    <s v="Stationery"/>
    <s v="Ruler"/>
    <n v="2"/>
    <n v="81.900000000000006"/>
    <n v="163.80000000000001"/>
  </r>
  <r>
    <x v="394"/>
    <s v="Aarav"/>
    <x v="2"/>
    <s v="Karnataka"/>
    <s v="South"/>
    <s v="Electronics"/>
    <s v="Earphones"/>
    <n v="9"/>
    <n v="2350.2399999999998"/>
    <n v="21152.159999999996"/>
  </r>
  <r>
    <x v="290"/>
    <s v="Ishita"/>
    <x v="0"/>
    <s v="Delhi"/>
    <s v="North"/>
    <s v="Furniture"/>
    <s v="Study Table"/>
    <n v="21"/>
    <n v="3318.61"/>
    <n v="69690.81"/>
  </r>
  <r>
    <x v="395"/>
    <s v="Riya"/>
    <x v="11"/>
    <s v="Tamil Nadu"/>
    <s v="South"/>
    <s v="Apparel"/>
    <s v="Socks"/>
    <n v="23"/>
    <n v="1939"/>
    <n v="44597"/>
  </r>
  <r>
    <x v="215"/>
    <s v="Aditi"/>
    <x v="3"/>
    <s v="Rajasthan"/>
    <s v="North"/>
    <s v="Furniture"/>
    <s v="Office Chair"/>
    <n v="15"/>
    <n v="4145.99"/>
    <n v="62189.85"/>
  </r>
  <r>
    <x v="396"/>
    <s v="Aarohi"/>
    <x v="7"/>
    <s v="Gujarat"/>
    <s v="West"/>
    <s v="Apparel"/>
    <s v="T-Shirt"/>
    <n v="1"/>
    <n v="1096.3"/>
    <n v="1096.3"/>
  </r>
  <r>
    <x v="355"/>
    <s v="Sanya"/>
    <x v="5"/>
    <s v="Tamil Nadu"/>
    <s v="South"/>
    <s v="Home &amp; Kitchen"/>
    <s v="Water Bottle"/>
    <n v="16"/>
    <n v="170.22"/>
    <n v="2723.52"/>
  </r>
  <r>
    <x v="49"/>
    <s v="Rohan"/>
    <x v="11"/>
    <s v="Tamil Nadu"/>
    <s v="South"/>
    <s v="Home &amp; Kitchen"/>
    <s v="Storage Jar"/>
    <n v="7"/>
    <n v="264.92"/>
    <n v="1854.44"/>
  </r>
  <r>
    <x v="297"/>
    <s v="Vihaan"/>
    <x v="7"/>
    <s v="Gujarat"/>
    <s v="West"/>
    <s v="Home &amp; Kitchen"/>
    <s v="Lunch Box"/>
    <n v="24"/>
    <n v="128"/>
    <n v="3072"/>
  </r>
  <r>
    <x v="238"/>
    <s v="Aarohi"/>
    <x v="11"/>
    <s v="Tamil Nadu"/>
    <s v="South"/>
    <s v="Furniture"/>
    <s v="Office Chair"/>
    <n v="13"/>
    <n v="9235.69"/>
    <n v="120063.97"/>
  </r>
  <r>
    <x v="15"/>
    <s v="Simran"/>
    <x v="8"/>
    <s v="Karnataka"/>
    <s v="South"/>
    <s v="Home &amp; Kitchen"/>
    <s v="Lunch Box"/>
    <n v="22"/>
    <n v="688.1"/>
    <n v="15138.2"/>
  </r>
  <r>
    <x v="160"/>
    <s v="Sanya"/>
    <x v="5"/>
    <s v="Tamil Nadu"/>
    <s v="South"/>
    <s v="Electronics"/>
    <s v="Keyboard"/>
    <n v="6"/>
    <n v="1169.49"/>
    <n v="7016.9400000000005"/>
  </r>
  <r>
    <x v="380"/>
    <s v="Kabir"/>
    <x v="11"/>
    <s v="Tamil Nadu"/>
    <s v="South"/>
    <s v="Apparel"/>
    <s v="Cap"/>
    <n v="22"/>
    <n v="1814.24"/>
    <n v="39913.279999999999"/>
  </r>
  <r>
    <x v="165"/>
    <s v="Meera"/>
    <x v="2"/>
    <s v="Karnataka"/>
    <s v="South"/>
    <s v="Home &amp; Kitchen"/>
    <s v="Lunch Box"/>
    <n v="24"/>
    <n v="1058.58"/>
    <n v="25405.919999999998"/>
  </r>
  <r>
    <x v="397"/>
    <s v="Rohan"/>
    <x v="9"/>
    <s v="Bihar"/>
    <s v="East"/>
    <s v="Home &amp; Kitchen"/>
    <s v="Storage Jar"/>
    <n v="15"/>
    <n v="1036.3399999999999"/>
    <n v="15545.099999999999"/>
  </r>
  <r>
    <x v="120"/>
    <s v="Vihaan"/>
    <x v="1"/>
    <s v="Delhi"/>
    <s v="North"/>
    <s v="Furniture"/>
    <s v="Study Table"/>
    <n v="17"/>
    <n v="2758.07"/>
    <n v="46887.19"/>
  </r>
  <r>
    <x v="388"/>
    <s v="Kabir"/>
    <x v="5"/>
    <s v="Tamil Nadu"/>
    <s v="South"/>
    <s v="Furniture"/>
    <s v="Study Table"/>
    <n v="5"/>
    <n v="2942.34"/>
    <n v="14711.7"/>
  </r>
  <r>
    <x v="25"/>
    <s v="Rohan"/>
    <x v="3"/>
    <s v="Rajasthan"/>
    <s v="North"/>
    <s v="Apparel"/>
    <s v="Jacket"/>
    <n v="5"/>
    <n v="735.31"/>
    <n v="3676.5499999999997"/>
  </r>
  <r>
    <x v="219"/>
    <s v="Meera"/>
    <x v="15"/>
    <s v="Uttar Pradesh"/>
    <s v="North"/>
    <s v="Home &amp; Kitchen"/>
    <s v="Lunch Box"/>
    <n v="11"/>
    <n v="797.95"/>
    <n v="8777.4500000000007"/>
  </r>
  <r>
    <x v="398"/>
    <s v="Priya"/>
    <x v="11"/>
    <s v="Tamil Nadu"/>
    <s v="South"/>
    <s v="Electronics"/>
    <s v="Earphones"/>
    <n v="19"/>
    <n v="2722.8"/>
    <n v="51733.200000000004"/>
  </r>
  <r>
    <x v="154"/>
    <s v="Meera"/>
    <x v="10"/>
    <s v="Maharashtra"/>
    <s v="West"/>
    <s v="Apparel"/>
    <s v="Jacket"/>
    <n v="21"/>
    <n v="944.41"/>
    <n v="19832.61"/>
  </r>
  <r>
    <x v="110"/>
    <s v="Karan"/>
    <x v="7"/>
    <s v="Gujarat"/>
    <s v="West"/>
    <s v="Stationery"/>
    <s v="Pen"/>
    <n v="18"/>
    <n v="95.78"/>
    <n v="1724.04"/>
  </r>
  <r>
    <x v="213"/>
    <s v="Ishita"/>
    <x v="12"/>
    <s v="West Bengal"/>
    <s v="East"/>
    <s v="Apparel"/>
    <s v="Cap"/>
    <n v="1"/>
    <n v="1401.98"/>
    <n v="1401.98"/>
  </r>
  <r>
    <x v="399"/>
    <s v="Riya"/>
    <x v="2"/>
    <s v="Karnataka"/>
    <s v="South"/>
    <s v="Home &amp; Kitchen"/>
    <s v="Storage Jar"/>
    <n v="5"/>
    <n v="212.98"/>
    <n v="1064.8999999999999"/>
  </r>
  <r>
    <x v="400"/>
    <s v="Simran"/>
    <x v="5"/>
    <s v="Tamil Nadu"/>
    <s v="South"/>
    <s v="Electronics"/>
    <s v="USB Cable"/>
    <n v="2"/>
    <n v="1184.07"/>
    <n v="2368.14"/>
  </r>
  <r>
    <x v="401"/>
    <s v="Priya"/>
    <x v="12"/>
    <s v="West Bengal"/>
    <s v="East"/>
    <s v="Furniture"/>
    <s v="Bookshelf"/>
    <n v="5"/>
    <n v="5098.6899999999996"/>
    <n v="25493.449999999997"/>
  </r>
  <r>
    <x v="154"/>
    <s v="Sanya"/>
    <x v="8"/>
    <s v="Karnataka"/>
    <s v="South"/>
    <s v="Electronics"/>
    <s v="Mouse"/>
    <n v="1"/>
    <n v="953.78"/>
    <n v="953.78"/>
  </r>
  <r>
    <x v="126"/>
    <s v="Aarav"/>
    <x v="0"/>
    <s v="Delhi"/>
    <s v="North"/>
    <s v="Apparel"/>
    <s v="Cap"/>
    <n v="4"/>
    <n v="828.19"/>
    <n v="3312.76"/>
  </r>
  <r>
    <x v="315"/>
    <s v="Vihaan"/>
    <x v="7"/>
    <s v="Gujarat"/>
    <s v="West"/>
    <s v="Home &amp; Kitchen"/>
    <s v="Water Bottle"/>
    <n v="20"/>
    <n v="1194.1500000000001"/>
    <n v="23883"/>
  </r>
  <r>
    <x v="402"/>
    <s v="Nishant"/>
    <x v="0"/>
    <s v="Delhi"/>
    <s v="North"/>
    <s v="Stationery"/>
    <s v="Sketch Pens"/>
    <n v="4"/>
    <n v="178.37"/>
    <n v="713.48"/>
  </r>
  <r>
    <x v="9"/>
    <s v="Nishant"/>
    <x v="11"/>
    <s v="Tamil Nadu"/>
    <s v="South"/>
    <s v="Furniture"/>
    <s v="Bookshelf"/>
    <n v="5"/>
    <n v="3657.7"/>
    <n v="18288.5"/>
  </r>
  <r>
    <x v="143"/>
    <s v="Ishita"/>
    <x v="5"/>
    <s v="Tamil Nadu"/>
    <s v="South"/>
    <s v="Furniture"/>
    <s v="Bookshelf"/>
    <n v="4"/>
    <n v="8456.07"/>
    <n v="33824.28"/>
  </r>
  <r>
    <x v="403"/>
    <s v="Yash"/>
    <x v="10"/>
    <s v="Maharashtra"/>
    <s v="West"/>
    <s v="Furniture"/>
    <s v="Study Table"/>
    <n v="17"/>
    <n v="9047.0499999999993"/>
    <n v="153799.84999999998"/>
  </r>
  <r>
    <x v="404"/>
    <s v="Aarohi"/>
    <x v="13"/>
    <s v="Maharashtra"/>
    <s v="West"/>
    <s v="Stationery"/>
    <s v="Ruler"/>
    <n v="7"/>
    <n v="251.42"/>
    <n v="1759.9399999999998"/>
  </r>
  <r>
    <x v="349"/>
    <s v="Neha"/>
    <x v="8"/>
    <s v="Karnataka"/>
    <s v="South"/>
    <s v="Home &amp; Kitchen"/>
    <s v="Steel Plate"/>
    <n v="10"/>
    <n v="276.41000000000003"/>
    <n v="2764.1000000000004"/>
  </r>
  <r>
    <x v="65"/>
    <s v="Karan"/>
    <x v="8"/>
    <s v="Karnataka"/>
    <s v="South"/>
    <s v="Furniture"/>
    <s v="Office Chair"/>
    <n v="8"/>
    <n v="1528.75"/>
    <n v="12230"/>
  </r>
  <r>
    <x v="287"/>
    <s v="Meera"/>
    <x v="13"/>
    <s v="Maharashtra"/>
    <s v="West"/>
    <s v="Apparel"/>
    <s v="Jacket"/>
    <n v="5"/>
    <n v="1906.48"/>
    <n v="9532.4"/>
  </r>
  <r>
    <x v="405"/>
    <s v="Meera"/>
    <x v="13"/>
    <s v="Maharashtra"/>
    <s v="West"/>
    <s v="Home &amp; Kitchen"/>
    <s v="Lunch Box"/>
    <n v="15"/>
    <n v="1187.53"/>
    <n v="17812.95"/>
  </r>
  <r>
    <x v="406"/>
    <s v="Aditi"/>
    <x v="6"/>
    <s v="Telangana"/>
    <s v="South"/>
    <s v="Stationery"/>
    <s v="Pen"/>
    <n v="6"/>
    <n v="352.17"/>
    <n v="2113.02"/>
  </r>
  <r>
    <x v="401"/>
    <s v="Sanya"/>
    <x v="12"/>
    <s v="West Bengal"/>
    <s v="East"/>
    <s v="Furniture"/>
    <s v="Bookshelf"/>
    <n v="4"/>
    <n v="2497.48"/>
    <n v="9989.92"/>
  </r>
  <r>
    <x v="104"/>
    <s v="Ishita"/>
    <x v="10"/>
    <s v="Maharashtra"/>
    <s v="West"/>
    <s v="Electronics"/>
    <s v="Power Bank"/>
    <n v="12"/>
    <n v="3151.94"/>
    <n v="37823.279999999999"/>
  </r>
  <r>
    <x v="172"/>
    <s v="Aditi"/>
    <x v="1"/>
    <s v="Delhi"/>
    <s v="North"/>
    <s v="Home &amp; Kitchen"/>
    <s v="Storage Jar"/>
    <n v="6"/>
    <n v="225.22"/>
    <n v="1351.32"/>
  </r>
  <r>
    <x v="407"/>
    <s v="Priya"/>
    <x v="11"/>
    <s v="Tamil Nadu"/>
    <s v="South"/>
    <s v="Furniture"/>
    <s v="Bookshelf"/>
    <n v="16"/>
    <n v="9898.94"/>
    <n v="158383.04000000001"/>
  </r>
  <r>
    <x v="408"/>
    <s v="Ananya"/>
    <x v="13"/>
    <s v="Maharashtra"/>
    <s v="West"/>
    <s v="Electronics"/>
    <s v="USB Cable"/>
    <n v="6"/>
    <n v="542.25"/>
    <n v="3253.5"/>
  </r>
  <r>
    <x v="135"/>
    <s v="Karan"/>
    <x v="6"/>
    <s v="Telangana"/>
    <s v="South"/>
    <s v="Electronics"/>
    <s v="Keyboard"/>
    <n v="13"/>
    <n v="2771.24"/>
    <n v="36026.119999999995"/>
  </r>
  <r>
    <x v="374"/>
    <s v="Ishita"/>
    <x v="10"/>
    <s v="Maharashtra"/>
    <s v="West"/>
    <s v="Furniture"/>
    <s v="Office Chair"/>
    <n v="4"/>
    <n v="10819.74"/>
    <n v="43278.96"/>
  </r>
  <r>
    <x v="409"/>
    <s v="Vihaan"/>
    <x v="1"/>
    <s v="Delhi"/>
    <s v="North"/>
    <s v="Home &amp; Kitchen"/>
    <s v="Storage Jar"/>
    <n v="1"/>
    <n v="875.02"/>
    <n v="875.02"/>
  </r>
  <r>
    <x v="410"/>
    <s v="Neha"/>
    <x v="2"/>
    <s v="Karnataka"/>
    <s v="South"/>
    <s v="Home &amp; Kitchen"/>
    <s v="Water Bottle"/>
    <n v="14"/>
    <n v="827.88"/>
    <n v="11590.32"/>
  </r>
  <r>
    <x v="55"/>
    <s v="Karan"/>
    <x v="9"/>
    <s v="Bihar"/>
    <s v="East"/>
    <s v="Furniture"/>
    <s v="Study Table"/>
    <n v="18"/>
    <n v="10866.65"/>
    <n v="195599.69999999998"/>
  </r>
  <r>
    <x v="411"/>
    <m/>
    <x v="16"/>
    <m/>
    <m/>
    <m/>
    <m/>
    <m/>
    <m/>
    <m/>
  </r>
  <r>
    <x v="411"/>
    <m/>
    <x v="16"/>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s v="Nishant"/>
    <x v="0"/>
    <s v="Delhi"/>
    <x v="0"/>
    <x v="0"/>
    <x v="0"/>
    <n v="8"/>
    <n v="253.49"/>
    <x v="0"/>
  </r>
  <r>
    <x v="1"/>
    <s v="Rahul"/>
    <x v="1"/>
    <s v="Delhi"/>
    <x v="0"/>
    <x v="1"/>
    <x v="1"/>
    <n v="2"/>
    <n v="205.12"/>
    <x v="1"/>
  </r>
  <r>
    <x v="2"/>
    <s v="Riya"/>
    <x v="0"/>
    <s v="Delhi"/>
    <x v="0"/>
    <x v="1"/>
    <x v="2"/>
    <n v="23"/>
    <n v="1352.29"/>
    <x v="2"/>
  </r>
  <r>
    <x v="3"/>
    <s v="Arjun"/>
    <x v="2"/>
    <s v="Karnataka"/>
    <x v="1"/>
    <x v="2"/>
    <x v="3"/>
    <n v="9"/>
    <n v="9999.02"/>
    <x v="3"/>
  </r>
  <r>
    <x v="4"/>
    <s v="Ananya"/>
    <x v="3"/>
    <s v="Rajasthan"/>
    <x v="0"/>
    <x v="0"/>
    <x v="4"/>
    <n v="5"/>
    <n v="336.85"/>
    <x v="4"/>
  </r>
  <r>
    <x v="5"/>
    <s v="Nishant"/>
    <x v="1"/>
    <s v="Delhi"/>
    <x v="0"/>
    <x v="2"/>
    <x v="5"/>
    <n v="12"/>
    <n v="10398.69"/>
    <x v="5"/>
  </r>
  <r>
    <x v="6"/>
    <s v="Aditi"/>
    <x v="4"/>
    <s v="Delhi"/>
    <x v="0"/>
    <x v="2"/>
    <x v="3"/>
    <n v="4"/>
    <n v="11717.72"/>
    <x v="6"/>
  </r>
  <r>
    <x v="7"/>
    <s v="Meera"/>
    <x v="5"/>
    <s v="Tamil Nadu"/>
    <x v="1"/>
    <x v="1"/>
    <x v="6"/>
    <n v="19"/>
    <n v="505.73"/>
    <x v="7"/>
  </r>
  <r>
    <x v="8"/>
    <s v="Vihaan"/>
    <x v="2"/>
    <s v="Karnataka"/>
    <x v="1"/>
    <x v="0"/>
    <x v="7"/>
    <n v="8"/>
    <n v="1053.1300000000001"/>
    <x v="8"/>
  </r>
  <r>
    <x v="9"/>
    <s v="Aditi"/>
    <x v="6"/>
    <s v="Telangana"/>
    <x v="1"/>
    <x v="0"/>
    <x v="0"/>
    <n v="12"/>
    <n v="490.8"/>
    <x v="9"/>
  </r>
  <r>
    <x v="10"/>
    <s v="Aditi"/>
    <x v="1"/>
    <s v="Delhi"/>
    <x v="0"/>
    <x v="1"/>
    <x v="2"/>
    <n v="18"/>
    <n v="1498.88"/>
    <x v="10"/>
  </r>
  <r>
    <x v="11"/>
    <s v="Priya"/>
    <x v="7"/>
    <s v="Gujarat"/>
    <x v="2"/>
    <x v="0"/>
    <x v="0"/>
    <n v="22"/>
    <n v="456.71"/>
    <x v="11"/>
  </r>
  <r>
    <x v="12"/>
    <s v="Riya"/>
    <x v="4"/>
    <s v="Delhi"/>
    <x v="0"/>
    <x v="0"/>
    <x v="8"/>
    <n v="9"/>
    <n v="172.81"/>
    <x v="12"/>
  </r>
  <r>
    <x v="13"/>
    <s v="Rohan"/>
    <x v="8"/>
    <s v="Karnataka"/>
    <x v="1"/>
    <x v="2"/>
    <x v="9"/>
    <n v="21"/>
    <n v="6317.94"/>
    <x v="13"/>
  </r>
  <r>
    <x v="14"/>
    <s v="Kabir"/>
    <x v="2"/>
    <s v="Karnataka"/>
    <x v="1"/>
    <x v="1"/>
    <x v="6"/>
    <n v="24"/>
    <n v="1231.48"/>
    <x v="14"/>
  </r>
  <r>
    <x v="15"/>
    <s v="Kabir"/>
    <x v="9"/>
    <s v="Bihar"/>
    <x v="3"/>
    <x v="3"/>
    <x v="10"/>
    <n v="17"/>
    <n v="1828.6"/>
    <x v="15"/>
  </r>
  <r>
    <x v="16"/>
    <s v="Nishant"/>
    <x v="10"/>
    <s v="Maharashtra"/>
    <x v="2"/>
    <x v="3"/>
    <x v="11"/>
    <n v="20"/>
    <n v="409.64"/>
    <x v="16"/>
  </r>
  <r>
    <x v="17"/>
    <s v="Yash"/>
    <x v="6"/>
    <s v="Telangana"/>
    <x v="1"/>
    <x v="1"/>
    <x v="6"/>
    <n v="18"/>
    <n v="1742.44"/>
    <x v="17"/>
  </r>
  <r>
    <x v="18"/>
    <s v="Nishant"/>
    <x v="11"/>
    <s v="Tamil Nadu"/>
    <x v="1"/>
    <x v="0"/>
    <x v="7"/>
    <n v="10"/>
    <n v="578.24"/>
    <x v="18"/>
  </r>
  <r>
    <x v="19"/>
    <s v="Ishita"/>
    <x v="11"/>
    <s v="Tamil Nadu"/>
    <x v="1"/>
    <x v="1"/>
    <x v="2"/>
    <n v="17"/>
    <n v="1838.36"/>
    <x v="19"/>
  </r>
  <r>
    <x v="20"/>
    <s v="Aarohi"/>
    <x v="8"/>
    <s v="Karnataka"/>
    <x v="1"/>
    <x v="3"/>
    <x v="12"/>
    <n v="25"/>
    <n v="733.11"/>
    <x v="20"/>
  </r>
  <r>
    <x v="21"/>
    <s v="Ishita"/>
    <x v="12"/>
    <s v="West Bengal"/>
    <x v="3"/>
    <x v="2"/>
    <x v="5"/>
    <n v="4"/>
    <n v="11255.54"/>
    <x v="21"/>
  </r>
  <r>
    <x v="22"/>
    <s v="Riya"/>
    <x v="4"/>
    <s v="Delhi"/>
    <x v="0"/>
    <x v="3"/>
    <x v="13"/>
    <n v="3"/>
    <n v="482.66"/>
    <x v="22"/>
  </r>
  <r>
    <x v="23"/>
    <s v="Meera"/>
    <x v="10"/>
    <s v="Maharashtra"/>
    <x v="2"/>
    <x v="3"/>
    <x v="11"/>
    <n v="18"/>
    <n v="744.92"/>
    <x v="23"/>
  </r>
  <r>
    <x v="24"/>
    <s v="Yash"/>
    <x v="3"/>
    <s v="Rajasthan"/>
    <x v="0"/>
    <x v="3"/>
    <x v="13"/>
    <n v="25"/>
    <n v="2608.77"/>
    <x v="24"/>
  </r>
  <r>
    <x v="25"/>
    <s v="Aarohi"/>
    <x v="7"/>
    <s v="Gujarat"/>
    <x v="2"/>
    <x v="0"/>
    <x v="8"/>
    <n v="17"/>
    <n v="596.63"/>
    <x v="25"/>
  </r>
  <r>
    <x v="26"/>
    <s v="Riya"/>
    <x v="1"/>
    <s v="Delhi"/>
    <x v="0"/>
    <x v="0"/>
    <x v="7"/>
    <n v="19"/>
    <n v="709.31"/>
    <x v="26"/>
  </r>
  <r>
    <x v="27"/>
    <s v="Riya"/>
    <x v="0"/>
    <s v="Delhi"/>
    <x v="0"/>
    <x v="4"/>
    <x v="14"/>
    <n v="21"/>
    <n v="42.37"/>
    <x v="27"/>
  </r>
  <r>
    <x v="28"/>
    <s v="Vihaan"/>
    <x v="12"/>
    <s v="West Bengal"/>
    <x v="3"/>
    <x v="4"/>
    <x v="15"/>
    <n v="8"/>
    <n v="125.82"/>
    <x v="28"/>
  </r>
  <r>
    <x v="23"/>
    <s v="Aarav"/>
    <x v="10"/>
    <s v="Maharashtra"/>
    <x v="2"/>
    <x v="1"/>
    <x v="1"/>
    <n v="8"/>
    <n v="1601.55"/>
    <x v="29"/>
  </r>
  <r>
    <x v="29"/>
    <s v="Aarav"/>
    <x v="13"/>
    <s v="Maharashtra"/>
    <x v="2"/>
    <x v="4"/>
    <x v="14"/>
    <n v="14"/>
    <n v="154.63"/>
    <x v="30"/>
  </r>
  <r>
    <x v="30"/>
    <s v="Priya"/>
    <x v="4"/>
    <s v="Delhi"/>
    <x v="0"/>
    <x v="4"/>
    <x v="16"/>
    <n v="13"/>
    <n v="296.72000000000003"/>
    <x v="31"/>
  </r>
  <r>
    <x v="31"/>
    <s v="Riya"/>
    <x v="8"/>
    <s v="Karnataka"/>
    <x v="1"/>
    <x v="3"/>
    <x v="13"/>
    <n v="15"/>
    <n v="662.6"/>
    <x v="32"/>
  </r>
  <r>
    <x v="32"/>
    <s v="Aditi"/>
    <x v="6"/>
    <s v="Telangana"/>
    <x v="1"/>
    <x v="3"/>
    <x v="17"/>
    <n v="15"/>
    <n v="2866.47"/>
    <x v="33"/>
  </r>
  <r>
    <x v="33"/>
    <s v="Nishant"/>
    <x v="4"/>
    <s v="Delhi"/>
    <x v="0"/>
    <x v="1"/>
    <x v="18"/>
    <n v="3"/>
    <n v="1863.78"/>
    <x v="34"/>
  </r>
  <r>
    <x v="34"/>
    <s v="Ananya"/>
    <x v="3"/>
    <s v="Rajasthan"/>
    <x v="0"/>
    <x v="2"/>
    <x v="9"/>
    <n v="7"/>
    <n v="10578.83"/>
    <x v="35"/>
  </r>
  <r>
    <x v="35"/>
    <s v="Ananya"/>
    <x v="7"/>
    <s v="Gujarat"/>
    <x v="2"/>
    <x v="4"/>
    <x v="19"/>
    <n v="9"/>
    <n v="372.08"/>
    <x v="36"/>
  </r>
  <r>
    <x v="36"/>
    <s v="Aarohi"/>
    <x v="3"/>
    <s v="Rajasthan"/>
    <x v="0"/>
    <x v="1"/>
    <x v="1"/>
    <n v="5"/>
    <n v="501.31"/>
    <x v="37"/>
  </r>
  <r>
    <x v="37"/>
    <s v="Vihaan"/>
    <x v="4"/>
    <s v="Delhi"/>
    <x v="0"/>
    <x v="0"/>
    <x v="7"/>
    <n v="2"/>
    <n v="742.6"/>
    <x v="38"/>
  </r>
  <r>
    <x v="38"/>
    <s v="Neha"/>
    <x v="14"/>
    <s v="Maharashtra"/>
    <x v="2"/>
    <x v="4"/>
    <x v="15"/>
    <n v="3"/>
    <n v="343.51"/>
    <x v="39"/>
  </r>
  <r>
    <x v="39"/>
    <s v="Yash"/>
    <x v="1"/>
    <s v="Delhi"/>
    <x v="0"/>
    <x v="3"/>
    <x v="11"/>
    <n v="4"/>
    <n v="3307.27"/>
    <x v="40"/>
  </r>
  <r>
    <x v="40"/>
    <s v="Riya"/>
    <x v="4"/>
    <s v="Delhi"/>
    <x v="0"/>
    <x v="1"/>
    <x v="18"/>
    <n v="14"/>
    <n v="1366.14"/>
    <x v="41"/>
  </r>
  <r>
    <x v="41"/>
    <s v="Neha"/>
    <x v="12"/>
    <s v="West Bengal"/>
    <x v="3"/>
    <x v="0"/>
    <x v="0"/>
    <n v="22"/>
    <n v="887.81"/>
    <x v="42"/>
  </r>
  <r>
    <x v="42"/>
    <s v="Aditi"/>
    <x v="7"/>
    <s v="Gujarat"/>
    <x v="2"/>
    <x v="3"/>
    <x v="12"/>
    <n v="15"/>
    <n v="1243.3800000000001"/>
    <x v="43"/>
  </r>
  <r>
    <x v="43"/>
    <s v="Ishita"/>
    <x v="6"/>
    <s v="Telangana"/>
    <x v="1"/>
    <x v="1"/>
    <x v="18"/>
    <n v="3"/>
    <n v="1144.6199999999999"/>
    <x v="44"/>
  </r>
  <r>
    <x v="44"/>
    <s v="Aditi"/>
    <x v="10"/>
    <s v="Maharashtra"/>
    <x v="2"/>
    <x v="0"/>
    <x v="7"/>
    <n v="8"/>
    <n v="506.48"/>
    <x v="45"/>
  </r>
  <r>
    <x v="45"/>
    <s v="Priya"/>
    <x v="5"/>
    <s v="Tamil Nadu"/>
    <x v="1"/>
    <x v="1"/>
    <x v="18"/>
    <n v="22"/>
    <n v="1661.64"/>
    <x v="46"/>
  </r>
  <r>
    <x v="46"/>
    <s v="Nishant"/>
    <x v="10"/>
    <s v="Maharashtra"/>
    <x v="2"/>
    <x v="0"/>
    <x v="7"/>
    <n v="4"/>
    <n v="916.66"/>
    <x v="47"/>
  </r>
  <r>
    <x v="47"/>
    <s v="Aditi"/>
    <x v="5"/>
    <s v="Tamil Nadu"/>
    <x v="1"/>
    <x v="1"/>
    <x v="2"/>
    <n v="23"/>
    <n v="784.33"/>
    <x v="48"/>
  </r>
  <r>
    <x v="48"/>
    <s v="Aditi"/>
    <x v="15"/>
    <s v="Uttar Pradesh"/>
    <x v="0"/>
    <x v="0"/>
    <x v="7"/>
    <n v="3"/>
    <n v="797.71"/>
    <x v="49"/>
  </r>
  <r>
    <x v="49"/>
    <s v="Vihaan"/>
    <x v="0"/>
    <s v="Delhi"/>
    <x v="0"/>
    <x v="0"/>
    <x v="0"/>
    <n v="21"/>
    <n v="1177.78"/>
    <x v="50"/>
  </r>
  <r>
    <x v="50"/>
    <s v="Priya"/>
    <x v="3"/>
    <s v="Rajasthan"/>
    <x v="0"/>
    <x v="1"/>
    <x v="18"/>
    <n v="4"/>
    <n v="289.2"/>
    <x v="51"/>
  </r>
  <r>
    <x v="51"/>
    <s v="Kabir"/>
    <x v="4"/>
    <s v="Delhi"/>
    <x v="0"/>
    <x v="0"/>
    <x v="0"/>
    <n v="14"/>
    <n v="240.19"/>
    <x v="52"/>
  </r>
  <r>
    <x v="52"/>
    <s v="Sanya"/>
    <x v="4"/>
    <s v="Delhi"/>
    <x v="0"/>
    <x v="0"/>
    <x v="0"/>
    <n v="22"/>
    <n v="374.48"/>
    <x v="53"/>
  </r>
  <r>
    <x v="53"/>
    <s v="Sanya"/>
    <x v="3"/>
    <s v="Rajasthan"/>
    <x v="0"/>
    <x v="1"/>
    <x v="2"/>
    <n v="8"/>
    <n v="1749.52"/>
    <x v="54"/>
  </r>
  <r>
    <x v="54"/>
    <s v="Arjun"/>
    <x v="0"/>
    <s v="Delhi"/>
    <x v="0"/>
    <x v="3"/>
    <x v="12"/>
    <n v="14"/>
    <n v="2847.38"/>
    <x v="55"/>
  </r>
  <r>
    <x v="55"/>
    <s v="Aditi"/>
    <x v="14"/>
    <s v="Maharashtra"/>
    <x v="2"/>
    <x v="4"/>
    <x v="19"/>
    <n v="2"/>
    <n v="346.27"/>
    <x v="56"/>
  </r>
  <r>
    <x v="56"/>
    <s v="Aarav"/>
    <x v="6"/>
    <s v="Telangana"/>
    <x v="1"/>
    <x v="0"/>
    <x v="4"/>
    <n v="8"/>
    <n v="345.22"/>
    <x v="57"/>
  </r>
  <r>
    <x v="57"/>
    <s v="Aarav"/>
    <x v="7"/>
    <s v="Gujarat"/>
    <x v="2"/>
    <x v="0"/>
    <x v="4"/>
    <n v="3"/>
    <n v="1163.58"/>
    <x v="58"/>
  </r>
  <r>
    <x v="58"/>
    <s v="Sanya"/>
    <x v="7"/>
    <s v="Gujarat"/>
    <x v="2"/>
    <x v="1"/>
    <x v="6"/>
    <n v="1"/>
    <n v="363.38"/>
    <x v="59"/>
  </r>
  <r>
    <x v="59"/>
    <s v="Ananya"/>
    <x v="11"/>
    <s v="Tamil Nadu"/>
    <x v="1"/>
    <x v="4"/>
    <x v="16"/>
    <n v="20"/>
    <n v="185.13"/>
    <x v="60"/>
  </r>
  <r>
    <x v="60"/>
    <s v="Arjun"/>
    <x v="13"/>
    <s v="Maharashtra"/>
    <x v="2"/>
    <x v="2"/>
    <x v="3"/>
    <n v="7"/>
    <n v="4174.59"/>
    <x v="61"/>
  </r>
  <r>
    <x v="61"/>
    <s v="Arjun"/>
    <x v="0"/>
    <s v="Delhi"/>
    <x v="0"/>
    <x v="1"/>
    <x v="2"/>
    <n v="12"/>
    <n v="947.9"/>
    <x v="62"/>
  </r>
  <r>
    <x v="62"/>
    <s v="Rohan"/>
    <x v="12"/>
    <s v="West Bengal"/>
    <x v="3"/>
    <x v="4"/>
    <x v="14"/>
    <n v="10"/>
    <n v="212.71"/>
    <x v="63"/>
  </r>
  <r>
    <x v="63"/>
    <s v="Arjun"/>
    <x v="12"/>
    <s v="West Bengal"/>
    <x v="3"/>
    <x v="2"/>
    <x v="3"/>
    <n v="10"/>
    <n v="7321.33"/>
    <x v="64"/>
  </r>
  <r>
    <x v="64"/>
    <s v="Arjun"/>
    <x v="7"/>
    <s v="Gujarat"/>
    <x v="2"/>
    <x v="3"/>
    <x v="13"/>
    <n v="19"/>
    <n v="1193.1300000000001"/>
    <x v="65"/>
  </r>
  <r>
    <x v="65"/>
    <s v="Ishita"/>
    <x v="5"/>
    <s v="Tamil Nadu"/>
    <x v="1"/>
    <x v="0"/>
    <x v="0"/>
    <n v="14"/>
    <n v="964.33"/>
    <x v="66"/>
  </r>
  <r>
    <x v="66"/>
    <s v="Rohan"/>
    <x v="6"/>
    <s v="Telangana"/>
    <x v="1"/>
    <x v="2"/>
    <x v="9"/>
    <n v="22"/>
    <n v="3743.86"/>
    <x v="67"/>
  </r>
  <r>
    <x v="67"/>
    <s v="Ananya"/>
    <x v="1"/>
    <s v="Delhi"/>
    <x v="0"/>
    <x v="0"/>
    <x v="4"/>
    <n v="3"/>
    <n v="1000.27"/>
    <x v="68"/>
  </r>
  <r>
    <x v="68"/>
    <s v="Aarohi"/>
    <x v="2"/>
    <s v="Karnataka"/>
    <x v="1"/>
    <x v="3"/>
    <x v="10"/>
    <n v="1"/>
    <n v="352.51"/>
    <x v="69"/>
  </r>
  <r>
    <x v="69"/>
    <s v="Yash"/>
    <x v="1"/>
    <s v="Delhi"/>
    <x v="0"/>
    <x v="2"/>
    <x v="9"/>
    <n v="21"/>
    <n v="7544.54"/>
    <x v="70"/>
  </r>
  <r>
    <x v="70"/>
    <s v="Kabir"/>
    <x v="15"/>
    <s v="Uttar Pradesh"/>
    <x v="0"/>
    <x v="2"/>
    <x v="5"/>
    <n v="5"/>
    <n v="8388.61"/>
    <x v="71"/>
  </r>
  <r>
    <x v="71"/>
    <s v="Nishant"/>
    <x v="3"/>
    <s v="Rajasthan"/>
    <x v="0"/>
    <x v="3"/>
    <x v="10"/>
    <n v="23"/>
    <n v="1909.26"/>
    <x v="72"/>
  </r>
  <r>
    <x v="72"/>
    <s v="Rahul"/>
    <x v="2"/>
    <s v="Karnataka"/>
    <x v="1"/>
    <x v="4"/>
    <x v="19"/>
    <n v="5"/>
    <n v="324.54000000000002"/>
    <x v="73"/>
  </r>
  <r>
    <x v="73"/>
    <s v="Neha"/>
    <x v="12"/>
    <s v="West Bengal"/>
    <x v="3"/>
    <x v="2"/>
    <x v="3"/>
    <n v="24"/>
    <n v="10866.21"/>
    <x v="74"/>
  </r>
  <r>
    <x v="74"/>
    <s v="Rahul"/>
    <x v="6"/>
    <s v="Telangana"/>
    <x v="1"/>
    <x v="3"/>
    <x v="11"/>
    <n v="15"/>
    <n v="1055.33"/>
    <x v="75"/>
  </r>
  <r>
    <x v="26"/>
    <s v="Aditi"/>
    <x v="15"/>
    <s v="Uttar Pradesh"/>
    <x v="0"/>
    <x v="3"/>
    <x v="12"/>
    <n v="15"/>
    <n v="455.7"/>
    <x v="76"/>
  </r>
  <r>
    <x v="75"/>
    <s v="Riya"/>
    <x v="11"/>
    <s v="Tamil Nadu"/>
    <x v="1"/>
    <x v="0"/>
    <x v="4"/>
    <n v="18"/>
    <n v="188.64"/>
    <x v="77"/>
  </r>
  <r>
    <x v="76"/>
    <s v="Riya"/>
    <x v="7"/>
    <s v="Gujarat"/>
    <x v="2"/>
    <x v="3"/>
    <x v="10"/>
    <n v="3"/>
    <n v="1569.06"/>
    <x v="78"/>
  </r>
  <r>
    <x v="77"/>
    <s v="Rahul"/>
    <x v="6"/>
    <s v="Telangana"/>
    <x v="1"/>
    <x v="2"/>
    <x v="5"/>
    <n v="7"/>
    <n v="10245.36"/>
    <x v="79"/>
  </r>
  <r>
    <x v="78"/>
    <s v="Simran"/>
    <x v="0"/>
    <s v="Delhi"/>
    <x v="0"/>
    <x v="1"/>
    <x v="1"/>
    <n v="16"/>
    <n v="160.91"/>
    <x v="80"/>
  </r>
  <r>
    <x v="79"/>
    <s v="Aarohi"/>
    <x v="7"/>
    <s v="Gujarat"/>
    <x v="2"/>
    <x v="2"/>
    <x v="3"/>
    <n v="24"/>
    <n v="9213.66"/>
    <x v="81"/>
  </r>
  <r>
    <x v="80"/>
    <s v="Riya"/>
    <x v="15"/>
    <s v="Uttar Pradesh"/>
    <x v="0"/>
    <x v="3"/>
    <x v="12"/>
    <n v="14"/>
    <n v="1802.62"/>
    <x v="82"/>
  </r>
  <r>
    <x v="78"/>
    <s v="Rohan"/>
    <x v="7"/>
    <s v="Gujarat"/>
    <x v="2"/>
    <x v="3"/>
    <x v="11"/>
    <n v="5"/>
    <n v="3436.38"/>
    <x v="83"/>
  </r>
  <r>
    <x v="81"/>
    <s v="Ishita"/>
    <x v="7"/>
    <s v="Gujarat"/>
    <x v="2"/>
    <x v="1"/>
    <x v="18"/>
    <n v="3"/>
    <n v="1339.09"/>
    <x v="84"/>
  </r>
  <r>
    <x v="82"/>
    <s v="Priya"/>
    <x v="14"/>
    <s v="Maharashtra"/>
    <x v="2"/>
    <x v="4"/>
    <x v="20"/>
    <n v="13"/>
    <n v="144.38999999999999"/>
    <x v="85"/>
  </r>
  <r>
    <x v="36"/>
    <s v="Rohan"/>
    <x v="12"/>
    <s v="West Bengal"/>
    <x v="3"/>
    <x v="2"/>
    <x v="9"/>
    <n v="25"/>
    <n v="11487.64"/>
    <x v="86"/>
  </r>
  <r>
    <x v="83"/>
    <s v="Aditi"/>
    <x v="1"/>
    <s v="Delhi"/>
    <x v="0"/>
    <x v="2"/>
    <x v="5"/>
    <n v="24"/>
    <n v="7163.9"/>
    <x v="87"/>
  </r>
  <r>
    <x v="84"/>
    <s v="Riya"/>
    <x v="1"/>
    <s v="Delhi"/>
    <x v="0"/>
    <x v="4"/>
    <x v="21"/>
    <n v="1"/>
    <n v="380.85"/>
    <x v="88"/>
  </r>
  <r>
    <x v="85"/>
    <s v="Ishita"/>
    <x v="10"/>
    <s v="Maharashtra"/>
    <x v="2"/>
    <x v="3"/>
    <x v="10"/>
    <n v="16"/>
    <n v="2409.21"/>
    <x v="89"/>
  </r>
  <r>
    <x v="86"/>
    <s v="Aarav"/>
    <x v="6"/>
    <s v="Telangana"/>
    <x v="1"/>
    <x v="0"/>
    <x v="4"/>
    <n v="6"/>
    <n v="766.48"/>
    <x v="90"/>
  </r>
  <r>
    <x v="87"/>
    <s v="Ananya"/>
    <x v="5"/>
    <s v="Tamil Nadu"/>
    <x v="1"/>
    <x v="4"/>
    <x v="15"/>
    <n v="1"/>
    <n v="372.98"/>
    <x v="91"/>
  </r>
  <r>
    <x v="88"/>
    <s v="Kabir"/>
    <x v="7"/>
    <s v="Gujarat"/>
    <x v="2"/>
    <x v="3"/>
    <x v="17"/>
    <n v="19"/>
    <n v="2479.0300000000002"/>
    <x v="92"/>
  </r>
  <r>
    <x v="89"/>
    <s v="Riya"/>
    <x v="13"/>
    <s v="Maharashtra"/>
    <x v="2"/>
    <x v="0"/>
    <x v="7"/>
    <n v="19"/>
    <n v="960.9"/>
    <x v="93"/>
  </r>
  <r>
    <x v="90"/>
    <s v="Rahul"/>
    <x v="3"/>
    <s v="Rajasthan"/>
    <x v="0"/>
    <x v="0"/>
    <x v="7"/>
    <n v="17"/>
    <n v="812.3"/>
    <x v="94"/>
  </r>
  <r>
    <x v="91"/>
    <s v="Arjun"/>
    <x v="15"/>
    <s v="Uttar Pradesh"/>
    <x v="0"/>
    <x v="4"/>
    <x v="19"/>
    <n v="12"/>
    <n v="261.52"/>
    <x v="95"/>
  </r>
  <r>
    <x v="92"/>
    <s v="Kabir"/>
    <x v="3"/>
    <s v="Rajasthan"/>
    <x v="0"/>
    <x v="3"/>
    <x v="13"/>
    <n v="21"/>
    <n v="1091.27"/>
    <x v="96"/>
  </r>
  <r>
    <x v="93"/>
    <s v="Karan"/>
    <x v="6"/>
    <s v="Telangana"/>
    <x v="1"/>
    <x v="2"/>
    <x v="3"/>
    <n v="19"/>
    <n v="4318.1499999999996"/>
    <x v="97"/>
  </r>
  <r>
    <x v="94"/>
    <s v="Meera"/>
    <x v="11"/>
    <s v="Tamil Nadu"/>
    <x v="1"/>
    <x v="2"/>
    <x v="5"/>
    <n v="25"/>
    <n v="6379.44"/>
    <x v="98"/>
  </r>
  <r>
    <x v="95"/>
    <s v="Kabir"/>
    <x v="12"/>
    <s v="West Bengal"/>
    <x v="3"/>
    <x v="4"/>
    <x v="19"/>
    <n v="11"/>
    <n v="89.1"/>
    <x v="99"/>
  </r>
  <r>
    <x v="96"/>
    <s v="Sanya"/>
    <x v="11"/>
    <s v="Tamil Nadu"/>
    <x v="1"/>
    <x v="0"/>
    <x v="4"/>
    <n v="20"/>
    <n v="871.3"/>
    <x v="100"/>
  </r>
  <r>
    <x v="97"/>
    <s v="Rahul"/>
    <x v="0"/>
    <s v="Delhi"/>
    <x v="0"/>
    <x v="1"/>
    <x v="2"/>
    <n v="3"/>
    <n v="596.51"/>
    <x v="101"/>
  </r>
  <r>
    <x v="29"/>
    <s v="Karan"/>
    <x v="2"/>
    <s v="Karnataka"/>
    <x v="1"/>
    <x v="2"/>
    <x v="3"/>
    <n v="23"/>
    <n v="6653.62"/>
    <x v="102"/>
  </r>
  <r>
    <x v="98"/>
    <s v="Meera"/>
    <x v="5"/>
    <s v="Tamil Nadu"/>
    <x v="1"/>
    <x v="3"/>
    <x v="11"/>
    <n v="23"/>
    <n v="1002.91"/>
    <x v="103"/>
  </r>
  <r>
    <x v="99"/>
    <s v="Simran"/>
    <x v="9"/>
    <s v="Bihar"/>
    <x v="3"/>
    <x v="2"/>
    <x v="3"/>
    <n v="17"/>
    <n v="5109.45"/>
    <x v="104"/>
  </r>
  <r>
    <x v="33"/>
    <s v="Rohan"/>
    <x v="9"/>
    <s v="Bihar"/>
    <x v="3"/>
    <x v="2"/>
    <x v="9"/>
    <n v="10"/>
    <n v="4139.74"/>
    <x v="105"/>
  </r>
  <r>
    <x v="100"/>
    <s v="Aarav"/>
    <x v="12"/>
    <s v="West Bengal"/>
    <x v="3"/>
    <x v="4"/>
    <x v="14"/>
    <n v="18"/>
    <n v="381.33"/>
    <x v="106"/>
  </r>
  <r>
    <x v="101"/>
    <s v="Ananya"/>
    <x v="8"/>
    <s v="Karnataka"/>
    <x v="1"/>
    <x v="3"/>
    <x v="11"/>
    <n v="9"/>
    <n v="2591.13"/>
    <x v="107"/>
  </r>
  <r>
    <x v="102"/>
    <s v="Yash"/>
    <x v="5"/>
    <s v="Tamil Nadu"/>
    <x v="1"/>
    <x v="4"/>
    <x v="21"/>
    <n v="7"/>
    <n v="132.57"/>
    <x v="108"/>
  </r>
  <r>
    <x v="103"/>
    <s v="Ananya"/>
    <x v="5"/>
    <s v="Tamil Nadu"/>
    <x v="1"/>
    <x v="4"/>
    <x v="14"/>
    <n v="18"/>
    <n v="68.099999999999994"/>
    <x v="109"/>
  </r>
  <r>
    <x v="104"/>
    <s v="Vihaan"/>
    <x v="5"/>
    <s v="Tamil Nadu"/>
    <x v="1"/>
    <x v="3"/>
    <x v="11"/>
    <n v="4"/>
    <n v="3079.98"/>
    <x v="110"/>
  </r>
  <r>
    <x v="105"/>
    <s v="Aarohi"/>
    <x v="15"/>
    <s v="Uttar Pradesh"/>
    <x v="0"/>
    <x v="2"/>
    <x v="9"/>
    <n v="11"/>
    <n v="3435.82"/>
    <x v="111"/>
  </r>
  <r>
    <x v="106"/>
    <s v="Aditi"/>
    <x v="15"/>
    <s v="Uttar Pradesh"/>
    <x v="0"/>
    <x v="4"/>
    <x v="21"/>
    <n v="3"/>
    <n v="172.27"/>
    <x v="112"/>
  </r>
  <r>
    <x v="107"/>
    <s v="Simran"/>
    <x v="4"/>
    <s v="Delhi"/>
    <x v="0"/>
    <x v="3"/>
    <x v="10"/>
    <n v="19"/>
    <n v="3332.11"/>
    <x v="113"/>
  </r>
  <r>
    <x v="108"/>
    <s v="Riya"/>
    <x v="13"/>
    <s v="Maharashtra"/>
    <x v="2"/>
    <x v="1"/>
    <x v="1"/>
    <n v="20"/>
    <n v="1252.83"/>
    <x v="114"/>
  </r>
  <r>
    <x v="109"/>
    <s v="Riya"/>
    <x v="7"/>
    <s v="Gujarat"/>
    <x v="2"/>
    <x v="2"/>
    <x v="9"/>
    <n v="10"/>
    <n v="10531.75"/>
    <x v="115"/>
  </r>
  <r>
    <x v="110"/>
    <s v="Aarohi"/>
    <x v="4"/>
    <s v="Delhi"/>
    <x v="0"/>
    <x v="1"/>
    <x v="18"/>
    <n v="25"/>
    <n v="534.41"/>
    <x v="116"/>
  </r>
  <r>
    <x v="111"/>
    <s v="Aditi"/>
    <x v="1"/>
    <s v="Delhi"/>
    <x v="0"/>
    <x v="3"/>
    <x v="10"/>
    <n v="6"/>
    <n v="2021.57"/>
    <x v="117"/>
  </r>
  <r>
    <x v="112"/>
    <s v="Ishita"/>
    <x v="3"/>
    <s v="Rajasthan"/>
    <x v="0"/>
    <x v="2"/>
    <x v="3"/>
    <n v="20"/>
    <n v="6434.08"/>
    <x v="118"/>
  </r>
  <r>
    <x v="113"/>
    <s v="Riya"/>
    <x v="5"/>
    <s v="Tamil Nadu"/>
    <x v="1"/>
    <x v="0"/>
    <x v="8"/>
    <n v="3"/>
    <n v="856.12"/>
    <x v="119"/>
  </r>
  <r>
    <x v="114"/>
    <s v="Simran"/>
    <x v="8"/>
    <s v="Karnataka"/>
    <x v="1"/>
    <x v="2"/>
    <x v="5"/>
    <n v="18"/>
    <n v="3860.5"/>
    <x v="120"/>
  </r>
  <r>
    <x v="115"/>
    <s v="Aditi"/>
    <x v="10"/>
    <s v="Maharashtra"/>
    <x v="2"/>
    <x v="4"/>
    <x v="16"/>
    <n v="6"/>
    <n v="321.2"/>
    <x v="121"/>
  </r>
  <r>
    <x v="116"/>
    <s v="Simran"/>
    <x v="5"/>
    <s v="Tamil Nadu"/>
    <x v="1"/>
    <x v="2"/>
    <x v="5"/>
    <n v="15"/>
    <n v="8731.1200000000008"/>
    <x v="122"/>
  </r>
  <r>
    <x v="117"/>
    <s v="Kabir"/>
    <x v="11"/>
    <s v="Tamil Nadu"/>
    <x v="1"/>
    <x v="1"/>
    <x v="1"/>
    <n v="15"/>
    <n v="298.82"/>
    <x v="123"/>
  </r>
  <r>
    <x v="118"/>
    <s v="Arjun"/>
    <x v="12"/>
    <s v="West Bengal"/>
    <x v="3"/>
    <x v="1"/>
    <x v="6"/>
    <n v="1"/>
    <n v="318.95"/>
    <x v="124"/>
  </r>
  <r>
    <x v="119"/>
    <s v="Simran"/>
    <x v="0"/>
    <s v="Delhi"/>
    <x v="0"/>
    <x v="0"/>
    <x v="7"/>
    <n v="25"/>
    <n v="931.9"/>
    <x v="125"/>
  </r>
  <r>
    <x v="120"/>
    <s v="Neha"/>
    <x v="6"/>
    <s v="Telangana"/>
    <x v="1"/>
    <x v="0"/>
    <x v="0"/>
    <n v="19"/>
    <n v="579.47"/>
    <x v="126"/>
  </r>
  <r>
    <x v="121"/>
    <s v="Meera"/>
    <x v="15"/>
    <s v="Uttar Pradesh"/>
    <x v="0"/>
    <x v="0"/>
    <x v="8"/>
    <n v="11"/>
    <n v="453.16"/>
    <x v="127"/>
  </r>
  <r>
    <x v="122"/>
    <s v="Ananya"/>
    <x v="12"/>
    <s v="West Bengal"/>
    <x v="3"/>
    <x v="2"/>
    <x v="3"/>
    <n v="16"/>
    <n v="4526.29"/>
    <x v="128"/>
  </r>
  <r>
    <x v="123"/>
    <s v="Rahul"/>
    <x v="4"/>
    <s v="Delhi"/>
    <x v="0"/>
    <x v="2"/>
    <x v="5"/>
    <n v="11"/>
    <n v="4150.1899999999996"/>
    <x v="129"/>
  </r>
  <r>
    <x v="124"/>
    <s v="Kabir"/>
    <x v="0"/>
    <s v="Delhi"/>
    <x v="0"/>
    <x v="1"/>
    <x v="1"/>
    <n v="14"/>
    <n v="250.28"/>
    <x v="130"/>
  </r>
  <r>
    <x v="125"/>
    <s v="Sanya"/>
    <x v="15"/>
    <s v="Uttar Pradesh"/>
    <x v="0"/>
    <x v="2"/>
    <x v="5"/>
    <n v="7"/>
    <n v="4304.09"/>
    <x v="131"/>
  </r>
  <r>
    <x v="126"/>
    <s v="Aarohi"/>
    <x v="6"/>
    <s v="Telangana"/>
    <x v="1"/>
    <x v="2"/>
    <x v="5"/>
    <n v="1"/>
    <n v="11718.04"/>
    <x v="132"/>
  </r>
  <r>
    <x v="127"/>
    <s v="Riya"/>
    <x v="14"/>
    <s v="Maharashtra"/>
    <x v="2"/>
    <x v="0"/>
    <x v="7"/>
    <n v="18"/>
    <n v="548.79"/>
    <x v="133"/>
  </r>
  <r>
    <x v="128"/>
    <s v="Nishant"/>
    <x v="6"/>
    <s v="Telangana"/>
    <x v="1"/>
    <x v="4"/>
    <x v="14"/>
    <n v="5"/>
    <n v="209.38"/>
    <x v="134"/>
  </r>
  <r>
    <x v="129"/>
    <s v="Neha"/>
    <x v="11"/>
    <s v="Tamil Nadu"/>
    <x v="1"/>
    <x v="2"/>
    <x v="9"/>
    <n v="16"/>
    <n v="4059.17"/>
    <x v="135"/>
  </r>
  <r>
    <x v="130"/>
    <s v="Kabir"/>
    <x v="7"/>
    <s v="Gujarat"/>
    <x v="2"/>
    <x v="3"/>
    <x v="13"/>
    <n v="17"/>
    <n v="2662.77"/>
    <x v="136"/>
  </r>
  <r>
    <x v="131"/>
    <s v="Meera"/>
    <x v="11"/>
    <s v="Tamil Nadu"/>
    <x v="1"/>
    <x v="2"/>
    <x v="9"/>
    <n v="17"/>
    <n v="4305.3100000000004"/>
    <x v="137"/>
  </r>
  <r>
    <x v="132"/>
    <s v="Aarohi"/>
    <x v="5"/>
    <s v="Tamil Nadu"/>
    <x v="1"/>
    <x v="1"/>
    <x v="1"/>
    <n v="5"/>
    <n v="976.11"/>
    <x v="138"/>
  </r>
  <r>
    <x v="133"/>
    <s v="Sanya"/>
    <x v="12"/>
    <s v="West Bengal"/>
    <x v="3"/>
    <x v="1"/>
    <x v="1"/>
    <n v="15"/>
    <n v="1875.78"/>
    <x v="139"/>
  </r>
  <r>
    <x v="134"/>
    <s v="Riya"/>
    <x v="7"/>
    <s v="Gujarat"/>
    <x v="2"/>
    <x v="3"/>
    <x v="11"/>
    <n v="2"/>
    <n v="1249.98"/>
    <x v="140"/>
  </r>
  <r>
    <x v="67"/>
    <s v="Kabir"/>
    <x v="7"/>
    <s v="Gujarat"/>
    <x v="2"/>
    <x v="3"/>
    <x v="11"/>
    <n v="2"/>
    <n v="616.61"/>
    <x v="141"/>
  </r>
  <r>
    <x v="135"/>
    <s v="Rohan"/>
    <x v="13"/>
    <s v="Maharashtra"/>
    <x v="2"/>
    <x v="2"/>
    <x v="5"/>
    <n v="17"/>
    <n v="11059.64"/>
    <x v="142"/>
  </r>
  <r>
    <x v="136"/>
    <s v="Kabir"/>
    <x v="3"/>
    <s v="Rajasthan"/>
    <x v="0"/>
    <x v="3"/>
    <x v="17"/>
    <n v="16"/>
    <n v="2779.03"/>
    <x v="143"/>
  </r>
  <r>
    <x v="14"/>
    <s v="Rohan"/>
    <x v="7"/>
    <s v="Gujarat"/>
    <x v="2"/>
    <x v="4"/>
    <x v="21"/>
    <n v="11"/>
    <n v="343.89"/>
    <x v="144"/>
  </r>
  <r>
    <x v="81"/>
    <s v="Kabir"/>
    <x v="12"/>
    <s v="West Bengal"/>
    <x v="3"/>
    <x v="2"/>
    <x v="3"/>
    <n v="2"/>
    <n v="7983.32"/>
    <x v="145"/>
  </r>
  <r>
    <x v="68"/>
    <s v="Aarohi"/>
    <x v="2"/>
    <s v="Karnataka"/>
    <x v="1"/>
    <x v="4"/>
    <x v="19"/>
    <n v="4"/>
    <n v="308.94"/>
    <x v="146"/>
  </r>
  <r>
    <x v="137"/>
    <s v="Nishant"/>
    <x v="6"/>
    <s v="Telangana"/>
    <x v="1"/>
    <x v="3"/>
    <x v="12"/>
    <n v="1"/>
    <n v="351.77"/>
    <x v="147"/>
  </r>
  <r>
    <x v="12"/>
    <s v="Aarohi"/>
    <x v="9"/>
    <s v="Bihar"/>
    <x v="3"/>
    <x v="0"/>
    <x v="8"/>
    <n v="5"/>
    <n v="368.62"/>
    <x v="148"/>
  </r>
  <r>
    <x v="138"/>
    <s v="Simran"/>
    <x v="14"/>
    <s v="Maharashtra"/>
    <x v="2"/>
    <x v="3"/>
    <x v="10"/>
    <n v="3"/>
    <n v="2211.3200000000002"/>
    <x v="149"/>
  </r>
  <r>
    <x v="139"/>
    <s v="Yash"/>
    <x v="2"/>
    <s v="Karnataka"/>
    <x v="1"/>
    <x v="2"/>
    <x v="3"/>
    <n v="5"/>
    <n v="3937.98"/>
    <x v="150"/>
  </r>
  <r>
    <x v="140"/>
    <s v="Aditi"/>
    <x v="6"/>
    <s v="Telangana"/>
    <x v="1"/>
    <x v="0"/>
    <x v="7"/>
    <n v="15"/>
    <n v="1091.33"/>
    <x v="151"/>
  </r>
  <r>
    <x v="141"/>
    <s v="Rahul"/>
    <x v="14"/>
    <s v="Maharashtra"/>
    <x v="2"/>
    <x v="4"/>
    <x v="19"/>
    <n v="12"/>
    <n v="395.31"/>
    <x v="152"/>
  </r>
  <r>
    <x v="46"/>
    <s v="Arjun"/>
    <x v="11"/>
    <s v="Tamil Nadu"/>
    <x v="1"/>
    <x v="2"/>
    <x v="9"/>
    <n v="7"/>
    <n v="11993.42"/>
    <x v="153"/>
  </r>
  <r>
    <x v="142"/>
    <s v="Nishant"/>
    <x v="2"/>
    <s v="Karnataka"/>
    <x v="1"/>
    <x v="2"/>
    <x v="3"/>
    <n v="12"/>
    <n v="7535.53"/>
    <x v="154"/>
  </r>
  <r>
    <x v="117"/>
    <s v="Aarohi"/>
    <x v="0"/>
    <s v="Delhi"/>
    <x v="0"/>
    <x v="2"/>
    <x v="9"/>
    <n v="1"/>
    <n v="7442.25"/>
    <x v="155"/>
  </r>
  <r>
    <x v="143"/>
    <s v="Vihaan"/>
    <x v="15"/>
    <s v="Uttar Pradesh"/>
    <x v="0"/>
    <x v="0"/>
    <x v="0"/>
    <n v="20"/>
    <n v="982.13"/>
    <x v="156"/>
  </r>
  <r>
    <x v="144"/>
    <s v="Aarav"/>
    <x v="11"/>
    <s v="Tamil Nadu"/>
    <x v="1"/>
    <x v="3"/>
    <x v="17"/>
    <n v="21"/>
    <n v="2332.92"/>
    <x v="157"/>
  </r>
  <r>
    <x v="145"/>
    <s v="Priya"/>
    <x v="4"/>
    <s v="Delhi"/>
    <x v="0"/>
    <x v="1"/>
    <x v="6"/>
    <n v="24"/>
    <n v="393.11"/>
    <x v="158"/>
  </r>
  <r>
    <x v="146"/>
    <s v="Rohan"/>
    <x v="3"/>
    <s v="Rajasthan"/>
    <x v="0"/>
    <x v="3"/>
    <x v="10"/>
    <n v="5"/>
    <n v="2795.49"/>
    <x v="159"/>
  </r>
  <r>
    <x v="147"/>
    <s v="Neha"/>
    <x v="11"/>
    <s v="Tamil Nadu"/>
    <x v="1"/>
    <x v="3"/>
    <x v="12"/>
    <n v="16"/>
    <n v="3392.37"/>
    <x v="160"/>
  </r>
  <r>
    <x v="146"/>
    <s v="Rohan"/>
    <x v="13"/>
    <s v="Maharashtra"/>
    <x v="2"/>
    <x v="2"/>
    <x v="5"/>
    <n v="5"/>
    <n v="9418.59"/>
    <x v="161"/>
  </r>
  <r>
    <x v="148"/>
    <s v="Kabir"/>
    <x v="9"/>
    <s v="Bihar"/>
    <x v="3"/>
    <x v="4"/>
    <x v="21"/>
    <n v="13"/>
    <n v="25.29"/>
    <x v="162"/>
  </r>
  <r>
    <x v="149"/>
    <s v="Nishant"/>
    <x v="6"/>
    <s v="Telangana"/>
    <x v="1"/>
    <x v="0"/>
    <x v="4"/>
    <n v="19"/>
    <n v="519.13"/>
    <x v="163"/>
  </r>
  <r>
    <x v="140"/>
    <s v="Sanya"/>
    <x v="13"/>
    <s v="Maharashtra"/>
    <x v="2"/>
    <x v="3"/>
    <x v="11"/>
    <n v="1"/>
    <n v="2244.5"/>
    <x v="164"/>
  </r>
  <r>
    <x v="150"/>
    <s v="Rohan"/>
    <x v="2"/>
    <s v="Karnataka"/>
    <x v="1"/>
    <x v="4"/>
    <x v="14"/>
    <n v="15"/>
    <n v="365.57"/>
    <x v="165"/>
  </r>
  <r>
    <x v="151"/>
    <s v="Arjun"/>
    <x v="13"/>
    <s v="Maharashtra"/>
    <x v="2"/>
    <x v="3"/>
    <x v="17"/>
    <n v="2"/>
    <n v="1204.4000000000001"/>
    <x v="166"/>
  </r>
  <r>
    <x v="152"/>
    <s v="Nishant"/>
    <x v="13"/>
    <s v="Maharashtra"/>
    <x v="2"/>
    <x v="3"/>
    <x v="13"/>
    <n v="5"/>
    <n v="1482.53"/>
    <x v="167"/>
  </r>
  <r>
    <x v="153"/>
    <s v="Rahul"/>
    <x v="3"/>
    <s v="Rajasthan"/>
    <x v="0"/>
    <x v="1"/>
    <x v="2"/>
    <n v="14"/>
    <n v="1361.61"/>
    <x v="168"/>
  </r>
  <r>
    <x v="154"/>
    <s v="Yash"/>
    <x v="3"/>
    <s v="Rajasthan"/>
    <x v="0"/>
    <x v="0"/>
    <x v="7"/>
    <n v="23"/>
    <n v="507.58"/>
    <x v="169"/>
  </r>
  <r>
    <x v="155"/>
    <s v="Priya"/>
    <x v="2"/>
    <s v="Karnataka"/>
    <x v="1"/>
    <x v="0"/>
    <x v="7"/>
    <n v="22"/>
    <n v="504.07"/>
    <x v="170"/>
  </r>
  <r>
    <x v="156"/>
    <s v="Sanya"/>
    <x v="4"/>
    <s v="Delhi"/>
    <x v="0"/>
    <x v="2"/>
    <x v="9"/>
    <n v="7"/>
    <n v="11666.17"/>
    <x v="171"/>
  </r>
  <r>
    <x v="36"/>
    <s v="Meera"/>
    <x v="8"/>
    <s v="Karnataka"/>
    <x v="1"/>
    <x v="1"/>
    <x v="18"/>
    <n v="2"/>
    <n v="1605.57"/>
    <x v="172"/>
  </r>
  <r>
    <x v="157"/>
    <s v="Kabir"/>
    <x v="8"/>
    <s v="Karnataka"/>
    <x v="1"/>
    <x v="4"/>
    <x v="21"/>
    <n v="25"/>
    <n v="230.6"/>
    <x v="173"/>
  </r>
  <r>
    <x v="158"/>
    <s v="Aarav"/>
    <x v="2"/>
    <s v="Karnataka"/>
    <x v="1"/>
    <x v="0"/>
    <x v="0"/>
    <n v="20"/>
    <n v="103.12"/>
    <x v="174"/>
  </r>
  <r>
    <x v="159"/>
    <s v="Kabir"/>
    <x v="11"/>
    <s v="Tamil Nadu"/>
    <x v="1"/>
    <x v="3"/>
    <x v="17"/>
    <n v="22"/>
    <n v="3059.28"/>
    <x v="175"/>
  </r>
  <r>
    <x v="126"/>
    <s v="Ishita"/>
    <x v="9"/>
    <s v="Bihar"/>
    <x v="3"/>
    <x v="3"/>
    <x v="13"/>
    <n v="11"/>
    <n v="252.08"/>
    <x v="176"/>
  </r>
  <r>
    <x v="14"/>
    <s v="Vihaan"/>
    <x v="10"/>
    <s v="Maharashtra"/>
    <x v="2"/>
    <x v="2"/>
    <x v="3"/>
    <n v="4"/>
    <n v="9329.49"/>
    <x v="177"/>
  </r>
  <r>
    <x v="160"/>
    <s v="Priya"/>
    <x v="9"/>
    <s v="Bihar"/>
    <x v="3"/>
    <x v="1"/>
    <x v="18"/>
    <n v="15"/>
    <n v="1082.0999999999999"/>
    <x v="178"/>
  </r>
  <r>
    <x v="161"/>
    <s v="Vihaan"/>
    <x v="5"/>
    <s v="Tamil Nadu"/>
    <x v="1"/>
    <x v="2"/>
    <x v="3"/>
    <n v="1"/>
    <n v="2138.67"/>
    <x v="179"/>
  </r>
  <r>
    <x v="162"/>
    <s v="Kabir"/>
    <x v="3"/>
    <s v="Rajasthan"/>
    <x v="0"/>
    <x v="4"/>
    <x v="19"/>
    <n v="23"/>
    <n v="365.69"/>
    <x v="180"/>
  </r>
  <r>
    <x v="107"/>
    <s v="Meera"/>
    <x v="12"/>
    <s v="West Bengal"/>
    <x v="3"/>
    <x v="1"/>
    <x v="2"/>
    <n v="3"/>
    <n v="383.45"/>
    <x v="181"/>
  </r>
  <r>
    <x v="163"/>
    <s v="Simran"/>
    <x v="12"/>
    <s v="West Bengal"/>
    <x v="3"/>
    <x v="2"/>
    <x v="3"/>
    <n v="17"/>
    <n v="4596.43"/>
    <x v="182"/>
  </r>
  <r>
    <x v="164"/>
    <s v="Yash"/>
    <x v="3"/>
    <s v="Rajasthan"/>
    <x v="0"/>
    <x v="4"/>
    <x v="21"/>
    <n v="23"/>
    <n v="63.48"/>
    <x v="183"/>
  </r>
  <r>
    <x v="165"/>
    <s v="Rahul"/>
    <x v="8"/>
    <s v="Karnataka"/>
    <x v="1"/>
    <x v="2"/>
    <x v="9"/>
    <n v="8"/>
    <n v="5845.04"/>
    <x v="184"/>
  </r>
  <r>
    <x v="19"/>
    <s v="Kabir"/>
    <x v="3"/>
    <s v="Rajasthan"/>
    <x v="0"/>
    <x v="4"/>
    <x v="20"/>
    <n v="14"/>
    <n v="138.76"/>
    <x v="185"/>
  </r>
  <r>
    <x v="166"/>
    <s v="Sanya"/>
    <x v="10"/>
    <s v="Maharashtra"/>
    <x v="2"/>
    <x v="2"/>
    <x v="5"/>
    <n v="3"/>
    <n v="10233.6"/>
    <x v="186"/>
  </r>
  <r>
    <x v="167"/>
    <s v="Arjun"/>
    <x v="13"/>
    <s v="Maharashtra"/>
    <x v="2"/>
    <x v="0"/>
    <x v="0"/>
    <n v="18"/>
    <n v="165.98"/>
    <x v="187"/>
  </r>
  <r>
    <x v="168"/>
    <s v="Rahul"/>
    <x v="12"/>
    <s v="West Bengal"/>
    <x v="3"/>
    <x v="4"/>
    <x v="19"/>
    <n v="12"/>
    <n v="351.97"/>
    <x v="188"/>
  </r>
  <r>
    <x v="169"/>
    <s v="Vihaan"/>
    <x v="5"/>
    <s v="Tamil Nadu"/>
    <x v="1"/>
    <x v="1"/>
    <x v="6"/>
    <n v="12"/>
    <n v="341.66"/>
    <x v="189"/>
  </r>
  <r>
    <x v="170"/>
    <s v="Aarav"/>
    <x v="10"/>
    <s v="Maharashtra"/>
    <x v="2"/>
    <x v="2"/>
    <x v="5"/>
    <n v="4"/>
    <n v="5176.2"/>
    <x v="190"/>
  </r>
  <r>
    <x v="171"/>
    <s v="Sanya"/>
    <x v="13"/>
    <s v="Maharashtra"/>
    <x v="2"/>
    <x v="0"/>
    <x v="0"/>
    <n v="14"/>
    <n v="1029.67"/>
    <x v="191"/>
  </r>
  <r>
    <x v="172"/>
    <s v="Yash"/>
    <x v="0"/>
    <s v="Delhi"/>
    <x v="0"/>
    <x v="1"/>
    <x v="6"/>
    <n v="1"/>
    <n v="483.77"/>
    <x v="192"/>
  </r>
  <r>
    <x v="173"/>
    <s v="Aarohi"/>
    <x v="12"/>
    <s v="West Bengal"/>
    <x v="3"/>
    <x v="0"/>
    <x v="7"/>
    <n v="6"/>
    <n v="1056.8499999999999"/>
    <x v="193"/>
  </r>
  <r>
    <x v="174"/>
    <s v="Kabir"/>
    <x v="1"/>
    <s v="Delhi"/>
    <x v="0"/>
    <x v="3"/>
    <x v="17"/>
    <n v="3"/>
    <n v="2662.17"/>
    <x v="194"/>
  </r>
  <r>
    <x v="175"/>
    <s v="Kabir"/>
    <x v="3"/>
    <s v="Rajasthan"/>
    <x v="0"/>
    <x v="2"/>
    <x v="9"/>
    <n v="6"/>
    <n v="5385.56"/>
    <x v="195"/>
  </r>
  <r>
    <x v="176"/>
    <s v="Simran"/>
    <x v="1"/>
    <s v="Delhi"/>
    <x v="0"/>
    <x v="4"/>
    <x v="22"/>
    <n v="6"/>
    <n v="306.69"/>
    <x v="196"/>
  </r>
  <r>
    <x v="177"/>
    <s v="Meera"/>
    <x v="11"/>
    <s v="Tamil Nadu"/>
    <x v="1"/>
    <x v="2"/>
    <x v="3"/>
    <n v="14"/>
    <n v="6599.45"/>
    <x v="197"/>
  </r>
  <r>
    <x v="178"/>
    <s v="Arjun"/>
    <x v="11"/>
    <s v="Tamil Nadu"/>
    <x v="1"/>
    <x v="3"/>
    <x v="13"/>
    <n v="4"/>
    <n v="1339.07"/>
    <x v="198"/>
  </r>
  <r>
    <x v="179"/>
    <s v="Aarohi"/>
    <x v="15"/>
    <s v="Uttar Pradesh"/>
    <x v="0"/>
    <x v="1"/>
    <x v="6"/>
    <n v="2"/>
    <n v="557.96"/>
    <x v="199"/>
  </r>
  <r>
    <x v="180"/>
    <s v="Vihaan"/>
    <x v="0"/>
    <s v="Delhi"/>
    <x v="0"/>
    <x v="3"/>
    <x v="12"/>
    <n v="7"/>
    <n v="2732.25"/>
    <x v="200"/>
  </r>
  <r>
    <x v="166"/>
    <s v="Aarohi"/>
    <x v="12"/>
    <s v="West Bengal"/>
    <x v="3"/>
    <x v="4"/>
    <x v="16"/>
    <n v="16"/>
    <n v="303.87"/>
    <x v="201"/>
  </r>
  <r>
    <x v="181"/>
    <s v="Kabir"/>
    <x v="7"/>
    <s v="Gujarat"/>
    <x v="2"/>
    <x v="1"/>
    <x v="2"/>
    <n v="17"/>
    <n v="1183.6400000000001"/>
    <x v="202"/>
  </r>
  <r>
    <x v="182"/>
    <s v="Sanya"/>
    <x v="1"/>
    <s v="Delhi"/>
    <x v="0"/>
    <x v="2"/>
    <x v="3"/>
    <n v="2"/>
    <n v="6080.31"/>
    <x v="203"/>
  </r>
  <r>
    <x v="92"/>
    <s v="Meera"/>
    <x v="12"/>
    <s v="West Bengal"/>
    <x v="3"/>
    <x v="1"/>
    <x v="1"/>
    <n v="19"/>
    <n v="898.18"/>
    <x v="204"/>
  </r>
  <r>
    <x v="183"/>
    <s v="Arjun"/>
    <x v="5"/>
    <s v="Tamil Nadu"/>
    <x v="1"/>
    <x v="4"/>
    <x v="19"/>
    <n v="1"/>
    <n v="387.16"/>
    <x v="205"/>
  </r>
  <r>
    <x v="184"/>
    <s v="Yash"/>
    <x v="6"/>
    <s v="Telangana"/>
    <x v="1"/>
    <x v="0"/>
    <x v="7"/>
    <n v="14"/>
    <n v="1028.93"/>
    <x v="206"/>
  </r>
  <r>
    <x v="157"/>
    <s v="Arjun"/>
    <x v="7"/>
    <s v="Gujarat"/>
    <x v="2"/>
    <x v="1"/>
    <x v="18"/>
    <n v="13"/>
    <n v="1760.47"/>
    <x v="207"/>
  </r>
  <r>
    <x v="185"/>
    <s v="Riya"/>
    <x v="12"/>
    <s v="West Bengal"/>
    <x v="3"/>
    <x v="3"/>
    <x v="17"/>
    <n v="17"/>
    <n v="2289.64"/>
    <x v="208"/>
  </r>
  <r>
    <x v="21"/>
    <s v="Neha"/>
    <x v="8"/>
    <s v="Karnataka"/>
    <x v="1"/>
    <x v="0"/>
    <x v="4"/>
    <n v="24"/>
    <n v="1154.05"/>
    <x v="209"/>
  </r>
  <r>
    <x v="156"/>
    <s v="Kabir"/>
    <x v="2"/>
    <s v="Karnataka"/>
    <x v="1"/>
    <x v="4"/>
    <x v="22"/>
    <n v="9"/>
    <n v="94.96"/>
    <x v="210"/>
  </r>
  <r>
    <x v="186"/>
    <s v="Kabir"/>
    <x v="1"/>
    <s v="Delhi"/>
    <x v="0"/>
    <x v="3"/>
    <x v="11"/>
    <n v="15"/>
    <n v="2689.67"/>
    <x v="211"/>
  </r>
  <r>
    <x v="187"/>
    <s v="Priya"/>
    <x v="12"/>
    <s v="West Bengal"/>
    <x v="3"/>
    <x v="0"/>
    <x v="0"/>
    <n v="15"/>
    <n v="175.11"/>
    <x v="212"/>
  </r>
  <r>
    <x v="178"/>
    <s v="Aarohi"/>
    <x v="11"/>
    <s v="Tamil Nadu"/>
    <x v="1"/>
    <x v="1"/>
    <x v="18"/>
    <n v="12"/>
    <n v="1088.57"/>
    <x v="213"/>
  </r>
  <r>
    <x v="188"/>
    <s v="Priya"/>
    <x v="6"/>
    <s v="Telangana"/>
    <x v="1"/>
    <x v="4"/>
    <x v="16"/>
    <n v="12"/>
    <n v="336.04"/>
    <x v="214"/>
  </r>
  <r>
    <x v="189"/>
    <s v="Meera"/>
    <x v="7"/>
    <s v="Gujarat"/>
    <x v="2"/>
    <x v="2"/>
    <x v="3"/>
    <n v="18"/>
    <n v="11519.43"/>
    <x v="215"/>
  </r>
  <r>
    <x v="190"/>
    <s v="Priya"/>
    <x v="8"/>
    <s v="Karnataka"/>
    <x v="1"/>
    <x v="0"/>
    <x v="8"/>
    <n v="17"/>
    <n v="265.95"/>
    <x v="216"/>
  </r>
  <r>
    <x v="191"/>
    <s v="Priya"/>
    <x v="13"/>
    <s v="Maharashtra"/>
    <x v="2"/>
    <x v="0"/>
    <x v="7"/>
    <n v="17"/>
    <n v="810.74"/>
    <x v="217"/>
  </r>
  <r>
    <x v="118"/>
    <s v="Riya"/>
    <x v="6"/>
    <s v="Telangana"/>
    <x v="1"/>
    <x v="2"/>
    <x v="3"/>
    <n v="17"/>
    <n v="7902.96"/>
    <x v="218"/>
  </r>
  <r>
    <x v="192"/>
    <s v="Sanya"/>
    <x v="5"/>
    <s v="Tamil Nadu"/>
    <x v="1"/>
    <x v="2"/>
    <x v="9"/>
    <n v="25"/>
    <n v="5052.8599999999997"/>
    <x v="219"/>
  </r>
  <r>
    <x v="193"/>
    <s v="Vihaan"/>
    <x v="12"/>
    <s v="West Bengal"/>
    <x v="3"/>
    <x v="4"/>
    <x v="20"/>
    <n v="4"/>
    <n v="232.03"/>
    <x v="220"/>
  </r>
  <r>
    <x v="194"/>
    <s v="Aarohi"/>
    <x v="11"/>
    <s v="Tamil Nadu"/>
    <x v="1"/>
    <x v="1"/>
    <x v="2"/>
    <n v="11"/>
    <n v="300.77999999999997"/>
    <x v="221"/>
  </r>
  <r>
    <x v="99"/>
    <s v="Kabir"/>
    <x v="9"/>
    <s v="Bihar"/>
    <x v="3"/>
    <x v="0"/>
    <x v="8"/>
    <n v="5"/>
    <n v="754.55"/>
    <x v="222"/>
  </r>
  <r>
    <x v="195"/>
    <s v="Aarohi"/>
    <x v="7"/>
    <s v="Gujarat"/>
    <x v="2"/>
    <x v="0"/>
    <x v="0"/>
    <n v="22"/>
    <n v="873.11"/>
    <x v="223"/>
  </r>
  <r>
    <x v="196"/>
    <s v="Neha"/>
    <x v="1"/>
    <s v="Delhi"/>
    <x v="0"/>
    <x v="2"/>
    <x v="3"/>
    <n v="12"/>
    <n v="1691.42"/>
    <x v="224"/>
  </r>
  <r>
    <x v="145"/>
    <s v="Ananya"/>
    <x v="8"/>
    <s v="Karnataka"/>
    <x v="1"/>
    <x v="0"/>
    <x v="8"/>
    <n v="7"/>
    <n v="349.2"/>
    <x v="225"/>
  </r>
  <r>
    <x v="197"/>
    <s v="Kabir"/>
    <x v="1"/>
    <s v="Delhi"/>
    <x v="0"/>
    <x v="0"/>
    <x v="7"/>
    <n v="17"/>
    <n v="947.96"/>
    <x v="226"/>
  </r>
  <r>
    <x v="198"/>
    <s v="Vihaan"/>
    <x v="12"/>
    <s v="West Bengal"/>
    <x v="3"/>
    <x v="1"/>
    <x v="2"/>
    <n v="20"/>
    <n v="846.93"/>
    <x v="227"/>
  </r>
  <r>
    <x v="199"/>
    <s v="Ananya"/>
    <x v="14"/>
    <s v="Maharashtra"/>
    <x v="2"/>
    <x v="2"/>
    <x v="5"/>
    <n v="14"/>
    <n v="5325.14"/>
    <x v="228"/>
  </r>
  <r>
    <x v="200"/>
    <s v="Priya"/>
    <x v="5"/>
    <s v="Tamil Nadu"/>
    <x v="1"/>
    <x v="2"/>
    <x v="5"/>
    <n v="18"/>
    <n v="4011.27"/>
    <x v="229"/>
  </r>
  <r>
    <x v="201"/>
    <s v="Aarav"/>
    <x v="9"/>
    <s v="Bihar"/>
    <x v="3"/>
    <x v="1"/>
    <x v="1"/>
    <n v="15"/>
    <n v="1573.46"/>
    <x v="230"/>
  </r>
  <r>
    <x v="139"/>
    <s v="Neha"/>
    <x v="3"/>
    <s v="Rajasthan"/>
    <x v="0"/>
    <x v="3"/>
    <x v="10"/>
    <n v="20"/>
    <n v="656.72"/>
    <x v="231"/>
  </r>
  <r>
    <x v="202"/>
    <s v="Vihaan"/>
    <x v="15"/>
    <s v="Uttar Pradesh"/>
    <x v="0"/>
    <x v="0"/>
    <x v="7"/>
    <n v="23"/>
    <n v="1030.48"/>
    <x v="232"/>
  </r>
  <r>
    <x v="203"/>
    <s v="Aarohi"/>
    <x v="1"/>
    <s v="Delhi"/>
    <x v="0"/>
    <x v="3"/>
    <x v="12"/>
    <n v="15"/>
    <n v="3187.51"/>
    <x v="233"/>
  </r>
  <r>
    <x v="204"/>
    <s v="Arjun"/>
    <x v="1"/>
    <s v="Delhi"/>
    <x v="0"/>
    <x v="3"/>
    <x v="11"/>
    <n v="12"/>
    <n v="3270.56"/>
    <x v="234"/>
  </r>
  <r>
    <x v="205"/>
    <s v="Vihaan"/>
    <x v="7"/>
    <s v="Gujarat"/>
    <x v="2"/>
    <x v="1"/>
    <x v="6"/>
    <n v="8"/>
    <n v="864.41"/>
    <x v="235"/>
  </r>
  <r>
    <x v="206"/>
    <s v="Sanya"/>
    <x v="2"/>
    <s v="Karnataka"/>
    <x v="1"/>
    <x v="4"/>
    <x v="20"/>
    <n v="4"/>
    <n v="338.89"/>
    <x v="236"/>
  </r>
  <r>
    <x v="207"/>
    <s v="Rohan"/>
    <x v="10"/>
    <s v="Maharashtra"/>
    <x v="2"/>
    <x v="3"/>
    <x v="17"/>
    <n v="10"/>
    <n v="3227.41"/>
    <x v="237"/>
  </r>
  <r>
    <x v="208"/>
    <s v="Kabir"/>
    <x v="15"/>
    <s v="Uttar Pradesh"/>
    <x v="0"/>
    <x v="2"/>
    <x v="3"/>
    <n v="1"/>
    <n v="11011.5"/>
    <x v="238"/>
  </r>
  <r>
    <x v="209"/>
    <s v="Aditi"/>
    <x v="8"/>
    <s v="Karnataka"/>
    <x v="1"/>
    <x v="3"/>
    <x v="13"/>
    <n v="24"/>
    <n v="2209.3000000000002"/>
    <x v="239"/>
  </r>
  <r>
    <x v="169"/>
    <s v="Nishant"/>
    <x v="5"/>
    <s v="Tamil Nadu"/>
    <x v="1"/>
    <x v="3"/>
    <x v="12"/>
    <n v="4"/>
    <n v="357.57"/>
    <x v="240"/>
  </r>
  <r>
    <x v="210"/>
    <s v="Yash"/>
    <x v="6"/>
    <s v="Telangana"/>
    <x v="1"/>
    <x v="4"/>
    <x v="16"/>
    <n v="16"/>
    <n v="246.76"/>
    <x v="241"/>
  </r>
  <r>
    <x v="211"/>
    <s v="Neha"/>
    <x v="2"/>
    <s v="Karnataka"/>
    <x v="1"/>
    <x v="3"/>
    <x v="12"/>
    <n v="14"/>
    <n v="205.16"/>
    <x v="242"/>
  </r>
  <r>
    <x v="212"/>
    <s v="Riya"/>
    <x v="3"/>
    <s v="Rajasthan"/>
    <x v="0"/>
    <x v="3"/>
    <x v="17"/>
    <n v="17"/>
    <n v="3416.36"/>
    <x v="243"/>
  </r>
  <r>
    <x v="28"/>
    <s v="Neha"/>
    <x v="0"/>
    <s v="Delhi"/>
    <x v="0"/>
    <x v="2"/>
    <x v="9"/>
    <n v="2"/>
    <n v="8174.54"/>
    <x v="244"/>
  </r>
  <r>
    <x v="213"/>
    <s v="Aditi"/>
    <x v="0"/>
    <s v="Delhi"/>
    <x v="0"/>
    <x v="0"/>
    <x v="7"/>
    <n v="12"/>
    <n v="365.24"/>
    <x v="245"/>
  </r>
  <r>
    <x v="214"/>
    <s v="Nishant"/>
    <x v="12"/>
    <s v="West Bengal"/>
    <x v="3"/>
    <x v="3"/>
    <x v="17"/>
    <n v="12"/>
    <n v="2001.85"/>
    <x v="246"/>
  </r>
  <r>
    <x v="215"/>
    <s v="Ananya"/>
    <x v="6"/>
    <s v="Telangana"/>
    <x v="1"/>
    <x v="2"/>
    <x v="3"/>
    <n v="6"/>
    <n v="10020.73"/>
    <x v="247"/>
  </r>
  <r>
    <x v="216"/>
    <s v="Priya"/>
    <x v="4"/>
    <s v="Delhi"/>
    <x v="0"/>
    <x v="0"/>
    <x v="0"/>
    <n v="2"/>
    <n v="970.22"/>
    <x v="248"/>
  </r>
  <r>
    <x v="190"/>
    <s v="Rohan"/>
    <x v="5"/>
    <s v="Tamil Nadu"/>
    <x v="1"/>
    <x v="1"/>
    <x v="1"/>
    <n v="18"/>
    <n v="1025.79"/>
    <x v="249"/>
  </r>
  <r>
    <x v="217"/>
    <s v="Aarav"/>
    <x v="5"/>
    <s v="Tamil Nadu"/>
    <x v="1"/>
    <x v="0"/>
    <x v="7"/>
    <n v="21"/>
    <n v="465.12"/>
    <x v="250"/>
  </r>
  <r>
    <x v="203"/>
    <s v="Sanya"/>
    <x v="3"/>
    <s v="Rajasthan"/>
    <x v="0"/>
    <x v="2"/>
    <x v="3"/>
    <n v="15"/>
    <n v="10893.69"/>
    <x v="251"/>
  </r>
  <r>
    <x v="194"/>
    <s v="Rohan"/>
    <x v="14"/>
    <s v="Maharashtra"/>
    <x v="2"/>
    <x v="2"/>
    <x v="3"/>
    <n v="16"/>
    <n v="5357.14"/>
    <x v="252"/>
  </r>
  <r>
    <x v="218"/>
    <s v="Aditi"/>
    <x v="1"/>
    <s v="Delhi"/>
    <x v="0"/>
    <x v="2"/>
    <x v="5"/>
    <n v="14"/>
    <n v="7825.76"/>
    <x v="253"/>
  </r>
  <r>
    <x v="219"/>
    <s v="Rahul"/>
    <x v="5"/>
    <s v="Tamil Nadu"/>
    <x v="1"/>
    <x v="0"/>
    <x v="7"/>
    <n v="3"/>
    <n v="460.71"/>
    <x v="254"/>
  </r>
  <r>
    <x v="146"/>
    <s v="Aarohi"/>
    <x v="6"/>
    <s v="Telangana"/>
    <x v="1"/>
    <x v="1"/>
    <x v="1"/>
    <n v="6"/>
    <n v="1426.06"/>
    <x v="255"/>
  </r>
  <r>
    <x v="220"/>
    <s v="Priya"/>
    <x v="4"/>
    <s v="Delhi"/>
    <x v="0"/>
    <x v="0"/>
    <x v="8"/>
    <n v="9"/>
    <n v="803.42"/>
    <x v="256"/>
  </r>
  <r>
    <x v="221"/>
    <s v="Meera"/>
    <x v="7"/>
    <s v="Gujarat"/>
    <x v="2"/>
    <x v="0"/>
    <x v="0"/>
    <n v="1"/>
    <n v="257.06"/>
    <x v="257"/>
  </r>
  <r>
    <x v="222"/>
    <s v="Priya"/>
    <x v="4"/>
    <s v="Delhi"/>
    <x v="0"/>
    <x v="3"/>
    <x v="17"/>
    <n v="8"/>
    <n v="2769.1"/>
    <x v="258"/>
  </r>
  <r>
    <x v="223"/>
    <s v="Sanya"/>
    <x v="7"/>
    <s v="Gujarat"/>
    <x v="2"/>
    <x v="1"/>
    <x v="18"/>
    <n v="20"/>
    <n v="433.86"/>
    <x v="259"/>
  </r>
  <r>
    <x v="224"/>
    <s v="Sanya"/>
    <x v="9"/>
    <s v="Bihar"/>
    <x v="3"/>
    <x v="2"/>
    <x v="5"/>
    <n v="19"/>
    <n v="2945.8"/>
    <x v="260"/>
  </r>
  <r>
    <x v="223"/>
    <s v="Kabir"/>
    <x v="12"/>
    <s v="West Bengal"/>
    <x v="3"/>
    <x v="0"/>
    <x v="0"/>
    <n v="4"/>
    <n v="128.5"/>
    <x v="261"/>
  </r>
  <r>
    <x v="225"/>
    <s v="Karan"/>
    <x v="7"/>
    <s v="Gujarat"/>
    <x v="2"/>
    <x v="1"/>
    <x v="18"/>
    <n v="9"/>
    <n v="1583.68"/>
    <x v="262"/>
  </r>
  <r>
    <x v="137"/>
    <s v="Priya"/>
    <x v="8"/>
    <s v="Karnataka"/>
    <x v="1"/>
    <x v="1"/>
    <x v="6"/>
    <n v="23"/>
    <n v="1845.49"/>
    <x v="263"/>
  </r>
  <r>
    <x v="226"/>
    <s v="Aarav"/>
    <x v="13"/>
    <s v="Maharashtra"/>
    <x v="2"/>
    <x v="3"/>
    <x v="17"/>
    <n v="15"/>
    <n v="769.77"/>
    <x v="264"/>
  </r>
  <r>
    <x v="227"/>
    <s v="Priya"/>
    <x v="1"/>
    <s v="Delhi"/>
    <x v="0"/>
    <x v="0"/>
    <x v="4"/>
    <n v="23"/>
    <n v="171.43"/>
    <x v="265"/>
  </r>
  <r>
    <x v="228"/>
    <s v="Aarohi"/>
    <x v="5"/>
    <s v="Tamil Nadu"/>
    <x v="1"/>
    <x v="3"/>
    <x v="10"/>
    <n v="12"/>
    <n v="1878.89"/>
    <x v="266"/>
  </r>
  <r>
    <x v="229"/>
    <s v="Aarav"/>
    <x v="10"/>
    <s v="Maharashtra"/>
    <x v="2"/>
    <x v="3"/>
    <x v="11"/>
    <n v="1"/>
    <n v="1390.96"/>
    <x v="267"/>
  </r>
  <r>
    <x v="230"/>
    <s v="Sanya"/>
    <x v="6"/>
    <s v="Telangana"/>
    <x v="1"/>
    <x v="1"/>
    <x v="2"/>
    <n v="20"/>
    <n v="1785.86"/>
    <x v="268"/>
  </r>
  <r>
    <x v="231"/>
    <s v="Aarohi"/>
    <x v="7"/>
    <s v="Gujarat"/>
    <x v="2"/>
    <x v="2"/>
    <x v="3"/>
    <n v="14"/>
    <n v="9576.23"/>
    <x v="269"/>
  </r>
  <r>
    <x v="232"/>
    <s v="Meera"/>
    <x v="10"/>
    <s v="Maharashtra"/>
    <x v="2"/>
    <x v="0"/>
    <x v="7"/>
    <n v="15"/>
    <n v="612.41999999999996"/>
    <x v="270"/>
  </r>
  <r>
    <x v="233"/>
    <s v="Sanya"/>
    <x v="10"/>
    <s v="Maharashtra"/>
    <x v="2"/>
    <x v="1"/>
    <x v="2"/>
    <n v="25"/>
    <n v="1937.59"/>
    <x v="271"/>
  </r>
  <r>
    <x v="234"/>
    <s v="Neha"/>
    <x v="4"/>
    <s v="Delhi"/>
    <x v="0"/>
    <x v="4"/>
    <x v="15"/>
    <n v="5"/>
    <n v="135.57"/>
    <x v="272"/>
  </r>
  <r>
    <x v="50"/>
    <s v="Rohan"/>
    <x v="2"/>
    <s v="Karnataka"/>
    <x v="1"/>
    <x v="0"/>
    <x v="4"/>
    <n v="3"/>
    <n v="375.67"/>
    <x v="273"/>
  </r>
  <r>
    <x v="235"/>
    <s v="Rahul"/>
    <x v="11"/>
    <s v="Tamil Nadu"/>
    <x v="1"/>
    <x v="3"/>
    <x v="12"/>
    <n v="20"/>
    <n v="1960.48"/>
    <x v="274"/>
  </r>
  <r>
    <x v="38"/>
    <s v="Ananya"/>
    <x v="10"/>
    <s v="Maharashtra"/>
    <x v="2"/>
    <x v="3"/>
    <x v="13"/>
    <n v="24"/>
    <n v="3176.6"/>
    <x v="275"/>
  </r>
  <r>
    <x v="236"/>
    <s v="Simran"/>
    <x v="4"/>
    <s v="Delhi"/>
    <x v="0"/>
    <x v="4"/>
    <x v="16"/>
    <n v="2"/>
    <n v="380.45"/>
    <x v="276"/>
  </r>
  <r>
    <x v="237"/>
    <s v="Aditi"/>
    <x v="8"/>
    <s v="Karnataka"/>
    <x v="1"/>
    <x v="1"/>
    <x v="1"/>
    <n v="20"/>
    <n v="1332.13"/>
    <x v="277"/>
  </r>
  <r>
    <x v="238"/>
    <s v="Rahul"/>
    <x v="5"/>
    <s v="Tamil Nadu"/>
    <x v="1"/>
    <x v="0"/>
    <x v="8"/>
    <n v="8"/>
    <n v="985.16"/>
    <x v="278"/>
  </r>
  <r>
    <x v="196"/>
    <s v="Kabir"/>
    <x v="5"/>
    <s v="Tamil Nadu"/>
    <x v="1"/>
    <x v="2"/>
    <x v="5"/>
    <n v="23"/>
    <n v="2129.09"/>
    <x v="279"/>
  </r>
  <r>
    <x v="239"/>
    <s v="Arjun"/>
    <x v="15"/>
    <s v="Uttar Pradesh"/>
    <x v="0"/>
    <x v="2"/>
    <x v="5"/>
    <n v="11"/>
    <n v="7869.93"/>
    <x v="280"/>
  </r>
  <r>
    <x v="240"/>
    <s v="Rohan"/>
    <x v="9"/>
    <s v="Bihar"/>
    <x v="3"/>
    <x v="2"/>
    <x v="5"/>
    <n v="25"/>
    <n v="5390.67"/>
    <x v="281"/>
  </r>
  <r>
    <x v="168"/>
    <s v="Nishant"/>
    <x v="12"/>
    <s v="West Bengal"/>
    <x v="3"/>
    <x v="3"/>
    <x v="11"/>
    <n v="4"/>
    <n v="1082.6600000000001"/>
    <x v="282"/>
  </r>
  <r>
    <x v="26"/>
    <s v="Kabir"/>
    <x v="13"/>
    <s v="Maharashtra"/>
    <x v="2"/>
    <x v="4"/>
    <x v="20"/>
    <n v="13"/>
    <n v="348.38"/>
    <x v="283"/>
  </r>
  <r>
    <x v="241"/>
    <s v="Riya"/>
    <x v="14"/>
    <s v="Maharashtra"/>
    <x v="2"/>
    <x v="0"/>
    <x v="4"/>
    <n v="7"/>
    <n v="939.43"/>
    <x v="284"/>
  </r>
  <r>
    <x v="242"/>
    <s v="Neha"/>
    <x v="6"/>
    <s v="Telangana"/>
    <x v="1"/>
    <x v="2"/>
    <x v="9"/>
    <n v="16"/>
    <n v="1743.35"/>
    <x v="285"/>
  </r>
  <r>
    <x v="243"/>
    <s v="Neha"/>
    <x v="6"/>
    <s v="Telangana"/>
    <x v="1"/>
    <x v="3"/>
    <x v="10"/>
    <n v="19"/>
    <n v="1364.55"/>
    <x v="286"/>
  </r>
  <r>
    <x v="72"/>
    <s v="Aarohi"/>
    <x v="15"/>
    <s v="Uttar Pradesh"/>
    <x v="0"/>
    <x v="1"/>
    <x v="1"/>
    <n v="10"/>
    <n v="1142.8800000000001"/>
    <x v="287"/>
  </r>
  <r>
    <x v="244"/>
    <s v="Arjun"/>
    <x v="10"/>
    <s v="Maharashtra"/>
    <x v="2"/>
    <x v="0"/>
    <x v="4"/>
    <n v="25"/>
    <n v="543.58000000000004"/>
    <x v="288"/>
  </r>
  <r>
    <x v="104"/>
    <s v="Kabir"/>
    <x v="4"/>
    <s v="Delhi"/>
    <x v="0"/>
    <x v="1"/>
    <x v="2"/>
    <n v="12"/>
    <n v="1173.46"/>
    <x v="289"/>
  </r>
  <r>
    <x v="107"/>
    <s v="Kabir"/>
    <x v="6"/>
    <s v="Telangana"/>
    <x v="1"/>
    <x v="1"/>
    <x v="6"/>
    <n v="20"/>
    <n v="1408.74"/>
    <x v="290"/>
  </r>
  <r>
    <x v="245"/>
    <s v="Kabir"/>
    <x v="13"/>
    <s v="Maharashtra"/>
    <x v="2"/>
    <x v="2"/>
    <x v="9"/>
    <n v="11"/>
    <n v="7357.23"/>
    <x v="291"/>
  </r>
  <r>
    <x v="147"/>
    <s v="Kabir"/>
    <x v="8"/>
    <s v="Karnataka"/>
    <x v="1"/>
    <x v="1"/>
    <x v="1"/>
    <n v="17"/>
    <n v="224.47"/>
    <x v="292"/>
  </r>
  <r>
    <x v="246"/>
    <s v="Kabir"/>
    <x v="12"/>
    <s v="West Bengal"/>
    <x v="3"/>
    <x v="2"/>
    <x v="3"/>
    <n v="15"/>
    <n v="3063.88"/>
    <x v="293"/>
  </r>
  <r>
    <x v="247"/>
    <s v="Kabir"/>
    <x v="12"/>
    <s v="West Bengal"/>
    <x v="3"/>
    <x v="1"/>
    <x v="6"/>
    <n v="6"/>
    <n v="876.97"/>
    <x v="294"/>
  </r>
  <r>
    <x v="248"/>
    <s v="Aarohi"/>
    <x v="12"/>
    <s v="West Bengal"/>
    <x v="3"/>
    <x v="1"/>
    <x v="1"/>
    <n v="23"/>
    <n v="1191.4100000000001"/>
    <x v="295"/>
  </r>
  <r>
    <x v="69"/>
    <s v="Ishita"/>
    <x v="9"/>
    <s v="Bihar"/>
    <x v="3"/>
    <x v="0"/>
    <x v="7"/>
    <n v="14"/>
    <n v="742.07"/>
    <x v="296"/>
  </r>
  <r>
    <x v="249"/>
    <s v="Ishita"/>
    <x v="15"/>
    <s v="Uttar Pradesh"/>
    <x v="0"/>
    <x v="0"/>
    <x v="0"/>
    <n v="24"/>
    <n v="156.49"/>
    <x v="297"/>
  </r>
  <r>
    <x v="250"/>
    <s v="Ananya"/>
    <x v="7"/>
    <s v="Gujarat"/>
    <x v="2"/>
    <x v="3"/>
    <x v="10"/>
    <n v="2"/>
    <n v="2089.48"/>
    <x v="298"/>
  </r>
  <r>
    <x v="251"/>
    <s v="Nishant"/>
    <x v="8"/>
    <s v="Karnataka"/>
    <x v="1"/>
    <x v="4"/>
    <x v="19"/>
    <n v="11"/>
    <n v="179.14"/>
    <x v="299"/>
  </r>
  <r>
    <x v="252"/>
    <s v="Aarav"/>
    <x v="3"/>
    <s v="Rajasthan"/>
    <x v="0"/>
    <x v="1"/>
    <x v="1"/>
    <n v="24"/>
    <n v="1495.69"/>
    <x v="300"/>
  </r>
  <r>
    <x v="253"/>
    <s v="Kabir"/>
    <x v="8"/>
    <s v="Karnataka"/>
    <x v="1"/>
    <x v="1"/>
    <x v="6"/>
    <n v="22"/>
    <n v="1034.99"/>
    <x v="301"/>
  </r>
  <r>
    <x v="254"/>
    <s v="Rohan"/>
    <x v="14"/>
    <s v="Maharashtra"/>
    <x v="2"/>
    <x v="2"/>
    <x v="3"/>
    <n v="11"/>
    <n v="7235.87"/>
    <x v="302"/>
  </r>
  <r>
    <x v="255"/>
    <s v="Aditi"/>
    <x v="15"/>
    <s v="Uttar Pradesh"/>
    <x v="0"/>
    <x v="3"/>
    <x v="10"/>
    <n v="9"/>
    <n v="2041.69"/>
    <x v="303"/>
  </r>
  <r>
    <x v="128"/>
    <s v="Aarohi"/>
    <x v="5"/>
    <s v="Tamil Nadu"/>
    <x v="1"/>
    <x v="3"/>
    <x v="11"/>
    <n v="11"/>
    <n v="1783.35"/>
    <x v="304"/>
  </r>
  <r>
    <x v="256"/>
    <s v="Aditi"/>
    <x v="5"/>
    <s v="Tamil Nadu"/>
    <x v="1"/>
    <x v="4"/>
    <x v="15"/>
    <n v="22"/>
    <n v="226.41"/>
    <x v="305"/>
  </r>
  <r>
    <x v="257"/>
    <s v="Sanya"/>
    <x v="10"/>
    <s v="Maharashtra"/>
    <x v="2"/>
    <x v="0"/>
    <x v="7"/>
    <n v="10"/>
    <n v="1150.8499999999999"/>
    <x v="306"/>
  </r>
  <r>
    <x v="258"/>
    <s v="Sanya"/>
    <x v="6"/>
    <s v="Telangana"/>
    <x v="1"/>
    <x v="0"/>
    <x v="8"/>
    <n v="7"/>
    <n v="322.27"/>
    <x v="307"/>
  </r>
  <r>
    <x v="93"/>
    <s v="Aditi"/>
    <x v="11"/>
    <s v="Tamil Nadu"/>
    <x v="1"/>
    <x v="3"/>
    <x v="17"/>
    <n v="20"/>
    <n v="2644.94"/>
    <x v="308"/>
  </r>
  <r>
    <x v="259"/>
    <s v="Riya"/>
    <x v="4"/>
    <s v="Delhi"/>
    <x v="0"/>
    <x v="1"/>
    <x v="2"/>
    <n v="21"/>
    <n v="580.75"/>
    <x v="309"/>
  </r>
  <r>
    <x v="260"/>
    <s v="Arjun"/>
    <x v="12"/>
    <s v="West Bengal"/>
    <x v="3"/>
    <x v="2"/>
    <x v="5"/>
    <n v="22"/>
    <n v="9593.0400000000009"/>
    <x v="310"/>
  </r>
  <r>
    <x v="71"/>
    <s v="Rahul"/>
    <x v="14"/>
    <s v="Maharashtra"/>
    <x v="2"/>
    <x v="2"/>
    <x v="3"/>
    <n v="16"/>
    <n v="6513.21"/>
    <x v="311"/>
  </r>
  <r>
    <x v="85"/>
    <s v="Aarohi"/>
    <x v="12"/>
    <s v="West Bengal"/>
    <x v="3"/>
    <x v="0"/>
    <x v="7"/>
    <n v="25"/>
    <n v="198.41"/>
    <x v="312"/>
  </r>
  <r>
    <x v="105"/>
    <s v="Riya"/>
    <x v="4"/>
    <s v="Delhi"/>
    <x v="0"/>
    <x v="3"/>
    <x v="11"/>
    <n v="6"/>
    <n v="3281.94"/>
    <x v="313"/>
  </r>
  <r>
    <x v="217"/>
    <s v="Kabir"/>
    <x v="15"/>
    <s v="Uttar Pradesh"/>
    <x v="0"/>
    <x v="3"/>
    <x v="12"/>
    <n v="2"/>
    <n v="230.58"/>
    <x v="314"/>
  </r>
  <r>
    <x v="261"/>
    <s v="Yash"/>
    <x v="13"/>
    <s v="Maharashtra"/>
    <x v="2"/>
    <x v="0"/>
    <x v="4"/>
    <n v="15"/>
    <n v="1188.01"/>
    <x v="315"/>
  </r>
  <r>
    <x v="262"/>
    <s v="Neha"/>
    <x v="15"/>
    <s v="Uttar Pradesh"/>
    <x v="0"/>
    <x v="3"/>
    <x v="13"/>
    <n v="15"/>
    <n v="1100.3599999999999"/>
    <x v="316"/>
  </r>
  <r>
    <x v="263"/>
    <s v="Rohan"/>
    <x v="14"/>
    <s v="Maharashtra"/>
    <x v="2"/>
    <x v="2"/>
    <x v="3"/>
    <n v="9"/>
    <n v="9045.2800000000007"/>
    <x v="317"/>
  </r>
  <r>
    <x v="264"/>
    <s v="Rohan"/>
    <x v="5"/>
    <s v="Tamil Nadu"/>
    <x v="1"/>
    <x v="1"/>
    <x v="2"/>
    <n v="6"/>
    <n v="1280.27"/>
    <x v="318"/>
  </r>
  <r>
    <x v="0"/>
    <s v="Kabir"/>
    <x v="3"/>
    <s v="Rajasthan"/>
    <x v="0"/>
    <x v="1"/>
    <x v="6"/>
    <n v="3"/>
    <n v="891.54"/>
    <x v="319"/>
  </r>
  <r>
    <x v="265"/>
    <s v="Ananya"/>
    <x v="10"/>
    <s v="Maharashtra"/>
    <x v="2"/>
    <x v="2"/>
    <x v="9"/>
    <n v="8"/>
    <n v="1571.72"/>
    <x v="320"/>
  </r>
  <r>
    <x v="266"/>
    <s v="Riya"/>
    <x v="6"/>
    <s v="Telangana"/>
    <x v="1"/>
    <x v="0"/>
    <x v="4"/>
    <n v="10"/>
    <n v="740.71"/>
    <x v="321"/>
  </r>
  <r>
    <x v="230"/>
    <s v="Ishita"/>
    <x v="11"/>
    <s v="Tamil Nadu"/>
    <x v="1"/>
    <x v="0"/>
    <x v="0"/>
    <n v="2"/>
    <n v="834.56"/>
    <x v="322"/>
  </r>
  <r>
    <x v="267"/>
    <s v="Aarohi"/>
    <x v="14"/>
    <s v="Maharashtra"/>
    <x v="2"/>
    <x v="2"/>
    <x v="3"/>
    <n v="17"/>
    <n v="11192.61"/>
    <x v="323"/>
  </r>
  <r>
    <x v="137"/>
    <s v="Aarohi"/>
    <x v="13"/>
    <s v="Maharashtra"/>
    <x v="2"/>
    <x v="0"/>
    <x v="4"/>
    <n v="20"/>
    <n v="342.93"/>
    <x v="324"/>
  </r>
  <r>
    <x v="268"/>
    <s v="Karan"/>
    <x v="10"/>
    <s v="Maharashtra"/>
    <x v="2"/>
    <x v="2"/>
    <x v="3"/>
    <n v="20"/>
    <n v="5423.06"/>
    <x v="325"/>
  </r>
  <r>
    <x v="269"/>
    <s v="Rahul"/>
    <x v="15"/>
    <s v="Uttar Pradesh"/>
    <x v="0"/>
    <x v="1"/>
    <x v="2"/>
    <n v="25"/>
    <n v="607.80999999999995"/>
    <x v="326"/>
  </r>
  <r>
    <x v="270"/>
    <s v="Meera"/>
    <x v="6"/>
    <s v="Telangana"/>
    <x v="1"/>
    <x v="1"/>
    <x v="6"/>
    <n v="3"/>
    <n v="1846.9"/>
    <x v="327"/>
  </r>
  <r>
    <x v="271"/>
    <s v="Vihaan"/>
    <x v="8"/>
    <s v="Karnataka"/>
    <x v="1"/>
    <x v="1"/>
    <x v="2"/>
    <n v="6"/>
    <n v="757.02"/>
    <x v="328"/>
  </r>
  <r>
    <x v="272"/>
    <s v="Priya"/>
    <x v="13"/>
    <s v="Maharashtra"/>
    <x v="2"/>
    <x v="3"/>
    <x v="13"/>
    <n v="16"/>
    <n v="500.11"/>
    <x v="329"/>
  </r>
  <r>
    <x v="273"/>
    <s v="Priya"/>
    <x v="4"/>
    <s v="Delhi"/>
    <x v="0"/>
    <x v="2"/>
    <x v="5"/>
    <n v="17"/>
    <n v="5861.96"/>
    <x v="330"/>
  </r>
  <r>
    <x v="86"/>
    <s v="Vihaan"/>
    <x v="6"/>
    <s v="Telangana"/>
    <x v="1"/>
    <x v="0"/>
    <x v="7"/>
    <n v="13"/>
    <n v="379.9"/>
    <x v="331"/>
  </r>
  <r>
    <x v="274"/>
    <s v="Aarav"/>
    <x v="1"/>
    <s v="Delhi"/>
    <x v="0"/>
    <x v="4"/>
    <x v="19"/>
    <n v="12"/>
    <n v="286.14999999999998"/>
    <x v="332"/>
  </r>
  <r>
    <x v="275"/>
    <s v="Vihaan"/>
    <x v="1"/>
    <s v="Delhi"/>
    <x v="0"/>
    <x v="2"/>
    <x v="5"/>
    <n v="10"/>
    <n v="5793.1"/>
    <x v="333"/>
  </r>
  <r>
    <x v="82"/>
    <s v="Arjun"/>
    <x v="9"/>
    <s v="Bihar"/>
    <x v="3"/>
    <x v="2"/>
    <x v="9"/>
    <n v="13"/>
    <n v="5444.28"/>
    <x v="334"/>
  </r>
  <r>
    <x v="276"/>
    <s v="Rahul"/>
    <x v="10"/>
    <s v="Maharashtra"/>
    <x v="2"/>
    <x v="0"/>
    <x v="7"/>
    <n v="6"/>
    <n v="1192.1300000000001"/>
    <x v="335"/>
  </r>
  <r>
    <x v="243"/>
    <s v="Neha"/>
    <x v="10"/>
    <s v="Maharashtra"/>
    <x v="2"/>
    <x v="3"/>
    <x v="17"/>
    <n v="25"/>
    <n v="275.02999999999997"/>
    <x v="336"/>
  </r>
  <r>
    <x v="277"/>
    <s v="Priya"/>
    <x v="3"/>
    <s v="Rajasthan"/>
    <x v="0"/>
    <x v="1"/>
    <x v="1"/>
    <n v="8"/>
    <n v="607.9"/>
    <x v="337"/>
  </r>
  <r>
    <x v="278"/>
    <s v="Kabir"/>
    <x v="11"/>
    <s v="Tamil Nadu"/>
    <x v="1"/>
    <x v="3"/>
    <x v="17"/>
    <n v="2"/>
    <n v="2871.28"/>
    <x v="338"/>
  </r>
  <r>
    <x v="210"/>
    <s v="Yash"/>
    <x v="0"/>
    <s v="Delhi"/>
    <x v="0"/>
    <x v="3"/>
    <x v="10"/>
    <n v="3"/>
    <n v="532.96"/>
    <x v="339"/>
  </r>
  <r>
    <x v="279"/>
    <s v="Priya"/>
    <x v="4"/>
    <s v="Delhi"/>
    <x v="0"/>
    <x v="3"/>
    <x v="17"/>
    <n v="13"/>
    <n v="1648.58"/>
    <x v="340"/>
  </r>
  <r>
    <x v="280"/>
    <s v="Aarav"/>
    <x v="4"/>
    <s v="Delhi"/>
    <x v="0"/>
    <x v="3"/>
    <x v="13"/>
    <n v="10"/>
    <n v="972.73"/>
    <x v="341"/>
  </r>
  <r>
    <x v="88"/>
    <s v="Rohan"/>
    <x v="12"/>
    <s v="West Bengal"/>
    <x v="3"/>
    <x v="3"/>
    <x v="12"/>
    <n v="5"/>
    <n v="3452.8"/>
    <x v="342"/>
  </r>
  <r>
    <x v="281"/>
    <s v="Riya"/>
    <x v="3"/>
    <s v="Rajasthan"/>
    <x v="0"/>
    <x v="0"/>
    <x v="4"/>
    <n v="2"/>
    <n v="712.39"/>
    <x v="343"/>
  </r>
  <r>
    <x v="282"/>
    <s v="Ananya"/>
    <x v="3"/>
    <s v="Rajasthan"/>
    <x v="0"/>
    <x v="1"/>
    <x v="1"/>
    <n v="2"/>
    <n v="1948.74"/>
    <x v="344"/>
  </r>
  <r>
    <x v="215"/>
    <s v="Kabir"/>
    <x v="12"/>
    <s v="West Bengal"/>
    <x v="3"/>
    <x v="2"/>
    <x v="9"/>
    <n v="5"/>
    <n v="4648.83"/>
    <x v="345"/>
  </r>
  <r>
    <x v="283"/>
    <s v="Rahul"/>
    <x v="15"/>
    <s v="Uttar Pradesh"/>
    <x v="0"/>
    <x v="3"/>
    <x v="10"/>
    <n v="10"/>
    <n v="3029.89"/>
    <x v="346"/>
  </r>
  <r>
    <x v="284"/>
    <s v="Priya"/>
    <x v="4"/>
    <s v="Delhi"/>
    <x v="0"/>
    <x v="1"/>
    <x v="1"/>
    <n v="14"/>
    <n v="1180.98"/>
    <x v="347"/>
  </r>
  <r>
    <x v="285"/>
    <s v="Kabir"/>
    <x v="2"/>
    <s v="Karnataka"/>
    <x v="1"/>
    <x v="0"/>
    <x v="0"/>
    <n v="11"/>
    <n v="811.38"/>
    <x v="348"/>
  </r>
  <r>
    <x v="224"/>
    <s v="Sanya"/>
    <x v="1"/>
    <s v="Delhi"/>
    <x v="0"/>
    <x v="1"/>
    <x v="2"/>
    <n v="2"/>
    <n v="646.65"/>
    <x v="349"/>
  </r>
  <r>
    <x v="286"/>
    <s v="Yash"/>
    <x v="4"/>
    <s v="Delhi"/>
    <x v="0"/>
    <x v="4"/>
    <x v="22"/>
    <n v="25"/>
    <n v="243.28"/>
    <x v="350"/>
  </r>
  <r>
    <x v="287"/>
    <s v="Rahul"/>
    <x v="8"/>
    <s v="Karnataka"/>
    <x v="1"/>
    <x v="2"/>
    <x v="5"/>
    <n v="11"/>
    <n v="4683.47"/>
    <x v="351"/>
  </r>
  <r>
    <x v="136"/>
    <s v="Aarav"/>
    <x v="8"/>
    <s v="Karnataka"/>
    <x v="1"/>
    <x v="4"/>
    <x v="14"/>
    <n v="25"/>
    <n v="201.99"/>
    <x v="352"/>
  </r>
  <r>
    <x v="288"/>
    <s v="Yash"/>
    <x v="8"/>
    <s v="Karnataka"/>
    <x v="1"/>
    <x v="2"/>
    <x v="5"/>
    <n v="18"/>
    <n v="4876.96"/>
    <x v="353"/>
  </r>
  <r>
    <x v="289"/>
    <s v="Kabir"/>
    <x v="6"/>
    <s v="Telangana"/>
    <x v="1"/>
    <x v="1"/>
    <x v="6"/>
    <n v="10"/>
    <n v="633.89"/>
    <x v="354"/>
  </r>
  <r>
    <x v="290"/>
    <s v="Karan"/>
    <x v="6"/>
    <s v="Telangana"/>
    <x v="1"/>
    <x v="4"/>
    <x v="21"/>
    <n v="24"/>
    <n v="198.41"/>
    <x v="355"/>
  </r>
  <r>
    <x v="291"/>
    <s v="Aarav"/>
    <x v="9"/>
    <s v="Bihar"/>
    <x v="3"/>
    <x v="0"/>
    <x v="8"/>
    <n v="2"/>
    <n v="718.78"/>
    <x v="356"/>
  </r>
  <r>
    <x v="292"/>
    <s v="Kabir"/>
    <x v="0"/>
    <s v="Delhi"/>
    <x v="0"/>
    <x v="0"/>
    <x v="8"/>
    <n v="10"/>
    <n v="267.64999999999998"/>
    <x v="357"/>
  </r>
  <r>
    <x v="293"/>
    <s v="Riya"/>
    <x v="7"/>
    <s v="Gujarat"/>
    <x v="2"/>
    <x v="1"/>
    <x v="2"/>
    <n v="16"/>
    <n v="1168.69"/>
    <x v="358"/>
  </r>
  <r>
    <x v="196"/>
    <s v="Rohan"/>
    <x v="11"/>
    <s v="Tamil Nadu"/>
    <x v="1"/>
    <x v="2"/>
    <x v="3"/>
    <n v="21"/>
    <n v="9265.74"/>
    <x v="359"/>
  </r>
  <r>
    <x v="294"/>
    <s v="Ananya"/>
    <x v="9"/>
    <s v="Bihar"/>
    <x v="3"/>
    <x v="3"/>
    <x v="10"/>
    <n v="24"/>
    <n v="2003.6"/>
    <x v="360"/>
  </r>
  <r>
    <x v="283"/>
    <s v="Rahul"/>
    <x v="4"/>
    <s v="Delhi"/>
    <x v="0"/>
    <x v="1"/>
    <x v="18"/>
    <n v="3"/>
    <n v="1898.6"/>
    <x v="361"/>
  </r>
  <r>
    <x v="182"/>
    <s v="Vihaan"/>
    <x v="0"/>
    <s v="Delhi"/>
    <x v="0"/>
    <x v="2"/>
    <x v="5"/>
    <n v="21"/>
    <n v="3930.05"/>
    <x v="362"/>
  </r>
  <r>
    <x v="295"/>
    <s v="Kabir"/>
    <x v="0"/>
    <s v="Delhi"/>
    <x v="0"/>
    <x v="3"/>
    <x v="13"/>
    <n v="15"/>
    <n v="1431.56"/>
    <x v="363"/>
  </r>
  <r>
    <x v="296"/>
    <s v="Yash"/>
    <x v="15"/>
    <s v="Uttar Pradesh"/>
    <x v="0"/>
    <x v="2"/>
    <x v="5"/>
    <n v="1"/>
    <n v="7088.23"/>
    <x v="364"/>
  </r>
  <r>
    <x v="138"/>
    <s v="Ishita"/>
    <x v="0"/>
    <s v="Delhi"/>
    <x v="0"/>
    <x v="1"/>
    <x v="6"/>
    <n v="18"/>
    <n v="1958.34"/>
    <x v="365"/>
  </r>
  <r>
    <x v="98"/>
    <s v="Neha"/>
    <x v="3"/>
    <s v="Rajasthan"/>
    <x v="0"/>
    <x v="3"/>
    <x v="17"/>
    <n v="4"/>
    <n v="1930.47"/>
    <x v="366"/>
  </r>
  <r>
    <x v="297"/>
    <s v="Aarav"/>
    <x v="11"/>
    <s v="Tamil Nadu"/>
    <x v="1"/>
    <x v="0"/>
    <x v="4"/>
    <n v="13"/>
    <n v="186.92"/>
    <x v="367"/>
  </r>
  <r>
    <x v="298"/>
    <s v="Priya"/>
    <x v="2"/>
    <s v="Karnataka"/>
    <x v="1"/>
    <x v="3"/>
    <x v="12"/>
    <n v="22"/>
    <n v="2932.6"/>
    <x v="368"/>
  </r>
  <r>
    <x v="299"/>
    <s v="Vihaan"/>
    <x v="1"/>
    <s v="Delhi"/>
    <x v="0"/>
    <x v="2"/>
    <x v="9"/>
    <n v="13"/>
    <n v="7303.37"/>
    <x v="369"/>
  </r>
  <r>
    <x v="12"/>
    <s v="Ishita"/>
    <x v="14"/>
    <s v="Maharashtra"/>
    <x v="2"/>
    <x v="4"/>
    <x v="19"/>
    <n v="14"/>
    <n v="265.06"/>
    <x v="370"/>
  </r>
  <r>
    <x v="300"/>
    <s v="Simran"/>
    <x v="13"/>
    <s v="Maharashtra"/>
    <x v="2"/>
    <x v="1"/>
    <x v="18"/>
    <n v="8"/>
    <n v="541.12"/>
    <x v="371"/>
  </r>
  <r>
    <x v="301"/>
    <s v="Simran"/>
    <x v="15"/>
    <s v="Uttar Pradesh"/>
    <x v="0"/>
    <x v="0"/>
    <x v="7"/>
    <n v="3"/>
    <n v="852.87"/>
    <x v="372"/>
  </r>
  <r>
    <x v="302"/>
    <s v="Rahul"/>
    <x v="4"/>
    <s v="Delhi"/>
    <x v="0"/>
    <x v="3"/>
    <x v="12"/>
    <n v="1"/>
    <n v="3372.85"/>
    <x v="373"/>
  </r>
  <r>
    <x v="303"/>
    <s v="Kabir"/>
    <x v="7"/>
    <s v="Gujarat"/>
    <x v="2"/>
    <x v="4"/>
    <x v="20"/>
    <n v="6"/>
    <n v="234.3"/>
    <x v="374"/>
  </r>
  <r>
    <x v="13"/>
    <s v="Kabir"/>
    <x v="12"/>
    <s v="West Bengal"/>
    <x v="3"/>
    <x v="2"/>
    <x v="3"/>
    <n v="5"/>
    <n v="9800.23"/>
    <x v="375"/>
  </r>
  <r>
    <x v="304"/>
    <s v="Meera"/>
    <x v="9"/>
    <s v="Bihar"/>
    <x v="3"/>
    <x v="4"/>
    <x v="16"/>
    <n v="14"/>
    <n v="108.21"/>
    <x v="376"/>
  </r>
  <r>
    <x v="305"/>
    <s v="Rohan"/>
    <x v="7"/>
    <s v="Gujarat"/>
    <x v="2"/>
    <x v="0"/>
    <x v="7"/>
    <n v="21"/>
    <n v="400.66"/>
    <x v="377"/>
  </r>
  <r>
    <x v="306"/>
    <s v="Karan"/>
    <x v="2"/>
    <s v="Karnataka"/>
    <x v="1"/>
    <x v="0"/>
    <x v="8"/>
    <n v="14"/>
    <n v="304.31"/>
    <x v="378"/>
  </r>
  <r>
    <x v="307"/>
    <s v="Kabir"/>
    <x v="1"/>
    <s v="Delhi"/>
    <x v="0"/>
    <x v="1"/>
    <x v="6"/>
    <n v="8"/>
    <n v="1469.25"/>
    <x v="379"/>
  </r>
  <r>
    <x v="308"/>
    <s v="Aditi"/>
    <x v="10"/>
    <s v="Maharashtra"/>
    <x v="2"/>
    <x v="2"/>
    <x v="3"/>
    <n v="21"/>
    <n v="3119.91"/>
    <x v="380"/>
  </r>
  <r>
    <x v="78"/>
    <s v="Rohan"/>
    <x v="9"/>
    <s v="Bihar"/>
    <x v="3"/>
    <x v="4"/>
    <x v="16"/>
    <n v="1"/>
    <n v="378.32"/>
    <x v="381"/>
  </r>
  <r>
    <x v="309"/>
    <s v="Sanya"/>
    <x v="11"/>
    <s v="Tamil Nadu"/>
    <x v="1"/>
    <x v="4"/>
    <x v="22"/>
    <n v="3"/>
    <n v="91.21"/>
    <x v="382"/>
  </r>
  <r>
    <x v="310"/>
    <s v="Rahul"/>
    <x v="3"/>
    <s v="Rajasthan"/>
    <x v="0"/>
    <x v="4"/>
    <x v="16"/>
    <n v="3"/>
    <n v="154.49"/>
    <x v="383"/>
  </r>
  <r>
    <x v="167"/>
    <s v="Yash"/>
    <x v="12"/>
    <s v="West Bengal"/>
    <x v="3"/>
    <x v="2"/>
    <x v="5"/>
    <n v="10"/>
    <n v="5845.01"/>
    <x v="384"/>
  </r>
  <r>
    <x v="195"/>
    <s v="Rahul"/>
    <x v="2"/>
    <s v="Karnataka"/>
    <x v="1"/>
    <x v="1"/>
    <x v="2"/>
    <n v="22"/>
    <n v="854.35"/>
    <x v="385"/>
  </r>
  <r>
    <x v="311"/>
    <s v="Aditi"/>
    <x v="5"/>
    <s v="Tamil Nadu"/>
    <x v="1"/>
    <x v="0"/>
    <x v="8"/>
    <n v="5"/>
    <n v="169.59"/>
    <x v="386"/>
  </r>
  <r>
    <x v="312"/>
    <s v="Aditi"/>
    <x v="3"/>
    <s v="Rajasthan"/>
    <x v="0"/>
    <x v="0"/>
    <x v="8"/>
    <n v="3"/>
    <n v="497.24"/>
    <x v="387"/>
  </r>
  <r>
    <x v="313"/>
    <s v="Karan"/>
    <x v="8"/>
    <s v="Karnataka"/>
    <x v="1"/>
    <x v="2"/>
    <x v="5"/>
    <n v="5"/>
    <n v="4698.91"/>
    <x v="388"/>
  </r>
  <r>
    <x v="314"/>
    <s v="Rohan"/>
    <x v="7"/>
    <s v="Gujarat"/>
    <x v="2"/>
    <x v="0"/>
    <x v="8"/>
    <n v="11"/>
    <n v="573.67999999999995"/>
    <x v="389"/>
  </r>
  <r>
    <x v="315"/>
    <s v="Yash"/>
    <x v="10"/>
    <s v="Maharashtra"/>
    <x v="2"/>
    <x v="0"/>
    <x v="4"/>
    <n v="20"/>
    <n v="1142.01"/>
    <x v="390"/>
  </r>
  <r>
    <x v="25"/>
    <s v="Karan"/>
    <x v="12"/>
    <s v="West Bengal"/>
    <x v="3"/>
    <x v="3"/>
    <x v="11"/>
    <n v="11"/>
    <n v="1161.78"/>
    <x v="391"/>
  </r>
  <r>
    <x v="316"/>
    <s v="Karan"/>
    <x v="2"/>
    <s v="Karnataka"/>
    <x v="1"/>
    <x v="0"/>
    <x v="8"/>
    <n v="9"/>
    <n v="998.14"/>
    <x v="392"/>
  </r>
  <r>
    <x v="243"/>
    <s v="Sanya"/>
    <x v="13"/>
    <s v="Maharashtra"/>
    <x v="2"/>
    <x v="1"/>
    <x v="2"/>
    <n v="19"/>
    <n v="1994.94"/>
    <x v="393"/>
  </r>
  <r>
    <x v="219"/>
    <s v="Rahul"/>
    <x v="0"/>
    <s v="Delhi"/>
    <x v="0"/>
    <x v="2"/>
    <x v="3"/>
    <n v="7"/>
    <n v="6103.78"/>
    <x v="394"/>
  </r>
  <r>
    <x v="129"/>
    <s v="Meera"/>
    <x v="3"/>
    <s v="Rajasthan"/>
    <x v="0"/>
    <x v="2"/>
    <x v="5"/>
    <n v="21"/>
    <n v="4679.74"/>
    <x v="395"/>
  </r>
  <r>
    <x v="317"/>
    <s v="Kabir"/>
    <x v="3"/>
    <s v="Rajasthan"/>
    <x v="0"/>
    <x v="2"/>
    <x v="5"/>
    <n v="15"/>
    <n v="11902.36"/>
    <x v="396"/>
  </r>
  <r>
    <x v="162"/>
    <s v="Simran"/>
    <x v="7"/>
    <s v="Gujarat"/>
    <x v="2"/>
    <x v="1"/>
    <x v="1"/>
    <n v="18"/>
    <n v="218.02"/>
    <x v="397"/>
  </r>
  <r>
    <x v="318"/>
    <s v="Rahul"/>
    <x v="1"/>
    <s v="Delhi"/>
    <x v="0"/>
    <x v="4"/>
    <x v="21"/>
    <n v="8"/>
    <n v="269.89"/>
    <x v="398"/>
  </r>
  <r>
    <x v="319"/>
    <s v="Ananya"/>
    <x v="4"/>
    <s v="Delhi"/>
    <x v="0"/>
    <x v="1"/>
    <x v="1"/>
    <n v="25"/>
    <n v="763.45"/>
    <x v="399"/>
  </r>
  <r>
    <x v="320"/>
    <s v="Nishant"/>
    <x v="0"/>
    <s v="Delhi"/>
    <x v="0"/>
    <x v="4"/>
    <x v="20"/>
    <n v="8"/>
    <n v="214.06"/>
    <x v="400"/>
  </r>
  <r>
    <x v="218"/>
    <s v="Rahul"/>
    <x v="2"/>
    <s v="Karnataka"/>
    <x v="1"/>
    <x v="2"/>
    <x v="9"/>
    <n v="13"/>
    <n v="6362.16"/>
    <x v="401"/>
  </r>
  <r>
    <x v="321"/>
    <s v="Simran"/>
    <x v="10"/>
    <s v="Maharashtra"/>
    <x v="2"/>
    <x v="0"/>
    <x v="7"/>
    <n v="16"/>
    <n v="215"/>
    <x v="402"/>
  </r>
  <r>
    <x v="322"/>
    <s v="Meera"/>
    <x v="13"/>
    <s v="Maharashtra"/>
    <x v="2"/>
    <x v="3"/>
    <x v="12"/>
    <n v="10"/>
    <n v="1332.12"/>
    <x v="403"/>
  </r>
  <r>
    <x v="323"/>
    <s v="Neha"/>
    <x v="15"/>
    <s v="Uttar Pradesh"/>
    <x v="0"/>
    <x v="0"/>
    <x v="8"/>
    <n v="4"/>
    <n v="581.98"/>
    <x v="404"/>
  </r>
  <r>
    <x v="70"/>
    <s v="Priya"/>
    <x v="12"/>
    <s v="West Bengal"/>
    <x v="3"/>
    <x v="4"/>
    <x v="20"/>
    <n v="2"/>
    <n v="327.87"/>
    <x v="405"/>
  </r>
  <r>
    <x v="87"/>
    <s v="Ishita"/>
    <x v="12"/>
    <s v="West Bengal"/>
    <x v="3"/>
    <x v="4"/>
    <x v="14"/>
    <n v="6"/>
    <n v="373.37"/>
    <x v="406"/>
  </r>
  <r>
    <x v="157"/>
    <s v="Neha"/>
    <x v="14"/>
    <s v="Maharashtra"/>
    <x v="2"/>
    <x v="1"/>
    <x v="2"/>
    <n v="11"/>
    <n v="1185.72"/>
    <x v="407"/>
  </r>
  <r>
    <x v="324"/>
    <s v="Riya"/>
    <x v="7"/>
    <s v="Gujarat"/>
    <x v="2"/>
    <x v="3"/>
    <x v="10"/>
    <n v="21"/>
    <n v="2369.12"/>
    <x v="408"/>
  </r>
  <r>
    <x v="314"/>
    <s v="Ishita"/>
    <x v="8"/>
    <s v="Karnataka"/>
    <x v="1"/>
    <x v="2"/>
    <x v="3"/>
    <n v="14"/>
    <n v="5582.78"/>
    <x v="409"/>
  </r>
  <r>
    <x v="325"/>
    <s v="Aarav"/>
    <x v="8"/>
    <s v="Karnataka"/>
    <x v="1"/>
    <x v="0"/>
    <x v="7"/>
    <n v="19"/>
    <n v="211.93"/>
    <x v="410"/>
  </r>
  <r>
    <x v="149"/>
    <s v="Ananya"/>
    <x v="9"/>
    <s v="Bihar"/>
    <x v="3"/>
    <x v="0"/>
    <x v="0"/>
    <n v="15"/>
    <n v="225.35"/>
    <x v="411"/>
  </r>
  <r>
    <x v="10"/>
    <s v="Karan"/>
    <x v="12"/>
    <s v="West Bengal"/>
    <x v="3"/>
    <x v="1"/>
    <x v="1"/>
    <n v="20"/>
    <n v="876.21"/>
    <x v="412"/>
  </r>
  <r>
    <x v="326"/>
    <s v="Sanya"/>
    <x v="9"/>
    <s v="Bihar"/>
    <x v="3"/>
    <x v="2"/>
    <x v="3"/>
    <n v="6"/>
    <n v="10044.25"/>
    <x v="413"/>
  </r>
  <r>
    <x v="253"/>
    <s v="Aarohi"/>
    <x v="1"/>
    <s v="Delhi"/>
    <x v="0"/>
    <x v="3"/>
    <x v="12"/>
    <n v="4"/>
    <n v="987.29"/>
    <x v="414"/>
  </r>
  <r>
    <x v="327"/>
    <s v="Ananya"/>
    <x v="9"/>
    <s v="Bihar"/>
    <x v="3"/>
    <x v="3"/>
    <x v="13"/>
    <n v="13"/>
    <n v="1580.19"/>
    <x v="415"/>
  </r>
  <r>
    <x v="328"/>
    <s v="Simran"/>
    <x v="7"/>
    <s v="Gujarat"/>
    <x v="2"/>
    <x v="2"/>
    <x v="5"/>
    <n v="16"/>
    <n v="8172.77"/>
    <x v="416"/>
  </r>
  <r>
    <x v="329"/>
    <s v="Ananya"/>
    <x v="14"/>
    <s v="Maharashtra"/>
    <x v="2"/>
    <x v="2"/>
    <x v="9"/>
    <n v="5"/>
    <n v="3464.54"/>
    <x v="417"/>
  </r>
  <r>
    <x v="306"/>
    <s v="Yash"/>
    <x v="4"/>
    <s v="Delhi"/>
    <x v="0"/>
    <x v="0"/>
    <x v="7"/>
    <n v="16"/>
    <n v="250.19"/>
    <x v="418"/>
  </r>
  <r>
    <x v="330"/>
    <s v="Rahul"/>
    <x v="15"/>
    <s v="Uttar Pradesh"/>
    <x v="0"/>
    <x v="2"/>
    <x v="3"/>
    <n v="16"/>
    <n v="5864.12"/>
    <x v="419"/>
  </r>
  <r>
    <x v="155"/>
    <s v="Karan"/>
    <x v="14"/>
    <s v="Maharashtra"/>
    <x v="2"/>
    <x v="4"/>
    <x v="15"/>
    <n v="1"/>
    <n v="322.43"/>
    <x v="420"/>
  </r>
  <r>
    <x v="331"/>
    <s v="Aarohi"/>
    <x v="4"/>
    <s v="Delhi"/>
    <x v="0"/>
    <x v="0"/>
    <x v="0"/>
    <n v="18"/>
    <n v="417.54"/>
    <x v="421"/>
  </r>
  <r>
    <x v="332"/>
    <s v="Simran"/>
    <x v="15"/>
    <s v="Uttar Pradesh"/>
    <x v="0"/>
    <x v="1"/>
    <x v="18"/>
    <n v="19"/>
    <n v="361.28"/>
    <x v="422"/>
  </r>
  <r>
    <x v="262"/>
    <s v="Sanya"/>
    <x v="4"/>
    <s v="Delhi"/>
    <x v="0"/>
    <x v="2"/>
    <x v="3"/>
    <n v="7"/>
    <n v="11892.65"/>
    <x v="423"/>
  </r>
  <r>
    <x v="1"/>
    <s v="Riya"/>
    <x v="5"/>
    <s v="Tamil Nadu"/>
    <x v="1"/>
    <x v="4"/>
    <x v="19"/>
    <n v="9"/>
    <n v="152.46"/>
    <x v="424"/>
  </r>
  <r>
    <x v="333"/>
    <s v="Priya"/>
    <x v="13"/>
    <s v="Maharashtra"/>
    <x v="2"/>
    <x v="3"/>
    <x v="10"/>
    <n v="24"/>
    <n v="2140.15"/>
    <x v="425"/>
  </r>
  <r>
    <x v="220"/>
    <s v="Yash"/>
    <x v="3"/>
    <s v="Rajasthan"/>
    <x v="0"/>
    <x v="3"/>
    <x v="13"/>
    <n v="5"/>
    <n v="2790"/>
    <x v="426"/>
  </r>
  <r>
    <x v="323"/>
    <s v="Vihaan"/>
    <x v="9"/>
    <s v="Bihar"/>
    <x v="3"/>
    <x v="1"/>
    <x v="6"/>
    <n v="20"/>
    <n v="1146.72"/>
    <x v="427"/>
  </r>
  <r>
    <x v="334"/>
    <s v="Aarohi"/>
    <x v="5"/>
    <s v="Tamil Nadu"/>
    <x v="1"/>
    <x v="1"/>
    <x v="6"/>
    <n v="17"/>
    <n v="1973.15"/>
    <x v="428"/>
  </r>
  <r>
    <x v="321"/>
    <s v="Nishant"/>
    <x v="10"/>
    <s v="Maharashtra"/>
    <x v="2"/>
    <x v="2"/>
    <x v="5"/>
    <n v="9"/>
    <n v="10604"/>
    <x v="429"/>
  </r>
  <r>
    <x v="335"/>
    <s v="Kabir"/>
    <x v="2"/>
    <s v="Karnataka"/>
    <x v="1"/>
    <x v="3"/>
    <x v="12"/>
    <n v="8"/>
    <n v="2712.86"/>
    <x v="430"/>
  </r>
  <r>
    <x v="255"/>
    <s v="Kabir"/>
    <x v="15"/>
    <s v="Uttar Pradesh"/>
    <x v="0"/>
    <x v="3"/>
    <x v="13"/>
    <n v="21"/>
    <n v="1086.77"/>
    <x v="431"/>
  </r>
  <r>
    <x v="205"/>
    <s v="Kabir"/>
    <x v="6"/>
    <s v="Telangana"/>
    <x v="1"/>
    <x v="4"/>
    <x v="14"/>
    <n v="25"/>
    <n v="55.38"/>
    <x v="432"/>
  </r>
  <r>
    <x v="247"/>
    <s v="Aditi"/>
    <x v="9"/>
    <s v="Bihar"/>
    <x v="3"/>
    <x v="2"/>
    <x v="9"/>
    <n v="11"/>
    <n v="7610.53"/>
    <x v="433"/>
  </r>
  <r>
    <x v="167"/>
    <s v="Priya"/>
    <x v="9"/>
    <s v="Bihar"/>
    <x v="3"/>
    <x v="4"/>
    <x v="21"/>
    <n v="18"/>
    <n v="171.13"/>
    <x v="434"/>
  </r>
  <r>
    <x v="110"/>
    <s v="Aarav"/>
    <x v="15"/>
    <s v="Uttar Pradesh"/>
    <x v="0"/>
    <x v="0"/>
    <x v="4"/>
    <n v="10"/>
    <n v="471.53"/>
    <x v="435"/>
  </r>
  <r>
    <x v="336"/>
    <s v="Kabir"/>
    <x v="15"/>
    <s v="Uttar Pradesh"/>
    <x v="0"/>
    <x v="0"/>
    <x v="7"/>
    <n v="2"/>
    <n v="209.53"/>
    <x v="436"/>
  </r>
  <r>
    <x v="92"/>
    <s v="Ishita"/>
    <x v="13"/>
    <s v="Maharashtra"/>
    <x v="2"/>
    <x v="3"/>
    <x v="11"/>
    <n v="15"/>
    <n v="202.23"/>
    <x v="437"/>
  </r>
  <r>
    <x v="337"/>
    <s v="Aarav"/>
    <x v="10"/>
    <s v="Maharashtra"/>
    <x v="2"/>
    <x v="0"/>
    <x v="0"/>
    <n v="9"/>
    <n v="202.67"/>
    <x v="438"/>
  </r>
  <r>
    <x v="103"/>
    <s v="Aditi"/>
    <x v="1"/>
    <s v="Delhi"/>
    <x v="0"/>
    <x v="0"/>
    <x v="0"/>
    <n v="2"/>
    <n v="535.98"/>
    <x v="439"/>
  </r>
  <r>
    <x v="338"/>
    <s v="Riya"/>
    <x v="3"/>
    <s v="Rajasthan"/>
    <x v="0"/>
    <x v="4"/>
    <x v="14"/>
    <n v="4"/>
    <n v="20.41"/>
    <x v="440"/>
  </r>
  <r>
    <x v="339"/>
    <s v="Meera"/>
    <x v="10"/>
    <s v="Maharashtra"/>
    <x v="2"/>
    <x v="1"/>
    <x v="2"/>
    <n v="17"/>
    <n v="1407.97"/>
    <x v="441"/>
  </r>
  <r>
    <x v="340"/>
    <s v="Ishita"/>
    <x v="12"/>
    <s v="West Bengal"/>
    <x v="3"/>
    <x v="4"/>
    <x v="21"/>
    <n v="14"/>
    <n v="283.73"/>
    <x v="442"/>
  </r>
  <r>
    <x v="341"/>
    <s v="Meera"/>
    <x v="2"/>
    <s v="Karnataka"/>
    <x v="1"/>
    <x v="2"/>
    <x v="5"/>
    <n v="24"/>
    <n v="9962.5499999999993"/>
    <x v="443"/>
  </r>
  <r>
    <x v="53"/>
    <s v="Rohan"/>
    <x v="9"/>
    <s v="Bihar"/>
    <x v="3"/>
    <x v="0"/>
    <x v="0"/>
    <n v="13"/>
    <n v="950.81"/>
    <x v="444"/>
  </r>
  <r>
    <x v="268"/>
    <s v="Kabir"/>
    <x v="1"/>
    <s v="Delhi"/>
    <x v="0"/>
    <x v="1"/>
    <x v="18"/>
    <n v="20"/>
    <n v="1352.54"/>
    <x v="445"/>
  </r>
  <r>
    <x v="239"/>
    <s v="Sanya"/>
    <x v="8"/>
    <s v="Karnataka"/>
    <x v="1"/>
    <x v="3"/>
    <x v="11"/>
    <n v="20"/>
    <n v="2465.67"/>
    <x v="446"/>
  </r>
  <r>
    <x v="37"/>
    <s v="Meera"/>
    <x v="13"/>
    <s v="Maharashtra"/>
    <x v="2"/>
    <x v="3"/>
    <x v="17"/>
    <n v="19"/>
    <n v="2609.0300000000002"/>
    <x v="447"/>
  </r>
  <r>
    <x v="220"/>
    <s v="Arjun"/>
    <x v="12"/>
    <s v="West Bengal"/>
    <x v="3"/>
    <x v="3"/>
    <x v="10"/>
    <n v="9"/>
    <n v="2327.25"/>
    <x v="448"/>
  </r>
  <r>
    <x v="55"/>
    <s v="Rahul"/>
    <x v="5"/>
    <s v="Tamil Nadu"/>
    <x v="1"/>
    <x v="4"/>
    <x v="21"/>
    <n v="22"/>
    <n v="352.81"/>
    <x v="449"/>
  </r>
  <r>
    <x v="342"/>
    <s v="Neha"/>
    <x v="8"/>
    <s v="Karnataka"/>
    <x v="1"/>
    <x v="2"/>
    <x v="9"/>
    <n v="21"/>
    <n v="2072.98"/>
    <x v="450"/>
  </r>
  <r>
    <x v="259"/>
    <s v="Karan"/>
    <x v="7"/>
    <s v="Gujarat"/>
    <x v="2"/>
    <x v="4"/>
    <x v="22"/>
    <n v="16"/>
    <n v="262.47000000000003"/>
    <x v="451"/>
  </r>
  <r>
    <x v="343"/>
    <s v="Neha"/>
    <x v="0"/>
    <s v="Delhi"/>
    <x v="0"/>
    <x v="0"/>
    <x v="4"/>
    <n v="5"/>
    <n v="525.52"/>
    <x v="452"/>
  </r>
  <r>
    <x v="344"/>
    <s v="Arjun"/>
    <x v="9"/>
    <s v="Bihar"/>
    <x v="3"/>
    <x v="1"/>
    <x v="2"/>
    <n v="25"/>
    <n v="1021.38"/>
    <x v="453"/>
  </r>
  <r>
    <x v="43"/>
    <s v="Ishita"/>
    <x v="1"/>
    <s v="Delhi"/>
    <x v="0"/>
    <x v="4"/>
    <x v="20"/>
    <n v="7"/>
    <n v="35.130000000000003"/>
    <x v="454"/>
  </r>
  <r>
    <x v="345"/>
    <s v="Kabir"/>
    <x v="5"/>
    <s v="Tamil Nadu"/>
    <x v="1"/>
    <x v="1"/>
    <x v="1"/>
    <n v="14"/>
    <n v="1448.35"/>
    <x v="455"/>
  </r>
  <r>
    <x v="308"/>
    <s v="Rahul"/>
    <x v="10"/>
    <s v="Maharashtra"/>
    <x v="2"/>
    <x v="0"/>
    <x v="7"/>
    <n v="10"/>
    <n v="186.92"/>
    <x v="456"/>
  </r>
  <r>
    <x v="346"/>
    <s v="Kabir"/>
    <x v="12"/>
    <s v="West Bengal"/>
    <x v="3"/>
    <x v="2"/>
    <x v="3"/>
    <n v="21"/>
    <n v="9513.85"/>
    <x v="457"/>
  </r>
  <r>
    <x v="207"/>
    <s v="Meera"/>
    <x v="5"/>
    <s v="Tamil Nadu"/>
    <x v="1"/>
    <x v="2"/>
    <x v="3"/>
    <n v="8"/>
    <n v="2108.0100000000002"/>
    <x v="458"/>
  </r>
  <r>
    <x v="347"/>
    <s v="Arjun"/>
    <x v="13"/>
    <s v="Maharashtra"/>
    <x v="2"/>
    <x v="2"/>
    <x v="3"/>
    <n v="20"/>
    <n v="2077.8000000000002"/>
    <x v="459"/>
  </r>
  <r>
    <x v="63"/>
    <s v="Ananya"/>
    <x v="13"/>
    <s v="Maharashtra"/>
    <x v="2"/>
    <x v="4"/>
    <x v="14"/>
    <n v="5"/>
    <n v="286.57"/>
    <x v="460"/>
  </r>
  <r>
    <x v="11"/>
    <s v="Karan"/>
    <x v="9"/>
    <s v="Bihar"/>
    <x v="3"/>
    <x v="1"/>
    <x v="6"/>
    <n v="6"/>
    <n v="837.96"/>
    <x v="461"/>
  </r>
  <r>
    <x v="348"/>
    <s v="Nishant"/>
    <x v="0"/>
    <s v="Delhi"/>
    <x v="0"/>
    <x v="0"/>
    <x v="8"/>
    <n v="9"/>
    <n v="676.24"/>
    <x v="462"/>
  </r>
  <r>
    <x v="349"/>
    <s v="Simran"/>
    <x v="1"/>
    <s v="Delhi"/>
    <x v="0"/>
    <x v="2"/>
    <x v="9"/>
    <n v="17"/>
    <n v="5281.3"/>
    <x v="463"/>
  </r>
  <r>
    <x v="350"/>
    <s v="Simran"/>
    <x v="14"/>
    <s v="Maharashtra"/>
    <x v="2"/>
    <x v="0"/>
    <x v="0"/>
    <n v="9"/>
    <n v="950.66"/>
    <x v="464"/>
  </r>
  <r>
    <x v="105"/>
    <s v="Nishant"/>
    <x v="2"/>
    <s v="Karnataka"/>
    <x v="1"/>
    <x v="1"/>
    <x v="18"/>
    <n v="2"/>
    <n v="1738.57"/>
    <x v="465"/>
  </r>
  <r>
    <x v="91"/>
    <s v="Riya"/>
    <x v="4"/>
    <s v="Delhi"/>
    <x v="0"/>
    <x v="2"/>
    <x v="9"/>
    <n v="13"/>
    <n v="11162.38"/>
    <x v="466"/>
  </r>
  <r>
    <x v="351"/>
    <s v="Vihaan"/>
    <x v="3"/>
    <s v="Rajasthan"/>
    <x v="0"/>
    <x v="3"/>
    <x v="12"/>
    <n v="8"/>
    <n v="1573.65"/>
    <x v="467"/>
  </r>
  <r>
    <x v="291"/>
    <s v="Aditi"/>
    <x v="1"/>
    <s v="Delhi"/>
    <x v="0"/>
    <x v="1"/>
    <x v="6"/>
    <n v="4"/>
    <n v="1078.78"/>
    <x v="468"/>
  </r>
  <r>
    <x v="352"/>
    <s v="Ananya"/>
    <x v="2"/>
    <s v="Karnataka"/>
    <x v="1"/>
    <x v="1"/>
    <x v="18"/>
    <n v="13"/>
    <n v="277.51"/>
    <x v="469"/>
  </r>
  <r>
    <x v="267"/>
    <s v="Aarohi"/>
    <x v="5"/>
    <s v="Tamil Nadu"/>
    <x v="1"/>
    <x v="0"/>
    <x v="7"/>
    <n v="18"/>
    <n v="602.41999999999996"/>
    <x v="470"/>
  </r>
  <r>
    <x v="353"/>
    <s v="Aarav"/>
    <x v="5"/>
    <s v="Tamil Nadu"/>
    <x v="1"/>
    <x v="1"/>
    <x v="6"/>
    <n v="24"/>
    <n v="1302.03"/>
    <x v="471"/>
  </r>
  <r>
    <x v="354"/>
    <s v="Sanya"/>
    <x v="15"/>
    <s v="Uttar Pradesh"/>
    <x v="0"/>
    <x v="3"/>
    <x v="13"/>
    <n v="25"/>
    <n v="2826.71"/>
    <x v="472"/>
  </r>
  <r>
    <x v="76"/>
    <s v="Ishita"/>
    <x v="3"/>
    <s v="Rajasthan"/>
    <x v="0"/>
    <x v="4"/>
    <x v="22"/>
    <n v="18"/>
    <n v="151.63999999999999"/>
    <x v="473"/>
  </r>
  <r>
    <x v="329"/>
    <s v="Ishita"/>
    <x v="12"/>
    <s v="West Bengal"/>
    <x v="3"/>
    <x v="4"/>
    <x v="21"/>
    <n v="22"/>
    <n v="162.97999999999999"/>
    <x v="474"/>
  </r>
  <r>
    <x v="22"/>
    <s v="Nishant"/>
    <x v="8"/>
    <s v="Karnataka"/>
    <x v="1"/>
    <x v="1"/>
    <x v="2"/>
    <n v="14"/>
    <n v="1060.25"/>
    <x v="475"/>
  </r>
  <r>
    <x v="345"/>
    <s v="Kabir"/>
    <x v="11"/>
    <s v="Tamil Nadu"/>
    <x v="1"/>
    <x v="4"/>
    <x v="16"/>
    <n v="8"/>
    <n v="360.97"/>
    <x v="476"/>
  </r>
  <r>
    <x v="272"/>
    <s v="Arjun"/>
    <x v="9"/>
    <s v="Bihar"/>
    <x v="3"/>
    <x v="2"/>
    <x v="3"/>
    <n v="3"/>
    <n v="7598.09"/>
    <x v="477"/>
  </r>
  <r>
    <x v="164"/>
    <s v="Kabir"/>
    <x v="7"/>
    <s v="Gujarat"/>
    <x v="2"/>
    <x v="4"/>
    <x v="15"/>
    <n v="19"/>
    <n v="43.67"/>
    <x v="478"/>
  </r>
  <r>
    <x v="355"/>
    <s v="Kabir"/>
    <x v="2"/>
    <s v="Karnataka"/>
    <x v="1"/>
    <x v="0"/>
    <x v="4"/>
    <n v="11"/>
    <n v="1118.6500000000001"/>
    <x v="479"/>
  </r>
  <r>
    <x v="243"/>
    <s v="Rohan"/>
    <x v="12"/>
    <s v="West Bengal"/>
    <x v="3"/>
    <x v="2"/>
    <x v="9"/>
    <n v="8"/>
    <n v="2284.2199999999998"/>
    <x v="480"/>
  </r>
  <r>
    <x v="356"/>
    <s v="Kabir"/>
    <x v="13"/>
    <s v="Maharashtra"/>
    <x v="2"/>
    <x v="3"/>
    <x v="17"/>
    <n v="6"/>
    <n v="1683.57"/>
    <x v="481"/>
  </r>
  <r>
    <x v="60"/>
    <s v="Arjun"/>
    <x v="13"/>
    <s v="Maharashtra"/>
    <x v="2"/>
    <x v="1"/>
    <x v="6"/>
    <n v="25"/>
    <n v="534.13"/>
    <x v="482"/>
  </r>
  <r>
    <x v="52"/>
    <s v="Priya"/>
    <x v="11"/>
    <s v="Tamil Nadu"/>
    <x v="1"/>
    <x v="4"/>
    <x v="16"/>
    <n v="6"/>
    <n v="326.89"/>
    <x v="483"/>
  </r>
  <r>
    <x v="357"/>
    <s v="Yash"/>
    <x v="4"/>
    <s v="Delhi"/>
    <x v="0"/>
    <x v="3"/>
    <x v="12"/>
    <n v="5"/>
    <n v="501"/>
    <x v="484"/>
  </r>
  <r>
    <x v="55"/>
    <s v="Sanya"/>
    <x v="7"/>
    <s v="Gujarat"/>
    <x v="2"/>
    <x v="1"/>
    <x v="18"/>
    <n v="22"/>
    <n v="702.86"/>
    <x v="485"/>
  </r>
  <r>
    <x v="358"/>
    <s v="Ishita"/>
    <x v="7"/>
    <s v="Gujarat"/>
    <x v="2"/>
    <x v="2"/>
    <x v="3"/>
    <n v="24"/>
    <n v="7276.27"/>
    <x v="486"/>
  </r>
  <r>
    <x v="359"/>
    <s v="Priya"/>
    <x v="13"/>
    <s v="Maharashtra"/>
    <x v="2"/>
    <x v="3"/>
    <x v="17"/>
    <n v="1"/>
    <n v="403.51"/>
    <x v="487"/>
  </r>
  <r>
    <x v="56"/>
    <s v="Kabir"/>
    <x v="8"/>
    <s v="Karnataka"/>
    <x v="1"/>
    <x v="2"/>
    <x v="9"/>
    <n v="22"/>
    <n v="8118.12"/>
    <x v="488"/>
  </r>
  <r>
    <x v="156"/>
    <s v="Meera"/>
    <x v="11"/>
    <s v="Tamil Nadu"/>
    <x v="1"/>
    <x v="4"/>
    <x v="16"/>
    <n v="3"/>
    <n v="95.15"/>
    <x v="489"/>
  </r>
  <r>
    <x v="360"/>
    <s v="Priya"/>
    <x v="10"/>
    <s v="Maharashtra"/>
    <x v="2"/>
    <x v="4"/>
    <x v="21"/>
    <n v="11"/>
    <n v="66.56"/>
    <x v="490"/>
  </r>
  <r>
    <x v="361"/>
    <s v="Vihaan"/>
    <x v="14"/>
    <s v="Maharashtra"/>
    <x v="2"/>
    <x v="1"/>
    <x v="1"/>
    <n v="24"/>
    <n v="880.75"/>
    <x v="491"/>
  </r>
  <r>
    <x v="362"/>
    <s v="Kabir"/>
    <x v="3"/>
    <s v="Rajasthan"/>
    <x v="0"/>
    <x v="3"/>
    <x v="12"/>
    <n v="7"/>
    <n v="3197.4"/>
    <x v="492"/>
  </r>
  <r>
    <x v="363"/>
    <s v="Aditi"/>
    <x v="6"/>
    <s v="Telangana"/>
    <x v="1"/>
    <x v="3"/>
    <x v="17"/>
    <n v="20"/>
    <n v="2243.2800000000002"/>
    <x v="493"/>
  </r>
  <r>
    <x v="94"/>
    <s v="Aarohi"/>
    <x v="15"/>
    <s v="Uttar Pradesh"/>
    <x v="0"/>
    <x v="2"/>
    <x v="3"/>
    <n v="16"/>
    <n v="2140.2800000000002"/>
    <x v="494"/>
  </r>
  <r>
    <x v="364"/>
    <s v="Kabir"/>
    <x v="10"/>
    <s v="Maharashtra"/>
    <x v="2"/>
    <x v="2"/>
    <x v="5"/>
    <n v="21"/>
    <n v="10788.85"/>
    <x v="495"/>
  </r>
  <r>
    <x v="365"/>
    <s v="Riya"/>
    <x v="0"/>
    <s v="Delhi"/>
    <x v="0"/>
    <x v="2"/>
    <x v="3"/>
    <n v="12"/>
    <n v="6536.69"/>
    <x v="496"/>
  </r>
  <r>
    <x v="366"/>
    <s v="Sanya"/>
    <x v="12"/>
    <s v="West Bengal"/>
    <x v="3"/>
    <x v="2"/>
    <x v="9"/>
    <n v="6"/>
    <n v="1773.66"/>
    <x v="497"/>
  </r>
  <r>
    <x v="367"/>
    <s v="Riya"/>
    <x v="0"/>
    <s v="Delhi"/>
    <x v="0"/>
    <x v="0"/>
    <x v="7"/>
    <n v="16"/>
    <n v="682.38"/>
    <x v="498"/>
  </r>
  <r>
    <x v="368"/>
    <s v="Riya"/>
    <x v="14"/>
    <s v="Maharashtra"/>
    <x v="2"/>
    <x v="4"/>
    <x v="22"/>
    <n v="22"/>
    <n v="111.64"/>
    <x v="499"/>
  </r>
  <r>
    <x v="81"/>
    <s v="Vihaan"/>
    <x v="2"/>
    <s v="Karnataka"/>
    <x v="1"/>
    <x v="1"/>
    <x v="1"/>
    <n v="12"/>
    <n v="1880.13"/>
    <x v="500"/>
  </r>
  <r>
    <x v="369"/>
    <s v="Ananya"/>
    <x v="2"/>
    <s v="Karnataka"/>
    <x v="1"/>
    <x v="1"/>
    <x v="6"/>
    <n v="24"/>
    <n v="1440.61"/>
    <x v="501"/>
  </r>
  <r>
    <x v="282"/>
    <s v="Ishita"/>
    <x v="9"/>
    <s v="Bihar"/>
    <x v="3"/>
    <x v="1"/>
    <x v="2"/>
    <n v="19"/>
    <n v="1904.48"/>
    <x v="502"/>
  </r>
  <r>
    <x v="152"/>
    <s v="Rahul"/>
    <x v="5"/>
    <s v="Tamil Nadu"/>
    <x v="1"/>
    <x v="3"/>
    <x v="11"/>
    <n v="2"/>
    <n v="497.85"/>
    <x v="503"/>
  </r>
  <r>
    <x v="370"/>
    <s v="Yash"/>
    <x v="2"/>
    <s v="Karnataka"/>
    <x v="1"/>
    <x v="4"/>
    <x v="15"/>
    <n v="16"/>
    <n v="20.260000000000002"/>
    <x v="504"/>
  </r>
  <r>
    <x v="371"/>
    <s v="Aarav"/>
    <x v="10"/>
    <s v="Maharashtra"/>
    <x v="2"/>
    <x v="0"/>
    <x v="0"/>
    <n v="11"/>
    <n v="165.51"/>
    <x v="505"/>
  </r>
  <r>
    <x v="372"/>
    <s v="Simran"/>
    <x v="10"/>
    <s v="Maharashtra"/>
    <x v="2"/>
    <x v="4"/>
    <x v="21"/>
    <n v="17"/>
    <n v="347.05"/>
    <x v="506"/>
  </r>
  <r>
    <x v="43"/>
    <s v="Sanya"/>
    <x v="7"/>
    <s v="Gujarat"/>
    <x v="2"/>
    <x v="1"/>
    <x v="18"/>
    <n v="11"/>
    <n v="708.27"/>
    <x v="507"/>
  </r>
  <r>
    <x v="131"/>
    <s v="Ananya"/>
    <x v="3"/>
    <s v="Rajasthan"/>
    <x v="0"/>
    <x v="2"/>
    <x v="3"/>
    <n v="11"/>
    <n v="3329.13"/>
    <x v="508"/>
  </r>
  <r>
    <x v="168"/>
    <s v="Yash"/>
    <x v="9"/>
    <s v="Bihar"/>
    <x v="3"/>
    <x v="3"/>
    <x v="13"/>
    <n v="6"/>
    <n v="1448.67"/>
    <x v="509"/>
  </r>
  <r>
    <x v="304"/>
    <s v="Aarohi"/>
    <x v="10"/>
    <s v="Maharashtra"/>
    <x v="2"/>
    <x v="3"/>
    <x v="17"/>
    <n v="23"/>
    <n v="3330.7"/>
    <x v="510"/>
  </r>
  <r>
    <x v="373"/>
    <s v="Simran"/>
    <x v="4"/>
    <s v="Delhi"/>
    <x v="0"/>
    <x v="3"/>
    <x v="13"/>
    <n v="11"/>
    <n v="3239.43"/>
    <x v="511"/>
  </r>
  <r>
    <x v="374"/>
    <s v="Riya"/>
    <x v="13"/>
    <s v="Maharashtra"/>
    <x v="2"/>
    <x v="2"/>
    <x v="5"/>
    <n v="11"/>
    <n v="9326.1"/>
    <x v="512"/>
  </r>
  <r>
    <x v="200"/>
    <s v="Sanya"/>
    <x v="12"/>
    <s v="West Bengal"/>
    <x v="3"/>
    <x v="3"/>
    <x v="17"/>
    <n v="23"/>
    <n v="2411.08"/>
    <x v="513"/>
  </r>
  <r>
    <x v="375"/>
    <s v="Priya"/>
    <x v="0"/>
    <s v="Delhi"/>
    <x v="0"/>
    <x v="0"/>
    <x v="0"/>
    <n v="8"/>
    <n v="862.49"/>
    <x v="514"/>
  </r>
  <r>
    <x v="84"/>
    <s v="Aditi"/>
    <x v="13"/>
    <s v="Maharashtra"/>
    <x v="2"/>
    <x v="4"/>
    <x v="16"/>
    <n v="13"/>
    <n v="186.52"/>
    <x v="515"/>
  </r>
  <r>
    <x v="210"/>
    <s v="Ananya"/>
    <x v="3"/>
    <s v="Rajasthan"/>
    <x v="0"/>
    <x v="2"/>
    <x v="9"/>
    <n v="12"/>
    <n v="7233.25"/>
    <x v="516"/>
  </r>
  <r>
    <x v="376"/>
    <s v="Karan"/>
    <x v="2"/>
    <s v="Karnataka"/>
    <x v="1"/>
    <x v="3"/>
    <x v="11"/>
    <n v="3"/>
    <n v="2837.34"/>
    <x v="517"/>
  </r>
  <r>
    <x v="279"/>
    <s v="Aarohi"/>
    <x v="0"/>
    <s v="Delhi"/>
    <x v="0"/>
    <x v="0"/>
    <x v="4"/>
    <n v="4"/>
    <n v="181.62"/>
    <x v="518"/>
  </r>
  <r>
    <x v="377"/>
    <s v="Kabir"/>
    <x v="14"/>
    <s v="Maharashtra"/>
    <x v="2"/>
    <x v="4"/>
    <x v="15"/>
    <n v="3"/>
    <n v="148.41999999999999"/>
    <x v="519"/>
  </r>
  <r>
    <x v="371"/>
    <s v="Karan"/>
    <x v="0"/>
    <s v="Delhi"/>
    <x v="0"/>
    <x v="2"/>
    <x v="3"/>
    <n v="6"/>
    <n v="7876.84"/>
    <x v="520"/>
  </r>
  <r>
    <x v="378"/>
    <s v="Ananya"/>
    <x v="4"/>
    <s v="Delhi"/>
    <x v="0"/>
    <x v="4"/>
    <x v="20"/>
    <n v="7"/>
    <n v="390.27"/>
    <x v="521"/>
  </r>
  <r>
    <x v="379"/>
    <s v="Rahul"/>
    <x v="11"/>
    <s v="Tamil Nadu"/>
    <x v="1"/>
    <x v="0"/>
    <x v="4"/>
    <n v="8"/>
    <n v="205.51"/>
    <x v="522"/>
  </r>
  <r>
    <x v="243"/>
    <s v="Simran"/>
    <x v="15"/>
    <s v="Uttar Pradesh"/>
    <x v="0"/>
    <x v="3"/>
    <x v="17"/>
    <n v="12"/>
    <n v="212.59"/>
    <x v="523"/>
  </r>
  <r>
    <x v="333"/>
    <s v="Aarohi"/>
    <x v="15"/>
    <s v="Uttar Pradesh"/>
    <x v="0"/>
    <x v="3"/>
    <x v="17"/>
    <n v="1"/>
    <n v="882.94"/>
    <x v="524"/>
  </r>
  <r>
    <x v="140"/>
    <s v="Aarohi"/>
    <x v="1"/>
    <s v="Delhi"/>
    <x v="0"/>
    <x v="2"/>
    <x v="5"/>
    <n v="10"/>
    <n v="9741.2000000000007"/>
    <x v="525"/>
  </r>
  <r>
    <x v="380"/>
    <s v="Karan"/>
    <x v="11"/>
    <s v="Tamil Nadu"/>
    <x v="1"/>
    <x v="4"/>
    <x v="14"/>
    <n v="18"/>
    <n v="167.26"/>
    <x v="526"/>
  </r>
  <r>
    <x v="153"/>
    <s v="Kabir"/>
    <x v="9"/>
    <s v="Bihar"/>
    <x v="3"/>
    <x v="3"/>
    <x v="11"/>
    <n v="2"/>
    <n v="1068.8800000000001"/>
    <x v="527"/>
  </r>
  <r>
    <x v="267"/>
    <s v="Aditi"/>
    <x v="2"/>
    <s v="Karnataka"/>
    <x v="1"/>
    <x v="0"/>
    <x v="7"/>
    <n v="5"/>
    <n v="927.46"/>
    <x v="528"/>
  </r>
  <r>
    <x v="73"/>
    <s v="Nishant"/>
    <x v="1"/>
    <s v="Delhi"/>
    <x v="0"/>
    <x v="0"/>
    <x v="8"/>
    <n v="25"/>
    <n v="748.7"/>
    <x v="529"/>
  </r>
  <r>
    <x v="381"/>
    <s v="Vihaan"/>
    <x v="7"/>
    <s v="Gujarat"/>
    <x v="2"/>
    <x v="1"/>
    <x v="1"/>
    <n v="18"/>
    <n v="1421.08"/>
    <x v="530"/>
  </r>
  <r>
    <x v="69"/>
    <s v="Simran"/>
    <x v="2"/>
    <s v="Karnataka"/>
    <x v="1"/>
    <x v="2"/>
    <x v="9"/>
    <n v="3"/>
    <n v="5645.45"/>
    <x v="531"/>
  </r>
  <r>
    <x v="382"/>
    <s v="Neha"/>
    <x v="10"/>
    <s v="Maharashtra"/>
    <x v="2"/>
    <x v="4"/>
    <x v="21"/>
    <n v="15"/>
    <n v="85.69"/>
    <x v="532"/>
  </r>
  <r>
    <x v="383"/>
    <s v="Aarav"/>
    <x v="8"/>
    <s v="Karnataka"/>
    <x v="1"/>
    <x v="3"/>
    <x v="17"/>
    <n v="14"/>
    <n v="458.62"/>
    <x v="533"/>
  </r>
  <r>
    <x v="276"/>
    <s v="Arjun"/>
    <x v="8"/>
    <s v="Karnataka"/>
    <x v="1"/>
    <x v="3"/>
    <x v="13"/>
    <n v="9"/>
    <n v="1255.17"/>
    <x v="534"/>
  </r>
  <r>
    <x v="384"/>
    <s v="Meera"/>
    <x v="7"/>
    <s v="Gujarat"/>
    <x v="2"/>
    <x v="1"/>
    <x v="1"/>
    <n v="18"/>
    <n v="753.33"/>
    <x v="535"/>
  </r>
  <r>
    <x v="97"/>
    <s v="Neha"/>
    <x v="6"/>
    <s v="Telangana"/>
    <x v="1"/>
    <x v="4"/>
    <x v="21"/>
    <n v="23"/>
    <n v="256.76"/>
    <x v="536"/>
  </r>
  <r>
    <x v="385"/>
    <s v="Arjun"/>
    <x v="13"/>
    <s v="Maharashtra"/>
    <x v="2"/>
    <x v="2"/>
    <x v="5"/>
    <n v="5"/>
    <n v="7449.24"/>
    <x v="537"/>
  </r>
  <r>
    <x v="386"/>
    <s v="Nishant"/>
    <x v="13"/>
    <s v="Maharashtra"/>
    <x v="2"/>
    <x v="1"/>
    <x v="18"/>
    <n v="10"/>
    <n v="1754.83"/>
    <x v="538"/>
  </r>
  <r>
    <x v="387"/>
    <s v="Arjun"/>
    <x v="11"/>
    <s v="Tamil Nadu"/>
    <x v="1"/>
    <x v="2"/>
    <x v="3"/>
    <n v="16"/>
    <n v="7506.24"/>
    <x v="539"/>
  </r>
  <r>
    <x v="67"/>
    <s v="Vihaan"/>
    <x v="14"/>
    <s v="Maharashtra"/>
    <x v="2"/>
    <x v="0"/>
    <x v="8"/>
    <n v="5"/>
    <n v="780.07"/>
    <x v="540"/>
  </r>
  <r>
    <x v="388"/>
    <s v="Kabir"/>
    <x v="4"/>
    <s v="Delhi"/>
    <x v="0"/>
    <x v="2"/>
    <x v="9"/>
    <n v="23"/>
    <n v="3994.58"/>
    <x v="541"/>
  </r>
  <r>
    <x v="69"/>
    <s v="Aditi"/>
    <x v="9"/>
    <s v="Bihar"/>
    <x v="3"/>
    <x v="4"/>
    <x v="20"/>
    <n v="10"/>
    <n v="138.16"/>
    <x v="542"/>
  </r>
  <r>
    <x v="121"/>
    <s v="Nishant"/>
    <x v="2"/>
    <s v="Karnataka"/>
    <x v="1"/>
    <x v="3"/>
    <x v="12"/>
    <n v="24"/>
    <n v="1662.27"/>
    <x v="543"/>
  </r>
  <r>
    <x v="389"/>
    <s v="Aditi"/>
    <x v="3"/>
    <s v="Rajasthan"/>
    <x v="0"/>
    <x v="1"/>
    <x v="18"/>
    <n v="7"/>
    <n v="967.18"/>
    <x v="544"/>
  </r>
  <r>
    <x v="29"/>
    <s v="Karan"/>
    <x v="9"/>
    <s v="Bihar"/>
    <x v="3"/>
    <x v="4"/>
    <x v="15"/>
    <n v="6"/>
    <n v="44.93"/>
    <x v="545"/>
  </r>
  <r>
    <x v="390"/>
    <s v="Neha"/>
    <x v="7"/>
    <s v="Gujarat"/>
    <x v="2"/>
    <x v="3"/>
    <x v="13"/>
    <n v="19"/>
    <n v="295.52999999999997"/>
    <x v="546"/>
  </r>
  <r>
    <x v="391"/>
    <s v="Aarav"/>
    <x v="4"/>
    <s v="Delhi"/>
    <x v="0"/>
    <x v="3"/>
    <x v="17"/>
    <n v="15"/>
    <n v="366.85"/>
    <x v="547"/>
  </r>
  <r>
    <x v="103"/>
    <s v="Aarav"/>
    <x v="11"/>
    <s v="Tamil Nadu"/>
    <x v="1"/>
    <x v="0"/>
    <x v="8"/>
    <n v="17"/>
    <n v="536.64"/>
    <x v="548"/>
  </r>
  <r>
    <x v="392"/>
    <s v="Ishita"/>
    <x v="2"/>
    <s v="Karnataka"/>
    <x v="1"/>
    <x v="0"/>
    <x v="8"/>
    <n v="20"/>
    <n v="590.71"/>
    <x v="549"/>
  </r>
  <r>
    <x v="393"/>
    <s v="Simran"/>
    <x v="9"/>
    <s v="Bihar"/>
    <x v="3"/>
    <x v="0"/>
    <x v="0"/>
    <n v="9"/>
    <n v="923.86"/>
    <x v="550"/>
  </r>
  <r>
    <x v="304"/>
    <s v="Meera"/>
    <x v="5"/>
    <s v="Tamil Nadu"/>
    <x v="1"/>
    <x v="4"/>
    <x v="19"/>
    <n v="2"/>
    <n v="81.900000000000006"/>
    <x v="551"/>
  </r>
  <r>
    <x v="394"/>
    <s v="Aarav"/>
    <x v="2"/>
    <s v="Karnataka"/>
    <x v="1"/>
    <x v="3"/>
    <x v="10"/>
    <n v="9"/>
    <n v="2350.2399999999998"/>
    <x v="552"/>
  </r>
  <r>
    <x v="290"/>
    <s v="Ishita"/>
    <x v="0"/>
    <s v="Delhi"/>
    <x v="0"/>
    <x v="2"/>
    <x v="5"/>
    <n v="21"/>
    <n v="3318.61"/>
    <x v="553"/>
  </r>
  <r>
    <x v="395"/>
    <s v="Riya"/>
    <x v="11"/>
    <s v="Tamil Nadu"/>
    <x v="1"/>
    <x v="1"/>
    <x v="6"/>
    <n v="23"/>
    <n v="1939"/>
    <x v="554"/>
  </r>
  <r>
    <x v="215"/>
    <s v="Aditi"/>
    <x v="3"/>
    <s v="Rajasthan"/>
    <x v="0"/>
    <x v="2"/>
    <x v="9"/>
    <n v="15"/>
    <n v="4145.99"/>
    <x v="555"/>
  </r>
  <r>
    <x v="396"/>
    <s v="Aarohi"/>
    <x v="7"/>
    <s v="Gujarat"/>
    <x v="2"/>
    <x v="1"/>
    <x v="18"/>
    <n v="1"/>
    <n v="1096.3"/>
    <x v="556"/>
  </r>
  <r>
    <x v="355"/>
    <s v="Sanya"/>
    <x v="5"/>
    <s v="Tamil Nadu"/>
    <x v="1"/>
    <x v="0"/>
    <x v="7"/>
    <n v="16"/>
    <n v="170.22"/>
    <x v="557"/>
  </r>
  <r>
    <x v="49"/>
    <s v="Rohan"/>
    <x v="11"/>
    <s v="Tamil Nadu"/>
    <x v="1"/>
    <x v="0"/>
    <x v="4"/>
    <n v="7"/>
    <n v="264.92"/>
    <x v="558"/>
  </r>
  <r>
    <x v="297"/>
    <s v="Vihaan"/>
    <x v="7"/>
    <s v="Gujarat"/>
    <x v="2"/>
    <x v="0"/>
    <x v="0"/>
    <n v="24"/>
    <n v="128"/>
    <x v="559"/>
  </r>
  <r>
    <x v="238"/>
    <s v="Aarohi"/>
    <x v="11"/>
    <s v="Tamil Nadu"/>
    <x v="1"/>
    <x v="2"/>
    <x v="9"/>
    <n v="13"/>
    <n v="9235.69"/>
    <x v="560"/>
  </r>
  <r>
    <x v="15"/>
    <s v="Simran"/>
    <x v="8"/>
    <s v="Karnataka"/>
    <x v="1"/>
    <x v="0"/>
    <x v="0"/>
    <n v="22"/>
    <n v="688.1"/>
    <x v="561"/>
  </r>
  <r>
    <x v="160"/>
    <s v="Sanya"/>
    <x v="5"/>
    <s v="Tamil Nadu"/>
    <x v="1"/>
    <x v="3"/>
    <x v="13"/>
    <n v="6"/>
    <n v="1169.49"/>
    <x v="562"/>
  </r>
  <r>
    <x v="380"/>
    <s v="Kabir"/>
    <x v="11"/>
    <s v="Tamil Nadu"/>
    <x v="1"/>
    <x v="1"/>
    <x v="2"/>
    <n v="22"/>
    <n v="1814.24"/>
    <x v="563"/>
  </r>
  <r>
    <x v="165"/>
    <s v="Meera"/>
    <x v="2"/>
    <s v="Karnataka"/>
    <x v="1"/>
    <x v="0"/>
    <x v="0"/>
    <n v="24"/>
    <n v="1058.58"/>
    <x v="564"/>
  </r>
  <r>
    <x v="397"/>
    <s v="Rohan"/>
    <x v="9"/>
    <s v="Bihar"/>
    <x v="3"/>
    <x v="0"/>
    <x v="4"/>
    <n v="15"/>
    <n v="1036.3399999999999"/>
    <x v="565"/>
  </r>
  <r>
    <x v="120"/>
    <s v="Vihaan"/>
    <x v="1"/>
    <s v="Delhi"/>
    <x v="0"/>
    <x v="2"/>
    <x v="5"/>
    <n v="17"/>
    <n v="2758.07"/>
    <x v="566"/>
  </r>
  <r>
    <x v="388"/>
    <s v="Kabir"/>
    <x v="5"/>
    <s v="Tamil Nadu"/>
    <x v="1"/>
    <x v="2"/>
    <x v="5"/>
    <n v="5"/>
    <n v="2942.34"/>
    <x v="567"/>
  </r>
  <r>
    <x v="25"/>
    <s v="Rohan"/>
    <x v="3"/>
    <s v="Rajasthan"/>
    <x v="0"/>
    <x v="1"/>
    <x v="1"/>
    <n v="5"/>
    <n v="735.31"/>
    <x v="568"/>
  </r>
  <r>
    <x v="219"/>
    <s v="Meera"/>
    <x v="15"/>
    <s v="Uttar Pradesh"/>
    <x v="0"/>
    <x v="0"/>
    <x v="0"/>
    <n v="11"/>
    <n v="797.95"/>
    <x v="569"/>
  </r>
  <r>
    <x v="398"/>
    <s v="Priya"/>
    <x v="11"/>
    <s v="Tamil Nadu"/>
    <x v="1"/>
    <x v="3"/>
    <x v="10"/>
    <n v="19"/>
    <n v="2722.8"/>
    <x v="570"/>
  </r>
  <r>
    <x v="154"/>
    <s v="Meera"/>
    <x v="10"/>
    <s v="Maharashtra"/>
    <x v="2"/>
    <x v="1"/>
    <x v="1"/>
    <n v="21"/>
    <n v="944.41"/>
    <x v="571"/>
  </r>
  <r>
    <x v="110"/>
    <s v="Karan"/>
    <x v="7"/>
    <s v="Gujarat"/>
    <x v="2"/>
    <x v="4"/>
    <x v="16"/>
    <n v="18"/>
    <n v="95.78"/>
    <x v="572"/>
  </r>
  <r>
    <x v="213"/>
    <s v="Ishita"/>
    <x v="12"/>
    <s v="West Bengal"/>
    <x v="3"/>
    <x v="1"/>
    <x v="2"/>
    <n v="1"/>
    <n v="1401.98"/>
    <x v="573"/>
  </r>
  <r>
    <x v="399"/>
    <s v="Riya"/>
    <x v="2"/>
    <s v="Karnataka"/>
    <x v="1"/>
    <x v="0"/>
    <x v="4"/>
    <n v="5"/>
    <n v="212.98"/>
    <x v="574"/>
  </r>
  <r>
    <x v="400"/>
    <s v="Simran"/>
    <x v="5"/>
    <s v="Tamil Nadu"/>
    <x v="1"/>
    <x v="3"/>
    <x v="17"/>
    <n v="2"/>
    <n v="1184.07"/>
    <x v="575"/>
  </r>
  <r>
    <x v="401"/>
    <s v="Priya"/>
    <x v="12"/>
    <s v="West Bengal"/>
    <x v="3"/>
    <x v="2"/>
    <x v="3"/>
    <n v="5"/>
    <n v="5098.6899999999996"/>
    <x v="576"/>
  </r>
  <r>
    <x v="154"/>
    <s v="Sanya"/>
    <x v="8"/>
    <s v="Karnataka"/>
    <x v="1"/>
    <x v="3"/>
    <x v="11"/>
    <n v="1"/>
    <n v="953.78"/>
    <x v="577"/>
  </r>
  <r>
    <x v="126"/>
    <s v="Aarav"/>
    <x v="0"/>
    <s v="Delhi"/>
    <x v="0"/>
    <x v="1"/>
    <x v="2"/>
    <n v="4"/>
    <n v="828.19"/>
    <x v="578"/>
  </r>
  <r>
    <x v="315"/>
    <s v="Vihaan"/>
    <x v="7"/>
    <s v="Gujarat"/>
    <x v="2"/>
    <x v="0"/>
    <x v="7"/>
    <n v="20"/>
    <n v="1194.1500000000001"/>
    <x v="579"/>
  </r>
  <r>
    <x v="402"/>
    <s v="Nishant"/>
    <x v="0"/>
    <s v="Delhi"/>
    <x v="0"/>
    <x v="4"/>
    <x v="14"/>
    <n v="4"/>
    <n v="178.37"/>
    <x v="580"/>
  </r>
  <r>
    <x v="9"/>
    <s v="Nishant"/>
    <x v="11"/>
    <s v="Tamil Nadu"/>
    <x v="1"/>
    <x v="2"/>
    <x v="3"/>
    <n v="5"/>
    <n v="3657.7"/>
    <x v="581"/>
  </r>
  <r>
    <x v="143"/>
    <s v="Ishita"/>
    <x v="5"/>
    <s v="Tamil Nadu"/>
    <x v="1"/>
    <x v="2"/>
    <x v="3"/>
    <n v="4"/>
    <n v="8456.07"/>
    <x v="582"/>
  </r>
  <r>
    <x v="403"/>
    <s v="Yash"/>
    <x v="10"/>
    <s v="Maharashtra"/>
    <x v="2"/>
    <x v="2"/>
    <x v="5"/>
    <n v="17"/>
    <n v="9047.0499999999993"/>
    <x v="583"/>
  </r>
  <r>
    <x v="404"/>
    <s v="Aarohi"/>
    <x v="13"/>
    <s v="Maharashtra"/>
    <x v="2"/>
    <x v="4"/>
    <x v="19"/>
    <n v="7"/>
    <n v="251.42"/>
    <x v="584"/>
  </r>
  <r>
    <x v="349"/>
    <s v="Neha"/>
    <x v="8"/>
    <s v="Karnataka"/>
    <x v="1"/>
    <x v="0"/>
    <x v="8"/>
    <n v="10"/>
    <n v="276.41000000000003"/>
    <x v="585"/>
  </r>
  <r>
    <x v="65"/>
    <s v="Karan"/>
    <x v="8"/>
    <s v="Karnataka"/>
    <x v="1"/>
    <x v="2"/>
    <x v="9"/>
    <n v="8"/>
    <n v="1528.75"/>
    <x v="586"/>
  </r>
  <r>
    <x v="287"/>
    <s v="Meera"/>
    <x v="13"/>
    <s v="Maharashtra"/>
    <x v="2"/>
    <x v="1"/>
    <x v="1"/>
    <n v="5"/>
    <n v="1906.48"/>
    <x v="587"/>
  </r>
  <r>
    <x v="405"/>
    <s v="Meera"/>
    <x v="13"/>
    <s v="Maharashtra"/>
    <x v="2"/>
    <x v="0"/>
    <x v="0"/>
    <n v="15"/>
    <n v="1187.53"/>
    <x v="588"/>
  </r>
  <r>
    <x v="406"/>
    <s v="Aditi"/>
    <x v="6"/>
    <s v="Telangana"/>
    <x v="1"/>
    <x v="4"/>
    <x v="16"/>
    <n v="6"/>
    <n v="352.17"/>
    <x v="589"/>
  </r>
  <r>
    <x v="401"/>
    <s v="Sanya"/>
    <x v="12"/>
    <s v="West Bengal"/>
    <x v="3"/>
    <x v="2"/>
    <x v="3"/>
    <n v="4"/>
    <n v="2497.48"/>
    <x v="590"/>
  </r>
  <r>
    <x v="104"/>
    <s v="Ishita"/>
    <x v="10"/>
    <s v="Maharashtra"/>
    <x v="2"/>
    <x v="3"/>
    <x v="12"/>
    <n v="12"/>
    <n v="3151.94"/>
    <x v="591"/>
  </r>
  <r>
    <x v="172"/>
    <s v="Aditi"/>
    <x v="1"/>
    <s v="Delhi"/>
    <x v="0"/>
    <x v="0"/>
    <x v="4"/>
    <n v="6"/>
    <n v="225.22"/>
    <x v="592"/>
  </r>
  <r>
    <x v="407"/>
    <s v="Priya"/>
    <x v="11"/>
    <s v="Tamil Nadu"/>
    <x v="1"/>
    <x v="2"/>
    <x v="3"/>
    <n v="16"/>
    <n v="9898.94"/>
    <x v="593"/>
  </r>
  <r>
    <x v="408"/>
    <s v="Ananya"/>
    <x v="13"/>
    <s v="Maharashtra"/>
    <x v="2"/>
    <x v="3"/>
    <x v="17"/>
    <n v="6"/>
    <n v="542.25"/>
    <x v="594"/>
  </r>
  <r>
    <x v="135"/>
    <s v="Karan"/>
    <x v="6"/>
    <s v="Telangana"/>
    <x v="1"/>
    <x v="3"/>
    <x v="13"/>
    <n v="13"/>
    <n v="2771.24"/>
    <x v="595"/>
  </r>
  <r>
    <x v="374"/>
    <s v="Ishita"/>
    <x v="10"/>
    <s v="Maharashtra"/>
    <x v="2"/>
    <x v="2"/>
    <x v="9"/>
    <n v="4"/>
    <n v="10819.74"/>
    <x v="596"/>
  </r>
  <r>
    <x v="409"/>
    <s v="Vihaan"/>
    <x v="1"/>
    <s v="Delhi"/>
    <x v="0"/>
    <x v="0"/>
    <x v="4"/>
    <n v="1"/>
    <n v="875.02"/>
    <x v="597"/>
  </r>
  <r>
    <x v="410"/>
    <s v="Neha"/>
    <x v="2"/>
    <s v="Karnataka"/>
    <x v="1"/>
    <x v="0"/>
    <x v="7"/>
    <n v="14"/>
    <n v="827.88"/>
    <x v="598"/>
  </r>
  <r>
    <x v="55"/>
    <s v="Karan"/>
    <x v="9"/>
    <s v="Bihar"/>
    <x v="3"/>
    <x v="2"/>
    <x v="5"/>
    <n v="18"/>
    <n v="10866.65"/>
    <x v="5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041107-84D3-4F03-BBD3-E7AD6AD8E574}" name="PivotTable25" cacheId="3" applyNumberFormats="0" applyBorderFormats="0" applyFontFormats="0" applyPatternFormats="0" applyAlignmentFormats="0" applyWidthHeightFormats="1" dataCaption="Values" tag="8811eaef-50e4-4579-8b2a-9ef5c21f3a50" updatedVersion="8" minRefreshableVersion="5" useAutoFormatting="1" itemPrintTitles="1" createdVersion="8" indent="0" outline="1" outlineData="1" multipleFieldFilters="0" chartFormat="10">
  <location ref="S3:T3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Amount" fld="1" baseField="0" baseItem="0"/>
  </dataFields>
  <chartFormats count="1">
    <chartFormat chart="9" format="1"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9" name="[Range].[Sale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J$6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E6A71-B501-4545-96AD-73227FF341D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4:H29" firstHeaderRow="1" firstDataRow="1" firstDataCol="1" rowPageCount="1" colPageCount="1"/>
  <pivotFields count="10">
    <pivotField axis="axisPage" showAll="0">
      <items count="823">
        <item m="1" x="733"/>
        <item m="1" x="815"/>
        <item m="1" x="480"/>
        <item m="1" x="783"/>
        <item m="1" x="575"/>
        <item m="1" x="465"/>
        <item m="1" x="452"/>
        <item m="1" x="611"/>
        <item m="1" x="527"/>
        <item m="1" x="574"/>
        <item m="1" x="576"/>
        <item m="1" x="446"/>
        <item m="1" x="656"/>
        <item m="1" x="571"/>
        <item m="1" x="526"/>
        <item m="1" x="455"/>
        <item m="1" x="585"/>
        <item m="1" x="453"/>
        <item m="1" x="681"/>
        <item m="1" x="431"/>
        <item m="1" x="688"/>
        <item m="1" x="607"/>
        <item m="1" x="543"/>
        <item m="1" x="524"/>
        <item m="1" x="489"/>
        <item m="1" x="756"/>
        <item m="1" x="750"/>
        <item m="1" x="581"/>
        <item m="1" x="762"/>
        <item m="1" x="560"/>
        <item m="1" x="424"/>
        <item m="1" x="670"/>
        <item m="1" x="778"/>
        <item m="1" x="759"/>
        <item m="1" x="810"/>
        <item m="1" x="457"/>
        <item m="1" x="625"/>
        <item m="1" x="554"/>
        <item m="1" x="685"/>
        <item m="1" x="729"/>
        <item m="1" x="690"/>
        <item m="1" x="652"/>
        <item m="1" x="721"/>
        <item m="1" x="511"/>
        <item m="1" x="752"/>
        <item m="1" x="487"/>
        <item m="1" x="630"/>
        <item m="1" x="672"/>
        <item m="1" x="708"/>
        <item m="1" x="604"/>
        <item m="1" x="814"/>
        <item m="1" x="500"/>
        <item m="1" x="704"/>
        <item m="1" x="459"/>
        <item m="1" x="809"/>
        <item m="1" x="514"/>
        <item m="1" x="793"/>
        <item m="1" x="784"/>
        <item m="1" x="602"/>
        <item m="1" x="621"/>
        <item m="1" x="635"/>
        <item m="1" x="640"/>
        <item m="1" x="573"/>
        <item m="1" x="504"/>
        <item m="1" x="522"/>
        <item m="1" x="755"/>
        <item m="1" x="591"/>
        <item m="1" x="488"/>
        <item m="1" x="660"/>
        <item m="1" x="482"/>
        <item m="1" x="627"/>
        <item m="1" x="808"/>
        <item m="1" x="578"/>
        <item m="1" x="717"/>
        <item m="1" x="661"/>
        <item m="1" x="684"/>
        <item m="1" x="691"/>
        <item m="1" x="507"/>
        <item m="1" x="451"/>
        <item m="1" x="699"/>
        <item m="1" x="562"/>
        <item m="1" x="468"/>
        <item m="1" x="711"/>
        <item m="1" x="715"/>
        <item m="1" x="415"/>
        <item m="1" x="628"/>
        <item m="1" x="654"/>
        <item m="1" x="494"/>
        <item m="1" x="770"/>
        <item m="1" x="803"/>
        <item m="1" x="816"/>
        <item m="1" x="443"/>
        <item m="1" x="568"/>
        <item m="1" x="512"/>
        <item m="1" x="603"/>
        <item m="1" x="676"/>
        <item m="1" x="614"/>
        <item m="1" x="694"/>
        <item m="1" x="686"/>
        <item m="1" x="805"/>
        <item m="1" x="597"/>
        <item m="1" x="768"/>
        <item m="1" x="813"/>
        <item m="1" x="462"/>
        <item m="1" x="806"/>
        <item m="1" x="657"/>
        <item m="1" x="668"/>
        <item m="1" x="642"/>
        <item m="1" x="580"/>
        <item m="1" x="430"/>
        <item m="1" x="553"/>
        <item m="1" x="458"/>
        <item m="1" x="701"/>
        <item m="1" x="639"/>
        <item m="1" x="586"/>
        <item m="1" x="641"/>
        <item m="1" x="505"/>
        <item m="1" x="491"/>
        <item m="1" x="774"/>
        <item m="1" x="749"/>
        <item m="1" x="766"/>
        <item m="1" x="712"/>
        <item m="1" x="751"/>
        <item m="1" x="558"/>
        <item m="1" x="529"/>
        <item m="1" x="725"/>
        <item m="1" x="795"/>
        <item m="1" x="447"/>
        <item m="1" x="746"/>
        <item m="1" x="544"/>
        <item m="1" x="523"/>
        <item m="1" x="636"/>
        <item m="1" x="673"/>
        <item m="1" x="516"/>
        <item m="1" x="724"/>
        <item m="1" x="417"/>
        <item m="1" x="508"/>
        <item m="1" x="510"/>
        <item m="1" x="786"/>
        <item m="1" x="634"/>
        <item m="1" x="439"/>
        <item m="1" x="777"/>
        <item m="1" x="456"/>
        <item m="1" x="658"/>
        <item m="1" x="448"/>
        <item m="1" x="643"/>
        <item m="1" x="437"/>
        <item m="1" x="460"/>
        <item m="1" x="433"/>
        <item m="1" x="473"/>
        <item m="1" x="416"/>
        <item m="1" x="740"/>
        <item m="1" x="429"/>
        <item m="1" x="601"/>
        <item m="1" x="450"/>
        <item m="1" x="485"/>
        <item m="1" x="434"/>
        <item m="1" x="414"/>
        <item m="1" x="413"/>
        <item m="1" x="499"/>
        <item m="1" x="466"/>
        <item m="1" x="646"/>
        <item m="1" x="463"/>
        <item m="1" x="647"/>
        <item m="1" x="727"/>
        <item m="1" x="502"/>
        <item m="1" x="764"/>
        <item m="1" x="419"/>
        <item m="1" x="671"/>
        <item m="1" x="743"/>
        <item m="1" x="644"/>
        <item m="1" x="545"/>
        <item m="1" x="555"/>
        <item m="1" x="648"/>
        <item m="1" x="477"/>
        <item m="1" x="469"/>
        <item m="1" x="556"/>
        <item m="1" x="474"/>
        <item m="1" x="818"/>
        <item m="1" x="754"/>
        <item m="1" x="748"/>
        <item m="1" x="787"/>
        <item m="1" x="536"/>
        <item m="1" x="742"/>
        <item m="1" x="747"/>
        <item m="1" x="613"/>
        <item m="1" x="633"/>
        <item m="1" x="775"/>
        <item m="1" x="599"/>
        <item m="1" x="484"/>
        <item m="1" x="596"/>
        <item m="1" x="481"/>
        <item m="1" x="675"/>
        <item m="1" x="564"/>
        <item m="1" x="534"/>
        <item m="1" x="521"/>
        <item m="1" x="412"/>
        <item m="1" x="503"/>
        <item m="1" x="537"/>
        <item m="1" x="461"/>
        <item m="1" x="629"/>
        <item m="1" x="476"/>
        <item m="1" x="703"/>
        <item m="1" x="538"/>
        <item m="1" x="713"/>
        <item m="1" x="551"/>
        <item m="1" x="593"/>
        <item m="1" x="547"/>
        <item m="1" x="515"/>
        <item m="1" x="454"/>
        <item m="1" x="731"/>
        <item m="1" x="464"/>
        <item m="1" x="705"/>
        <item m="1" x="565"/>
        <item m="1" x="610"/>
        <item m="1" x="683"/>
        <item m="1" x="475"/>
        <item m="1" x="467"/>
        <item m="1" x="598"/>
        <item m="1" x="728"/>
        <item m="1" x="506"/>
        <item m="1" x="411"/>
        <item m="1" x="622"/>
        <item m="1" x="518"/>
        <item m="1" x="772"/>
        <item m="1" x="679"/>
        <item m="1" x="637"/>
        <item m="1" x="422"/>
        <item m="1" x="692"/>
        <item m="1" x="802"/>
        <item m="1" x="444"/>
        <item m="1" x="700"/>
        <item m="1" x="594"/>
        <item m="1" x="651"/>
        <item m="1" x="421"/>
        <item m="1" x="528"/>
        <item m="1" x="509"/>
        <item m="1" x="624"/>
        <item m="1" x="427"/>
        <item m="1" x="533"/>
        <item m="1" x="735"/>
        <item m="1" x="696"/>
        <item m="1" x="532"/>
        <item m="1" x="541"/>
        <item m="1" x="785"/>
        <item m="1" x="471"/>
        <item m="1" x="698"/>
        <item m="1" x="662"/>
        <item m="1" x="716"/>
        <item m="1" x="645"/>
        <item m="1" x="493"/>
        <item m="1" x="563"/>
        <item m="1" x="796"/>
        <item m="1" x="539"/>
        <item m="1" x="797"/>
        <item m="1" x="577"/>
        <item m="1" x="798"/>
        <item m="1" x="680"/>
        <item m="1" x="620"/>
        <item m="1" x="588"/>
        <item m="1" x="709"/>
        <item m="1" x="600"/>
        <item m="1" x="789"/>
        <item m="1" x="765"/>
        <item m="1" x="542"/>
        <item m="1" x="792"/>
        <item m="1" x="559"/>
        <item m="1" x="426"/>
        <item m="1" x="782"/>
        <item m="1" x="486"/>
        <item m="1" x="626"/>
        <item m="1" x="697"/>
        <item m="1" x="584"/>
        <item m="1" x="665"/>
        <item m="1" x="483"/>
        <item m="1" x="440"/>
        <item m="1" x="723"/>
        <item m="1" x="655"/>
        <item m="1" x="678"/>
        <item m="1" x="608"/>
        <item m="1" x="794"/>
        <item m="1" x="513"/>
        <item m="1" x="779"/>
        <item m="1" x="572"/>
        <item m="1" x="530"/>
        <item m="1" x="689"/>
        <item m="1" x="548"/>
        <item m="1" x="517"/>
        <item m="1" x="669"/>
        <item m="1" x="442"/>
        <item m="1" x="807"/>
        <item m="1" x="739"/>
        <item m="1" x="776"/>
        <item m="1" x="718"/>
        <item m="1" x="567"/>
        <item m="1" x="501"/>
        <item m="1" x="736"/>
        <item m="1" x="418"/>
        <item m="1" x="763"/>
        <item m="1" x="722"/>
        <item m="1" x="609"/>
        <item m="1" x="582"/>
        <item m="1" x="569"/>
        <item m="1" x="659"/>
        <item m="1" x="771"/>
        <item m="1" x="666"/>
        <item m="1" x="664"/>
        <item m="1" x="790"/>
        <item m="1" x="710"/>
        <item m="1" x="590"/>
        <item m="1" x="649"/>
        <item m="1" x="788"/>
        <item m="1" x="435"/>
        <item m="1" x="496"/>
        <item m="1" x="714"/>
        <item m="1" x="707"/>
        <item m="1" x="702"/>
        <item m="1" x="552"/>
        <item m="1" x="420"/>
        <item m="1" x="441"/>
        <item m="1" x="617"/>
        <item m="1" x="682"/>
        <item m="1" x="612"/>
        <item m="1" x="653"/>
        <item m="1" x="595"/>
        <item m="1" x="436"/>
        <item m="1" x="438"/>
        <item m="1" x="470"/>
        <item m="1" x="520"/>
        <item m="1" x="812"/>
        <item m="1" x="800"/>
        <item m="1" x="821"/>
        <item m="1" x="495"/>
        <item m="1" x="706"/>
        <item m="1" x="428"/>
        <item m="1" x="549"/>
        <item m="1" x="719"/>
        <item m="1" x="650"/>
        <item m="1" x="674"/>
        <item m="1" x="531"/>
        <item m="1" x="761"/>
        <item m="1" x="540"/>
        <item m="1" x="819"/>
        <item m="1" x="732"/>
        <item m="1" x="631"/>
        <item m="1" x="472"/>
        <item m="1" x="550"/>
        <item m="1" x="423"/>
        <item m="1" x="663"/>
        <item m="1" x="820"/>
        <item m="1" x="737"/>
        <item m="1" x="791"/>
        <item m="1" x="780"/>
        <item m="1" x="432"/>
        <item m="1" x="767"/>
        <item m="1" x="667"/>
        <item m="1" x="781"/>
        <item m="1" x="546"/>
        <item m="1" x="760"/>
        <item m="1" x="618"/>
        <item m="1" x="490"/>
        <item m="1" x="801"/>
        <item m="1" x="677"/>
        <item m="1" x="632"/>
        <item m="1" x="606"/>
        <item m="1" x="589"/>
        <item m="1" x="498"/>
        <item m="1" x="619"/>
        <item m="1" x="695"/>
        <item m="1" x="769"/>
        <item m="1" x="757"/>
        <item m="1" x="561"/>
        <item m="1" x="693"/>
        <item m="1" x="525"/>
        <item m="1" x="583"/>
        <item m="1" x="726"/>
        <item m="1" x="745"/>
        <item m="1" x="799"/>
        <item m="1" x="623"/>
        <item m="1" x="741"/>
        <item m="1" x="616"/>
        <item m="1" x="519"/>
        <item m="1" x="535"/>
        <item m="1" x="478"/>
        <item m="1" x="570"/>
        <item m="1" x="449"/>
        <item m="1" x="592"/>
        <item m="1" x="579"/>
        <item m="1" x="479"/>
        <item m="1" x="425"/>
        <item m="1" x="587"/>
        <item m="1" x="758"/>
        <item m="1" x="566"/>
        <item m="1" x="738"/>
        <item m="1" x="804"/>
        <item m="1" x="811"/>
        <item m="1" x="492"/>
        <item m="1" x="753"/>
        <item m="1" x="557"/>
        <item m="1" x="687"/>
        <item m="1" x="730"/>
        <item m="1" x="773"/>
        <item m="1" x="605"/>
        <item m="1" x="744"/>
        <item m="1" x="720"/>
        <item m="1" x="615"/>
        <item m="1" x="734"/>
        <item m="1" x="497"/>
        <item m="1" x="445"/>
        <item m="1" x="817"/>
        <item m="1" x="638"/>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t="default"/>
      </items>
    </pivotField>
    <pivotField showAll="0"/>
    <pivotField showAll="0">
      <items count="17">
        <item x="7"/>
        <item x="8"/>
        <item x="11"/>
        <item x="5"/>
        <item x="0"/>
        <item x="6"/>
        <item x="3"/>
        <item x="4"/>
        <item x="12"/>
        <item x="15"/>
        <item x="13"/>
        <item x="2"/>
        <item x="14"/>
        <item x="1"/>
        <item x="9"/>
        <item x="10"/>
        <item t="default"/>
      </items>
    </pivotField>
    <pivotField showAll="0"/>
    <pivotField axis="axisRow" showAll="0">
      <items count="5">
        <item x="3"/>
        <item x="0"/>
        <item x="1"/>
        <item x="2"/>
        <item t="default"/>
      </items>
    </pivotField>
    <pivotField showAll="0">
      <items count="6">
        <item x="4"/>
        <item h="1" x="3"/>
        <item h="1" x="2"/>
        <item h="1" x="1"/>
        <item h="1" x="0"/>
        <item t="default"/>
      </items>
    </pivotField>
    <pivotField showAll="0"/>
    <pivotField showAll="0"/>
    <pivotField numFmtId="164" showAll="0"/>
    <pivotField dataField="1" numFmtId="164" showAll="0"/>
  </pivotFields>
  <rowFields count="1">
    <field x="4"/>
  </rowFields>
  <rowItems count="5">
    <i>
      <x/>
    </i>
    <i>
      <x v="1"/>
    </i>
    <i>
      <x v="2"/>
    </i>
    <i>
      <x v="3"/>
    </i>
    <i t="grand">
      <x/>
    </i>
  </rowItems>
  <colItems count="1">
    <i/>
  </colItems>
  <pageFields count="1">
    <pageField fld="0" hier="-1"/>
  </pageFields>
  <dataFields count="1">
    <dataField name="Sum of Sales Amount" fld="9" baseField="0" baseItem="0" numFmtId="164"/>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9C232-1E1F-4B7C-A34C-18BF8D75982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items count="823">
        <item m="1" x="733"/>
        <item m="1" x="815"/>
        <item m="1" x="480"/>
        <item m="1" x="783"/>
        <item m="1" x="575"/>
        <item m="1" x="465"/>
        <item m="1" x="452"/>
        <item m="1" x="611"/>
        <item m="1" x="527"/>
        <item m="1" x="574"/>
        <item m="1" x="576"/>
        <item m="1" x="446"/>
        <item m="1" x="656"/>
        <item m="1" x="571"/>
        <item m="1" x="526"/>
        <item m="1" x="455"/>
        <item m="1" x="585"/>
        <item m="1" x="453"/>
        <item m="1" x="681"/>
        <item m="1" x="431"/>
        <item m="1" x="688"/>
        <item m="1" x="607"/>
        <item m="1" x="543"/>
        <item m="1" x="524"/>
        <item m="1" x="489"/>
        <item m="1" x="756"/>
        <item m="1" x="750"/>
        <item m="1" x="581"/>
        <item m="1" x="762"/>
        <item m="1" x="560"/>
        <item m="1" x="424"/>
        <item m="1" x="670"/>
        <item m="1" x="778"/>
        <item m="1" x="759"/>
        <item m="1" x="810"/>
        <item m="1" x="457"/>
        <item m="1" x="625"/>
        <item m="1" x="554"/>
        <item m="1" x="685"/>
        <item m="1" x="729"/>
        <item m="1" x="690"/>
        <item m="1" x="652"/>
        <item m="1" x="721"/>
        <item m="1" x="511"/>
        <item m="1" x="752"/>
        <item m="1" x="487"/>
        <item m="1" x="630"/>
        <item m="1" x="672"/>
        <item m="1" x="708"/>
        <item m="1" x="604"/>
        <item m="1" x="814"/>
        <item m="1" x="500"/>
        <item m="1" x="704"/>
        <item m="1" x="459"/>
        <item m="1" x="809"/>
        <item m="1" x="514"/>
        <item m="1" x="793"/>
        <item m="1" x="784"/>
        <item m="1" x="602"/>
        <item m="1" x="621"/>
        <item m="1" x="635"/>
        <item m="1" x="640"/>
        <item m="1" x="573"/>
        <item m="1" x="504"/>
        <item m="1" x="522"/>
        <item m="1" x="755"/>
        <item m="1" x="591"/>
        <item m="1" x="488"/>
        <item m="1" x="660"/>
        <item m="1" x="482"/>
        <item m="1" x="627"/>
        <item m="1" x="808"/>
        <item m="1" x="578"/>
        <item m="1" x="717"/>
        <item m="1" x="661"/>
        <item m="1" x="684"/>
        <item m="1" x="691"/>
        <item m="1" x="507"/>
        <item m="1" x="451"/>
        <item m="1" x="699"/>
        <item m="1" x="562"/>
        <item m="1" x="468"/>
        <item m="1" x="711"/>
        <item m="1" x="715"/>
        <item m="1" x="415"/>
        <item m="1" x="628"/>
        <item m="1" x="654"/>
        <item m="1" x="494"/>
        <item m="1" x="770"/>
        <item m="1" x="803"/>
        <item m="1" x="816"/>
        <item m="1" x="443"/>
        <item m="1" x="568"/>
        <item m="1" x="512"/>
        <item m="1" x="603"/>
        <item m="1" x="676"/>
        <item m="1" x="614"/>
        <item m="1" x="694"/>
        <item m="1" x="686"/>
        <item m="1" x="805"/>
        <item m="1" x="597"/>
        <item m="1" x="768"/>
        <item m="1" x="813"/>
        <item m="1" x="462"/>
        <item m="1" x="806"/>
        <item m="1" x="657"/>
        <item m="1" x="668"/>
        <item m="1" x="642"/>
        <item m="1" x="580"/>
        <item m="1" x="430"/>
        <item m="1" x="553"/>
        <item m="1" x="458"/>
        <item m="1" x="701"/>
        <item m="1" x="639"/>
        <item m="1" x="586"/>
        <item m="1" x="641"/>
        <item m="1" x="505"/>
        <item m="1" x="491"/>
        <item m="1" x="774"/>
        <item m="1" x="749"/>
        <item m="1" x="766"/>
        <item m="1" x="712"/>
        <item m="1" x="751"/>
        <item m="1" x="558"/>
        <item m="1" x="529"/>
        <item m="1" x="725"/>
        <item m="1" x="795"/>
        <item m="1" x="447"/>
        <item m="1" x="746"/>
        <item m="1" x="544"/>
        <item m="1" x="523"/>
        <item m="1" x="636"/>
        <item m="1" x="673"/>
        <item m="1" x="516"/>
        <item m="1" x="724"/>
        <item m="1" x="417"/>
        <item m="1" x="508"/>
        <item m="1" x="510"/>
        <item m="1" x="786"/>
        <item m="1" x="634"/>
        <item m="1" x="439"/>
        <item m="1" x="777"/>
        <item m="1" x="456"/>
        <item m="1" x="658"/>
        <item m="1" x="448"/>
        <item m="1" x="643"/>
        <item m="1" x="437"/>
        <item m="1" x="460"/>
        <item m="1" x="433"/>
        <item m="1" x="473"/>
        <item m="1" x="416"/>
        <item m="1" x="740"/>
        <item m="1" x="429"/>
        <item m="1" x="601"/>
        <item m="1" x="450"/>
        <item m="1" x="485"/>
        <item m="1" x="434"/>
        <item m="1" x="414"/>
        <item m="1" x="413"/>
        <item m="1" x="499"/>
        <item m="1" x="466"/>
        <item m="1" x="646"/>
        <item m="1" x="463"/>
        <item m="1" x="647"/>
        <item m="1" x="727"/>
        <item m="1" x="502"/>
        <item m="1" x="764"/>
        <item m="1" x="419"/>
        <item m="1" x="671"/>
        <item m="1" x="743"/>
        <item m="1" x="644"/>
        <item m="1" x="545"/>
        <item m="1" x="555"/>
        <item m="1" x="648"/>
        <item m="1" x="477"/>
        <item m="1" x="469"/>
        <item m="1" x="556"/>
        <item m="1" x="474"/>
        <item m="1" x="818"/>
        <item m="1" x="754"/>
        <item m="1" x="748"/>
        <item m="1" x="787"/>
        <item m="1" x="536"/>
        <item m="1" x="742"/>
        <item m="1" x="747"/>
        <item m="1" x="613"/>
        <item m="1" x="633"/>
        <item m="1" x="775"/>
        <item m="1" x="599"/>
        <item m="1" x="484"/>
        <item m="1" x="596"/>
        <item m="1" x="481"/>
        <item m="1" x="675"/>
        <item m="1" x="564"/>
        <item m="1" x="534"/>
        <item m="1" x="521"/>
        <item m="1" x="412"/>
        <item m="1" x="503"/>
        <item m="1" x="537"/>
        <item m="1" x="461"/>
        <item m="1" x="629"/>
        <item m="1" x="476"/>
        <item m="1" x="703"/>
        <item m="1" x="538"/>
        <item m="1" x="713"/>
        <item m="1" x="551"/>
        <item m="1" x="593"/>
        <item m="1" x="547"/>
        <item m="1" x="515"/>
        <item m="1" x="454"/>
        <item m="1" x="731"/>
        <item m="1" x="464"/>
        <item m="1" x="705"/>
        <item m="1" x="565"/>
        <item m="1" x="610"/>
        <item m="1" x="683"/>
        <item m="1" x="475"/>
        <item m="1" x="467"/>
        <item m="1" x="598"/>
        <item m="1" x="728"/>
        <item m="1" x="506"/>
        <item m="1" x="411"/>
        <item m="1" x="622"/>
        <item m="1" x="518"/>
        <item m="1" x="772"/>
        <item m="1" x="679"/>
        <item m="1" x="637"/>
        <item m="1" x="422"/>
        <item m="1" x="692"/>
        <item m="1" x="802"/>
        <item m="1" x="444"/>
        <item m="1" x="700"/>
        <item m="1" x="594"/>
        <item m="1" x="651"/>
        <item m="1" x="421"/>
        <item m="1" x="528"/>
        <item m="1" x="509"/>
        <item m="1" x="624"/>
        <item m="1" x="427"/>
        <item m="1" x="533"/>
        <item m="1" x="735"/>
        <item m="1" x="696"/>
        <item m="1" x="532"/>
        <item m="1" x="541"/>
        <item m="1" x="785"/>
        <item m="1" x="471"/>
        <item m="1" x="698"/>
        <item m="1" x="662"/>
        <item m="1" x="716"/>
        <item m="1" x="645"/>
        <item m="1" x="493"/>
        <item m="1" x="563"/>
        <item m="1" x="796"/>
        <item m="1" x="539"/>
        <item m="1" x="797"/>
        <item m="1" x="577"/>
        <item m="1" x="798"/>
        <item m="1" x="680"/>
        <item m="1" x="620"/>
        <item m="1" x="588"/>
        <item m="1" x="709"/>
        <item m="1" x="600"/>
        <item m="1" x="789"/>
        <item m="1" x="765"/>
        <item m="1" x="542"/>
        <item m="1" x="792"/>
        <item m="1" x="559"/>
        <item m="1" x="426"/>
        <item m="1" x="782"/>
        <item m="1" x="486"/>
        <item m="1" x="626"/>
        <item m="1" x="697"/>
        <item m="1" x="584"/>
        <item m="1" x="665"/>
        <item m="1" x="483"/>
        <item m="1" x="440"/>
        <item m="1" x="723"/>
        <item m="1" x="655"/>
        <item m="1" x="678"/>
        <item m="1" x="608"/>
        <item m="1" x="794"/>
        <item m="1" x="513"/>
        <item m="1" x="779"/>
        <item m="1" x="572"/>
        <item m="1" x="530"/>
        <item m="1" x="689"/>
        <item m="1" x="548"/>
        <item m="1" x="517"/>
        <item m="1" x="669"/>
        <item m="1" x="442"/>
        <item m="1" x="807"/>
        <item m="1" x="739"/>
        <item m="1" x="776"/>
        <item m="1" x="718"/>
        <item m="1" x="567"/>
        <item m="1" x="501"/>
        <item m="1" x="736"/>
        <item m="1" x="418"/>
        <item m="1" x="763"/>
        <item m="1" x="722"/>
        <item m="1" x="609"/>
        <item m="1" x="582"/>
        <item m="1" x="569"/>
        <item m="1" x="659"/>
        <item m="1" x="771"/>
        <item m="1" x="666"/>
        <item m="1" x="664"/>
        <item m="1" x="790"/>
        <item m="1" x="710"/>
        <item m="1" x="590"/>
        <item m="1" x="649"/>
        <item m="1" x="788"/>
        <item m="1" x="435"/>
        <item m="1" x="496"/>
        <item m="1" x="714"/>
        <item m="1" x="707"/>
        <item m="1" x="702"/>
        <item m="1" x="552"/>
        <item m="1" x="420"/>
        <item m="1" x="441"/>
        <item m="1" x="617"/>
        <item m="1" x="682"/>
        <item m="1" x="612"/>
        <item m="1" x="653"/>
        <item m="1" x="595"/>
        <item m="1" x="436"/>
        <item m="1" x="438"/>
        <item m="1" x="470"/>
        <item m="1" x="520"/>
        <item m="1" x="812"/>
        <item m="1" x="800"/>
        <item m="1" x="821"/>
        <item m="1" x="495"/>
        <item m="1" x="706"/>
        <item m="1" x="428"/>
        <item m="1" x="549"/>
        <item m="1" x="719"/>
        <item m="1" x="650"/>
        <item m="1" x="674"/>
        <item m="1" x="531"/>
        <item m="1" x="761"/>
        <item m="1" x="540"/>
        <item m="1" x="819"/>
        <item m="1" x="732"/>
        <item m="1" x="631"/>
        <item m="1" x="472"/>
        <item m="1" x="550"/>
        <item m="1" x="423"/>
        <item m="1" x="663"/>
        <item m="1" x="820"/>
        <item m="1" x="737"/>
        <item m="1" x="791"/>
        <item m="1" x="780"/>
        <item m="1" x="432"/>
        <item m="1" x="767"/>
        <item m="1" x="667"/>
        <item m="1" x="781"/>
        <item m="1" x="546"/>
        <item m="1" x="760"/>
        <item m="1" x="618"/>
        <item m="1" x="490"/>
        <item m="1" x="801"/>
        <item m="1" x="677"/>
        <item m="1" x="632"/>
        <item m="1" x="606"/>
        <item m="1" x="589"/>
        <item m="1" x="498"/>
        <item m="1" x="619"/>
        <item m="1" x="695"/>
        <item m="1" x="769"/>
        <item m="1" x="757"/>
        <item m="1" x="561"/>
        <item m="1" x="693"/>
        <item m="1" x="525"/>
        <item m="1" x="583"/>
        <item m="1" x="726"/>
        <item m="1" x="745"/>
        <item m="1" x="799"/>
        <item m="1" x="623"/>
        <item m="1" x="741"/>
        <item m="1" x="616"/>
        <item m="1" x="519"/>
        <item m="1" x="535"/>
        <item m="1" x="478"/>
        <item m="1" x="570"/>
        <item m="1" x="449"/>
        <item m="1" x="592"/>
        <item m="1" x="579"/>
        <item m="1" x="479"/>
        <item m="1" x="425"/>
        <item m="1" x="587"/>
        <item m="1" x="758"/>
        <item m="1" x="566"/>
        <item m="1" x="738"/>
        <item m="1" x="804"/>
        <item m="1" x="811"/>
        <item m="1" x="492"/>
        <item m="1" x="753"/>
        <item m="1" x="557"/>
        <item m="1" x="687"/>
        <item m="1" x="730"/>
        <item m="1" x="773"/>
        <item m="1" x="605"/>
        <item m="1" x="744"/>
        <item m="1" x="720"/>
        <item m="1" x="615"/>
        <item m="1" x="734"/>
        <item m="1" x="497"/>
        <item m="1" x="445"/>
        <item m="1" x="817"/>
        <item m="1" x="638"/>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t="default"/>
      </items>
    </pivotField>
    <pivotField showAll="0"/>
    <pivotField showAll="0">
      <items count="17">
        <item x="7"/>
        <item x="8"/>
        <item x="11"/>
        <item x="5"/>
        <item x="0"/>
        <item x="6"/>
        <item x="3"/>
        <item x="4"/>
        <item x="12"/>
        <item x="15"/>
        <item x="13"/>
        <item x="2"/>
        <item x="14"/>
        <item x="1"/>
        <item x="9"/>
        <item x="10"/>
        <item t="default"/>
      </items>
    </pivotField>
    <pivotField showAll="0"/>
    <pivotField showAll="0">
      <items count="5">
        <item x="3"/>
        <item x="0"/>
        <item x="1"/>
        <item x="2"/>
        <item t="default"/>
      </items>
    </pivotField>
    <pivotField showAll="0">
      <items count="6">
        <item x="4"/>
        <item h="1" x="3"/>
        <item h="1" x="2"/>
        <item h="1" x="1"/>
        <item h="1" x="0"/>
        <item t="default"/>
      </items>
    </pivotField>
    <pivotField axis="axisRow" showAll="0" sortType="descending">
      <items count="24">
        <item x="3"/>
        <item x="2"/>
        <item x="10"/>
        <item x="20"/>
        <item x="21"/>
        <item x="1"/>
        <item x="13"/>
        <item x="0"/>
        <item x="11"/>
        <item x="22"/>
        <item x="9"/>
        <item x="16"/>
        <item x="15"/>
        <item x="12"/>
        <item x="19"/>
        <item x="14"/>
        <item x="6"/>
        <item x="8"/>
        <item x="4"/>
        <item x="5"/>
        <item x="18"/>
        <item x="17"/>
        <item x="7"/>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s>
  <rowFields count="1">
    <field x="6"/>
  </rowFields>
  <rowItems count="8">
    <i>
      <x v="4"/>
    </i>
    <i>
      <x v="14"/>
    </i>
    <i>
      <x v="11"/>
    </i>
    <i>
      <x v="15"/>
    </i>
    <i>
      <x v="3"/>
    </i>
    <i>
      <x v="9"/>
    </i>
    <i>
      <x v="12"/>
    </i>
    <i t="grand">
      <x/>
    </i>
  </rowItems>
  <colItems count="1">
    <i/>
  </colItems>
  <dataFields count="1">
    <dataField name="Sum of Sales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C42980-AE23-487E-B575-C264E0B7B19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20" firstHeaderRow="1" firstDataRow="1" firstDataCol="1"/>
  <pivotFields count="10">
    <pivotField showAll="0">
      <items count="823">
        <item m="1" x="733"/>
        <item m="1" x="815"/>
        <item m="1" x="480"/>
        <item m="1" x="783"/>
        <item m="1" x="575"/>
        <item m="1" x="465"/>
        <item m="1" x="452"/>
        <item m="1" x="611"/>
        <item m="1" x="527"/>
        <item m="1" x="574"/>
        <item m="1" x="576"/>
        <item m="1" x="446"/>
        <item m="1" x="656"/>
        <item m="1" x="571"/>
        <item m="1" x="526"/>
        <item m="1" x="455"/>
        <item m="1" x="585"/>
        <item m="1" x="453"/>
        <item m="1" x="681"/>
        <item m="1" x="431"/>
        <item m="1" x="688"/>
        <item m="1" x="607"/>
        <item m="1" x="543"/>
        <item m="1" x="524"/>
        <item m="1" x="489"/>
        <item m="1" x="756"/>
        <item m="1" x="750"/>
        <item m="1" x="581"/>
        <item m="1" x="762"/>
        <item m="1" x="560"/>
        <item m="1" x="424"/>
        <item m="1" x="670"/>
        <item m="1" x="778"/>
        <item m="1" x="759"/>
        <item m="1" x="810"/>
        <item m="1" x="457"/>
        <item m="1" x="625"/>
        <item m="1" x="554"/>
        <item m="1" x="685"/>
        <item m="1" x="729"/>
        <item m="1" x="690"/>
        <item m="1" x="652"/>
        <item m="1" x="721"/>
        <item m="1" x="511"/>
        <item m="1" x="752"/>
        <item m="1" x="487"/>
        <item m="1" x="630"/>
        <item m="1" x="672"/>
        <item m="1" x="708"/>
        <item m="1" x="604"/>
        <item m="1" x="814"/>
        <item m="1" x="500"/>
        <item m="1" x="704"/>
        <item m="1" x="459"/>
        <item m="1" x="809"/>
        <item m="1" x="514"/>
        <item m="1" x="793"/>
        <item m="1" x="784"/>
        <item m="1" x="602"/>
        <item m="1" x="621"/>
        <item m="1" x="635"/>
        <item m="1" x="640"/>
        <item m="1" x="573"/>
        <item m="1" x="504"/>
        <item m="1" x="522"/>
        <item m="1" x="755"/>
        <item m="1" x="591"/>
        <item m="1" x="488"/>
        <item m="1" x="660"/>
        <item m="1" x="482"/>
        <item m="1" x="627"/>
        <item m="1" x="808"/>
        <item m="1" x="578"/>
        <item m="1" x="717"/>
        <item m="1" x="661"/>
        <item m="1" x="684"/>
        <item m="1" x="691"/>
        <item m="1" x="507"/>
        <item m="1" x="451"/>
        <item m="1" x="699"/>
        <item m="1" x="562"/>
        <item m="1" x="468"/>
        <item m="1" x="711"/>
        <item m="1" x="715"/>
        <item m="1" x="415"/>
        <item m="1" x="628"/>
        <item m="1" x="654"/>
        <item m="1" x="494"/>
        <item m="1" x="770"/>
        <item m="1" x="803"/>
        <item m="1" x="816"/>
        <item m="1" x="443"/>
        <item m="1" x="568"/>
        <item m="1" x="512"/>
        <item m="1" x="603"/>
        <item m="1" x="676"/>
        <item m="1" x="614"/>
        <item m="1" x="694"/>
        <item m="1" x="686"/>
        <item m="1" x="805"/>
        <item m="1" x="597"/>
        <item m="1" x="768"/>
        <item m="1" x="813"/>
        <item m="1" x="462"/>
        <item m="1" x="806"/>
        <item m="1" x="657"/>
        <item m="1" x="668"/>
        <item m="1" x="642"/>
        <item m="1" x="580"/>
        <item m="1" x="430"/>
        <item m="1" x="553"/>
        <item m="1" x="458"/>
        <item m="1" x="701"/>
        <item m="1" x="639"/>
        <item m="1" x="586"/>
        <item m="1" x="641"/>
        <item m="1" x="505"/>
        <item m="1" x="491"/>
        <item m="1" x="774"/>
        <item m="1" x="749"/>
        <item m="1" x="766"/>
        <item m="1" x="712"/>
        <item m="1" x="751"/>
        <item m="1" x="558"/>
        <item m="1" x="529"/>
        <item m="1" x="725"/>
        <item m="1" x="795"/>
        <item m="1" x="447"/>
        <item m="1" x="746"/>
        <item m="1" x="544"/>
        <item m="1" x="523"/>
        <item m="1" x="636"/>
        <item m="1" x="673"/>
        <item m="1" x="516"/>
        <item m="1" x="724"/>
        <item m="1" x="417"/>
        <item m="1" x="508"/>
        <item m="1" x="510"/>
        <item m="1" x="786"/>
        <item m="1" x="634"/>
        <item m="1" x="439"/>
        <item m="1" x="777"/>
        <item m="1" x="456"/>
        <item m="1" x="658"/>
        <item m="1" x="448"/>
        <item m="1" x="643"/>
        <item m="1" x="437"/>
        <item m="1" x="460"/>
        <item m="1" x="433"/>
        <item m="1" x="473"/>
        <item m="1" x="416"/>
        <item m="1" x="740"/>
        <item m="1" x="429"/>
        <item m="1" x="601"/>
        <item m="1" x="450"/>
        <item m="1" x="485"/>
        <item m="1" x="434"/>
        <item m="1" x="414"/>
        <item m="1" x="413"/>
        <item m="1" x="499"/>
        <item m="1" x="466"/>
        <item m="1" x="646"/>
        <item m="1" x="463"/>
        <item m="1" x="647"/>
        <item m="1" x="727"/>
        <item m="1" x="502"/>
        <item m="1" x="764"/>
        <item m="1" x="419"/>
        <item m="1" x="671"/>
        <item m="1" x="743"/>
        <item m="1" x="644"/>
        <item m="1" x="545"/>
        <item m="1" x="555"/>
        <item m="1" x="648"/>
        <item m="1" x="477"/>
        <item m="1" x="469"/>
        <item m="1" x="556"/>
        <item m="1" x="474"/>
        <item m="1" x="818"/>
        <item m="1" x="754"/>
        <item m="1" x="748"/>
        <item m="1" x="787"/>
        <item m="1" x="536"/>
        <item m="1" x="742"/>
        <item m="1" x="747"/>
        <item m="1" x="613"/>
        <item m="1" x="633"/>
        <item m="1" x="775"/>
        <item m="1" x="599"/>
        <item m="1" x="484"/>
        <item m="1" x="596"/>
        <item m="1" x="481"/>
        <item m="1" x="675"/>
        <item m="1" x="564"/>
        <item m="1" x="534"/>
        <item m="1" x="521"/>
        <item m="1" x="412"/>
        <item m="1" x="503"/>
        <item m="1" x="537"/>
        <item m="1" x="461"/>
        <item m="1" x="629"/>
        <item m="1" x="476"/>
        <item m="1" x="703"/>
        <item m="1" x="538"/>
        <item m="1" x="713"/>
        <item m="1" x="551"/>
        <item m="1" x="593"/>
        <item m="1" x="547"/>
        <item m="1" x="515"/>
        <item m="1" x="454"/>
        <item m="1" x="731"/>
        <item m="1" x="464"/>
        <item m="1" x="705"/>
        <item m="1" x="565"/>
        <item m="1" x="610"/>
        <item m="1" x="683"/>
        <item m="1" x="475"/>
        <item m="1" x="467"/>
        <item m="1" x="598"/>
        <item m="1" x="728"/>
        <item m="1" x="506"/>
        <item m="1" x="411"/>
        <item m="1" x="622"/>
        <item m="1" x="518"/>
        <item m="1" x="772"/>
        <item m="1" x="679"/>
        <item m="1" x="637"/>
        <item m="1" x="422"/>
        <item m="1" x="692"/>
        <item m="1" x="802"/>
        <item m="1" x="444"/>
        <item m="1" x="700"/>
        <item m="1" x="594"/>
        <item m="1" x="651"/>
        <item m="1" x="421"/>
        <item m="1" x="528"/>
        <item m="1" x="509"/>
        <item m="1" x="624"/>
        <item m="1" x="427"/>
        <item m="1" x="533"/>
        <item m="1" x="735"/>
        <item m="1" x="696"/>
        <item m="1" x="532"/>
        <item m="1" x="541"/>
        <item m="1" x="785"/>
        <item m="1" x="471"/>
        <item m="1" x="698"/>
        <item m="1" x="662"/>
        <item m="1" x="716"/>
        <item m="1" x="645"/>
        <item m="1" x="493"/>
        <item m="1" x="563"/>
        <item m="1" x="796"/>
        <item m="1" x="539"/>
        <item m="1" x="797"/>
        <item m="1" x="577"/>
        <item m="1" x="798"/>
        <item m="1" x="680"/>
        <item m="1" x="620"/>
        <item m="1" x="588"/>
        <item m="1" x="709"/>
        <item m="1" x="600"/>
        <item m="1" x="789"/>
        <item m="1" x="765"/>
        <item m="1" x="542"/>
        <item m="1" x="792"/>
        <item m="1" x="559"/>
        <item m="1" x="426"/>
        <item m="1" x="782"/>
        <item m="1" x="486"/>
        <item m="1" x="626"/>
        <item m="1" x="697"/>
        <item m="1" x="584"/>
        <item m="1" x="665"/>
        <item m="1" x="483"/>
        <item m="1" x="440"/>
        <item m="1" x="723"/>
        <item m="1" x="655"/>
        <item m="1" x="678"/>
        <item m="1" x="608"/>
        <item m="1" x="794"/>
        <item m="1" x="513"/>
        <item m="1" x="779"/>
        <item m="1" x="572"/>
        <item m="1" x="530"/>
        <item m="1" x="689"/>
        <item m="1" x="548"/>
        <item m="1" x="517"/>
        <item m="1" x="669"/>
        <item m="1" x="442"/>
        <item m="1" x="807"/>
        <item m="1" x="739"/>
        <item m="1" x="776"/>
        <item m="1" x="718"/>
        <item m="1" x="567"/>
        <item m="1" x="501"/>
        <item m="1" x="736"/>
        <item m="1" x="418"/>
        <item m="1" x="763"/>
        <item m="1" x="722"/>
        <item m="1" x="609"/>
        <item m="1" x="582"/>
        <item m="1" x="569"/>
        <item m="1" x="659"/>
        <item m="1" x="771"/>
        <item m="1" x="666"/>
        <item m="1" x="664"/>
        <item m="1" x="790"/>
        <item m="1" x="710"/>
        <item m="1" x="590"/>
        <item m="1" x="649"/>
        <item m="1" x="788"/>
        <item m="1" x="435"/>
        <item m="1" x="496"/>
        <item m="1" x="714"/>
        <item m="1" x="707"/>
        <item m="1" x="702"/>
        <item m="1" x="552"/>
        <item m="1" x="420"/>
        <item m="1" x="441"/>
        <item m="1" x="617"/>
        <item m="1" x="682"/>
        <item m="1" x="612"/>
        <item m="1" x="653"/>
        <item m="1" x="595"/>
        <item m="1" x="436"/>
        <item m="1" x="438"/>
        <item m="1" x="470"/>
        <item m="1" x="520"/>
        <item m="1" x="812"/>
        <item m="1" x="800"/>
        <item m="1" x="821"/>
        <item m="1" x="495"/>
        <item m="1" x="706"/>
        <item m="1" x="428"/>
        <item m="1" x="549"/>
        <item m="1" x="719"/>
        <item m="1" x="650"/>
        <item m="1" x="674"/>
        <item m="1" x="531"/>
        <item m="1" x="761"/>
        <item m="1" x="540"/>
        <item m="1" x="819"/>
        <item m="1" x="732"/>
        <item m="1" x="631"/>
        <item m="1" x="472"/>
        <item m="1" x="550"/>
        <item m="1" x="423"/>
        <item m="1" x="663"/>
        <item m="1" x="820"/>
        <item m="1" x="737"/>
        <item m="1" x="791"/>
        <item m="1" x="780"/>
        <item m="1" x="432"/>
        <item m="1" x="767"/>
        <item m="1" x="667"/>
        <item m="1" x="781"/>
        <item m="1" x="546"/>
        <item m="1" x="760"/>
        <item m="1" x="618"/>
        <item m="1" x="490"/>
        <item m="1" x="801"/>
        <item m="1" x="677"/>
        <item m="1" x="632"/>
        <item m="1" x="606"/>
        <item m="1" x="589"/>
        <item m="1" x="498"/>
        <item m="1" x="619"/>
        <item m="1" x="695"/>
        <item m="1" x="769"/>
        <item m="1" x="757"/>
        <item m="1" x="561"/>
        <item m="1" x="693"/>
        <item m="1" x="525"/>
        <item m="1" x="583"/>
        <item m="1" x="726"/>
        <item m="1" x="745"/>
        <item m="1" x="799"/>
        <item m="1" x="623"/>
        <item m="1" x="741"/>
        <item m="1" x="616"/>
        <item m="1" x="519"/>
        <item m="1" x="535"/>
        <item m="1" x="478"/>
        <item m="1" x="570"/>
        <item m="1" x="449"/>
        <item m="1" x="592"/>
        <item m="1" x="579"/>
        <item m="1" x="479"/>
        <item m="1" x="425"/>
        <item m="1" x="587"/>
        <item m="1" x="758"/>
        <item m="1" x="566"/>
        <item m="1" x="738"/>
        <item m="1" x="804"/>
        <item m="1" x="811"/>
        <item m="1" x="492"/>
        <item m="1" x="753"/>
        <item m="1" x="557"/>
        <item m="1" x="687"/>
        <item m="1" x="730"/>
        <item m="1" x="773"/>
        <item m="1" x="605"/>
        <item m="1" x="744"/>
        <item m="1" x="720"/>
        <item m="1" x="615"/>
        <item m="1" x="734"/>
        <item m="1" x="497"/>
        <item m="1" x="445"/>
        <item m="1" x="817"/>
        <item m="1" x="638"/>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t="default"/>
      </items>
    </pivotField>
    <pivotField showAll="0"/>
    <pivotField axis="axisRow" showAll="0" sortType="descending">
      <items count="17">
        <item x="7"/>
        <item x="8"/>
        <item x="11"/>
        <item x="5"/>
        <item x="0"/>
        <item x="6"/>
        <item x="3"/>
        <item x="4"/>
        <item x="12"/>
        <item x="15"/>
        <item x="13"/>
        <item x="2"/>
        <item x="14"/>
        <item x="1"/>
        <item x="9"/>
        <item x="1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showAll="0">
      <items count="6">
        <item x="4"/>
        <item h="1" x="3"/>
        <item h="1" x="2"/>
        <item h="1" x="1"/>
        <item h="1" x="0"/>
        <item t="default"/>
      </items>
    </pivotField>
    <pivotField showAll="0"/>
    <pivotField showAll="0"/>
    <pivotField numFmtId="164" showAll="0"/>
    <pivotField dataField="1" numFmtId="164" showAll="0"/>
  </pivotFields>
  <rowFields count="1">
    <field x="2"/>
  </rowFields>
  <rowItems count="17">
    <i>
      <x v="8"/>
    </i>
    <i>
      <x v="5"/>
    </i>
    <i>
      <x v="3"/>
    </i>
    <i>
      <x/>
    </i>
    <i>
      <x v="12"/>
    </i>
    <i>
      <x v="6"/>
    </i>
    <i>
      <x v="7"/>
    </i>
    <i>
      <x v="1"/>
    </i>
    <i>
      <x v="10"/>
    </i>
    <i>
      <x v="2"/>
    </i>
    <i>
      <x v="11"/>
    </i>
    <i>
      <x v="15"/>
    </i>
    <i>
      <x v="13"/>
    </i>
    <i>
      <x v="14"/>
    </i>
    <i>
      <x v="9"/>
    </i>
    <i>
      <x v="4"/>
    </i>
    <i t="grand">
      <x/>
    </i>
  </rowItems>
  <colItems count="1">
    <i/>
  </colItems>
  <dataFields count="1">
    <dataField name="Sum of Sales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8A55CA-9BDD-4E39-9108-15F84A211BBD}"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13:N15" firstHeaderRow="1" firstDataRow="1" firstDataCol="1" rowPageCount="1" colPageCount="1"/>
  <pivotFields count="10">
    <pivotField axis="axisPage" multipleItemSelectionAllowed="1" showAll="0">
      <items count="823">
        <item m="1" x="733"/>
        <item m="1" x="815"/>
        <item m="1" x="480"/>
        <item m="1" x="783"/>
        <item m="1" x="575"/>
        <item m="1" x="465"/>
        <item m="1" x="452"/>
        <item m="1" x="611"/>
        <item m="1" x="527"/>
        <item m="1" x="574"/>
        <item m="1" x="576"/>
        <item m="1" x="446"/>
        <item m="1" x="656"/>
        <item m="1" x="571"/>
        <item m="1" x="526"/>
        <item m="1" x="455"/>
        <item m="1" x="585"/>
        <item m="1" x="453"/>
        <item m="1" x="681"/>
        <item m="1" x="431"/>
        <item m="1" x="688"/>
        <item m="1" x="607"/>
        <item m="1" x="543"/>
        <item m="1" x="524"/>
        <item m="1" x="489"/>
        <item m="1" x="756"/>
        <item m="1" x="750"/>
        <item m="1" x="581"/>
        <item m="1" x="762"/>
        <item m="1" x="560"/>
        <item m="1" x="424"/>
        <item m="1" x="670"/>
        <item m="1" x="778"/>
        <item m="1" x="759"/>
        <item m="1" x="810"/>
        <item m="1" x="457"/>
        <item m="1" x="625"/>
        <item m="1" x="554"/>
        <item m="1" x="685"/>
        <item m="1" x="729"/>
        <item m="1" x="690"/>
        <item m="1" x="652"/>
        <item m="1" x="721"/>
        <item m="1" x="511"/>
        <item m="1" x="752"/>
        <item m="1" x="487"/>
        <item m="1" x="630"/>
        <item m="1" x="672"/>
        <item m="1" x="708"/>
        <item m="1" x="604"/>
        <item m="1" x="814"/>
        <item m="1" x="500"/>
        <item m="1" x="704"/>
        <item m="1" x="459"/>
        <item m="1" x="809"/>
        <item m="1" x="514"/>
        <item m="1" x="793"/>
        <item m="1" x="784"/>
        <item m="1" x="602"/>
        <item m="1" x="621"/>
        <item m="1" x="635"/>
        <item m="1" x="640"/>
        <item m="1" x="573"/>
        <item m="1" x="504"/>
        <item m="1" x="522"/>
        <item m="1" x="755"/>
        <item m="1" x="591"/>
        <item m="1" x="488"/>
        <item m="1" x="660"/>
        <item m="1" x="482"/>
        <item m="1" x="627"/>
        <item m="1" x="808"/>
        <item m="1" x="578"/>
        <item m="1" x="717"/>
        <item m="1" x="661"/>
        <item m="1" x="684"/>
        <item m="1" x="691"/>
        <item m="1" x="507"/>
        <item m="1" x="451"/>
        <item m="1" x="699"/>
        <item m="1" x="562"/>
        <item m="1" x="468"/>
        <item m="1" x="711"/>
        <item m="1" x="715"/>
        <item m="1" x="415"/>
        <item m="1" x="628"/>
        <item m="1" x="654"/>
        <item m="1" x="494"/>
        <item m="1" x="770"/>
        <item m="1" x="803"/>
        <item m="1" x="816"/>
        <item m="1" x="443"/>
        <item m="1" x="568"/>
        <item m="1" x="512"/>
        <item m="1" x="603"/>
        <item m="1" x="676"/>
        <item m="1" x="614"/>
        <item m="1" x="694"/>
        <item m="1" x="686"/>
        <item m="1" x="805"/>
        <item m="1" x="597"/>
        <item m="1" x="768"/>
        <item m="1" x="813"/>
        <item m="1" x="462"/>
        <item m="1" x="806"/>
        <item m="1" x="657"/>
        <item m="1" x="668"/>
        <item m="1" x="642"/>
        <item m="1" x="580"/>
        <item m="1" x="430"/>
        <item m="1" x="553"/>
        <item m="1" x="458"/>
        <item m="1" x="701"/>
        <item m="1" x="639"/>
        <item m="1" x="586"/>
        <item m="1" x="641"/>
        <item m="1" x="505"/>
        <item m="1" x="491"/>
        <item m="1" x="774"/>
        <item m="1" x="749"/>
        <item m="1" x="766"/>
        <item m="1" x="712"/>
        <item m="1" x="751"/>
        <item m="1" x="558"/>
        <item m="1" x="529"/>
        <item m="1" x="725"/>
        <item m="1" x="795"/>
        <item m="1" x="447"/>
        <item m="1" x="746"/>
        <item m="1" x="544"/>
        <item m="1" x="523"/>
        <item m="1" x="636"/>
        <item m="1" x="673"/>
        <item m="1" x="516"/>
        <item m="1" x="724"/>
        <item m="1" x="417"/>
        <item m="1" x="508"/>
        <item m="1" x="510"/>
        <item m="1" x="786"/>
        <item m="1" x="634"/>
        <item m="1" x="439"/>
        <item m="1" x="777"/>
        <item m="1" x="456"/>
        <item m="1" x="658"/>
        <item m="1" x="448"/>
        <item m="1" x="643"/>
        <item m="1" x="437"/>
        <item m="1" x="460"/>
        <item m="1" x="433"/>
        <item m="1" x="473"/>
        <item m="1" x="416"/>
        <item m="1" x="740"/>
        <item m="1" x="429"/>
        <item m="1" x="601"/>
        <item m="1" x="450"/>
        <item m="1" x="485"/>
        <item m="1" x="434"/>
        <item m="1" x="414"/>
        <item m="1" x="413"/>
        <item m="1" x="499"/>
        <item m="1" x="466"/>
        <item m="1" x="646"/>
        <item m="1" x="463"/>
        <item m="1" x="647"/>
        <item m="1" x="727"/>
        <item m="1" x="502"/>
        <item m="1" x="764"/>
        <item m="1" x="419"/>
        <item m="1" x="671"/>
        <item m="1" x="743"/>
        <item m="1" x="644"/>
        <item m="1" x="545"/>
        <item m="1" x="555"/>
        <item m="1" x="648"/>
        <item m="1" x="477"/>
        <item m="1" x="469"/>
        <item m="1" x="556"/>
        <item m="1" x="474"/>
        <item m="1" x="818"/>
        <item m="1" x="754"/>
        <item m="1" x="748"/>
        <item m="1" x="787"/>
        <item m="1" x="536"/>
        <item m="1" x="742"/>
        <item m="1" x="747"/>
        <item m="1" x="613"/>
        <item m="1" x="633"/>
        <item m="1" x="775"/>
        <item m="1" x="599"/>
        <item m="1" x="484"/>
        <item m="1" x="596"/>
        <item m="1" x="481"/>
        <item m="1" x="675"/>
        <item m="1" x="564"/>
        <item m="1" x="534"/>
        <item m="1" x="521"/>
        <item m="1" x="412"/>
        <item m="1" x="503"/>
        <item m="1" x="537"/>
        <item m="1" x="461"/>
        <item m="1" x="629"/>
        <item m="1" x="476"/>
        <item m="1" x="703"/>
        <item m="1" x="538"/>
        <item m="1" x="713"/>
        <item m="1" x="551"/>
        <item m="1" x="593"/>
        <item m="1" x="547"/>
        <item m="1" x="515"/>
        <item m="1" x="454"/>
        <item m="1" x="731"/>
        <item m="1" x="464"/>
        <item m="1" x="705"/>
        <item m="1" x="565"/>
        <item m="1" x="610"/>
        <item m="1" x="683"/>
        <item m="1" x="475"/>
        <item m="1" x="467"/>
        <item m="1" x="598"/>
        <item m="1" x="728"/>
        <item m="1" x="506"/>
        <item m="1" x="411"/>
        <item m="1" x="622"/>
        <item m="1" x="518"/>
        <item m="1" x="772"/>
        <item m="1" x="679"/>
        <item m="1" x="637"/>
        <item m="1" x="422"/>
        <item m="1" x="692"/>
        <item m="1" x="802"/>
        <item m="1" x="444"/>
        <item m="1" x="700"/>
        <item m="1" x="594"/>
        <item m="1" x="651"/>
        <item m="1" x="421"/>
        <item m="1" x="528"/>
        <item m="1" x="509"/>
        <item m="1" x="624"/>
        <item m="1" x="427"/>
        <item m="1" x="533"/>
        <item m="1" x="735"/>
        <item m="1" x="696"/>
        <item m="1" x="532"/>
        <item m="1" x="541"/>
        <item m="1" x="785"/>
        <item m="1" x="471"/>
        <item m="1" x="698"/>
        <item m="1" x="662"/>
        <item m="1" x="716"/>
        <item m="1" x="645"/>
        <item m="1" x="493"/>
        <item m="1" x="563"/>
        <item m="1" x="796"/>
        <item m="1" x="539"/>
        <item m="1" x="797"/>
        <item m="1" x="577"/>
        <item m="1" x="798"/>
        <item m="1" x="680"/>
        <item m="1" x="620"/>
        <item m="1" x="588"/>
        <item m="1" x="709"/>
        <item m="1" x="600"/>
        <item m="1" x="789"/>
        <item m="1" x="765"/>
        <item m="1" x="542"/>
        <item m="1" x="792"/>
        <item m="1" x="559"/>
        <item m="1" x="426"/>
        <item m="1" x="782"/>
        <item m="1" x="486"/>
        <item m="1" x="626"/>
        <item m="1" x="697"/>
        <item m="1" x="584"/>
        <item m="1" x="665"/>
        <item m="1" x="483"/>
        <item m="1" x="440"/>
        <item m="1" x="723"/>
        <item m="1" x="655"/>
        <item m="1" x="678"/>
        <item m="1" x="608"/>
        <item m="1" x="794"/>
        <item m="1" x="513"/>
        <item m="1" x="779"/>
        <item m="1" x="572"/>
        <item m="1" x="530"/>
        <item m="1" x="689"/>
        <item m="1" x="548"/>
        <item m="1" x="517"/>
        <item m="1" x="669"/>
        <item m="1" x="442"/>
        <item m="1" x="807"/>
        <item m="1" x="739"/>
        <item m="1" x="776"/>
        <item m="1" x="718"/>
        <item m="1" x="567"/>
        <item m="1" x="501"/>
        <item m="1" x="736"/>
        <item m="1" x="418"/>
        <item m="1" x="763"/>
        <item m="1" x="722"/>
        <item m="1" x="609"/>
        <item m="1" x="582"/>
        <item m="1" x="569"/>
        <item m="1" x="659"/>
        <item m="1" x="771"/>
        <item m="1" x="666"/>
        <item m="1" x="664"/>
        <item m="1" x="790"/>
        <item m="1" x="710"/>
        <item m="1" x="590"/>
        <item m="1" x="649"/>
        <item m="1" x="788"/>
        <item m="1" x="435"/>
        <item m="1" x="496"/>
        <item m="1" x="714"/>
        <item m="1" x="707"/>
        <item m="1" x="702"/>
        <item m="1" x="552"/>
        <item m="1" x="420"/>
        <item m="1" x="441"/>
        <item m="1" x="617"/>
        <item m="1" x="682"/>
        <item m="1" x="612"/>
        <item m="1" x="653"/>
        <item m="1" x="595"/>
        <item m="1" x="436"/>
        <item m="1" x="438"/>
        <item m="1" x="470"/>
        <item m="1" x="520"/>
        <item m="1" x="812"/>
        <item m="1" x="800"/>
        <item m="1" x="821"/>
        <item m="1" x="495"/>
        <item m="1" x="706"/>
        <item m="1" x="428"/>
        <item m="1" x="549"/>
        <item m="1" x="719"/>
        <item m="1" x="650"/>
        <item m="1" x="674"/>
        <item m="1" x="531"/>
        <item m="1" x="761"/>
        <item m="1" x="540"/>
        <item m="1" x="819"/>
        <item m="1" x="732"/>
        <item m="1" x="631"/>
        <item m="1" x="472"/>
        <item m="1" x="550"/>
        <item m="1" x="423"/>
        <item m="1" x="663"/>
        <item m="1" x="820"/>
        <item m="1" x="737"/>
        <item m="1" x="791"/>
        <item m="1" x="780"/>
        <item m="1" x="432"/>
        <item m="1" x="767"/>
        <item m="1" x="667"/>
        <item m="1" x="781"/>
        <item m="1" x="546"/>
        <item m="1" x="760"/>
        <item m="1" x="618"/>
        <item m="1" x="490"/>
        <item m="1" x="801"/>
        <item m="1" x="677"/>
        <item m="1" x="632"/>
        <item m="1" x="606"/>
        <item m="1" x="589"/>
        <item m="1" x="498"/>
        <item m="1" x="619"/>
        <item m="1" x="695"/>
        <item m="1" x="769"/>
        <item m="1" x="757"/>
        <item m="1" x="561"/>
        <item m="1" x="693"/>
        <item m="1" x="525"/>
        <item m="1" x="583"/>
        <item m="1" x="726"/>
        <item m="1" x="745"/>
        <item m="1" x="799"/>
        <item m="1" x="623"/>
        <item m="1" x="741"/>
        <item m="1" x="616"/>
        <item m="1" x="519"/>
        <item m="1" x="535"/>
        <item m="1" x="478"/>
        <item m="1" x="570"/>
        <item m="1" x="449"/>
        <item m="1" x="592"/>
        <item m="1" x="579"/>
        <item m="1" x="479"/>
        <item m="1" x="425"/>
        <item m="1" x="587"/>
        <item m="1" x="758"/>
        <item m="1" x="566"/>
        <item m="1" x="738"/>
        <item m="1" x="804"/>
        <item m="1" x="811"/>
        <item m="1" x="492"/>
        <item m="1" x="753"/>
        <item m="1" x="557"/>
        <item m="1" x="687"/>
        <item m="1" x="730"/>
        <item m="1" x="773"/>
        <item m="1" x="605"/>
        <item m="1" x="744"/>
        <item m="1" x="720"/>
        <item m="1" x="615"/>
        <item m="1" x="734"/>
        <item m="1" x="497"/>
        <item m="1" x="445"/>
        <item m="1" x="817"/>
        <item m="1" x="638"/>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t="default"/>
      </items>
    </pivotField>
    <pivotField showAll="0"/>
    <pivotField showAll="0" sortType="descending">
      <items count="17">
        <item x="7"/>
        <item x="8"/>
        <item x="11"/>
        <item x="5"/>
        <item x="0"/>
        <item x="6"/>
        <item x="3"/>
        <item x="4"/>
        <item x="12"/>
        <item x="15"/>
        <item x="13"/>
        <item x="2"/>
        <item x="14"/>
        <item x="1"/>
        <item x="9"/>
        <item x="1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axis="axisRow" showAll="0">
      <items count="6">
        <item x="4"/>
        <item h="1" x="3"/>
        <item h="1" x="2"/>
        <item h="1" x="1"/>
        <item h="1" x="0"/>
        <item t="default"/>
      </items>
    </pivotField>
    <pivotField showAll="0"/>
    <pivotField showAll="0"/>
    <pivotField numFmtId="164" showAll="0"/>
    <pivotField dataField="1" numFmtId="164" showAll="0"/>
  </pivotFields>
  <rowFields count="1">
    <field x="5"/>
  </rowFields>
  <rowItems count="2">
    <i>
      <x/>
    </i>
    <i t="grand">
      <x/>
    </i>
  </rowItems>
  <colItems count="1">
    <i/>
  </colItems>
  <pageFields count="1">
    <pageField fld="0" hier="-1"/>
  </pageFields>
  <dataFields count="1">
    <dataField name="Sum of Sales Amount" fld="9"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9CC7DA-5A30-4616-8552-A2FE355F82A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9" firstHeaderRow="1" firstDataRow="1" firstDataCol="1"/>
  <pivotFields count="7">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s>
  <rowFields count="1">
    <field x="2"/>
  </rowFields>
  <rowItems count="6">
    <i>
      <x v="2"/>
    </i>
    <i>
      <x v="3"/>
    </i>
    <i>
      <x v="1"/>
    </i>
    <i>
      <x/>
    </i>
    <i>
      <x v="4"/>
    </i>
    <i t="grand">
      <x/>
    </i>
  </rowItems>
  <colItems count="1">
    <i/>
  </colItems>
  <dataFields count="1">
    <dataField name="Sum of Sales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86B36B-8888-4189-955F-BE7618F8A8C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8" firstHeaderRow="1" firstDataRow="1" firstDataCol="1"/>
  <pivotFields count="7">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s>
  <rowFields count="1">
    <field x="1"/>
  </rowFields>
  <rowItems count="5">
    <i>
      <x v="2"/>
    </i>
    <i>
      <x v="1"/>
    </i>
    <i>
      <x v="3"/>
    </i>
    <i>
      <x/>
    </i>
    <i t="grand">
      <x/>
    </i>
  </rowItems>
  <colItems count="1">
    <i/>
  </colItems>
  <dataFields count="1">
    <dataField name="Sum of Sales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F8E9F-6696-45CC-BA8B-4028237A351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21" firstHeaderRow="1" firstDataRow="1" firstDataCol="1"/>
  <pivotFields count="13">
    <pivotField showAll="0">
      <items count="413">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x="411"/>
        <item t="default"/>
      </items>
    </pivotField>
    <pivotField showAll="0"/>
    <pivotField axis="axisRow" showAll="0">
      <items count="18">
        <item x="7"/>
        <item x="8"/>
        <item x="11"/>
        <item x="5"/>
        <item x="0"/>
        <item x="6"/>
        <item x="3"/>
        <item x="4"/>
        <item x="12"/>
        <item x="15"/>
        <item x="13"/>
        <item x="2"/>
        <item x="14"/>
        <item x="1"/>
        <item x="9"/>
        <item x="10"/>
        <item x="16"/>
        <item t="default"/>
      </items>
    </pivotField>
    <pivotField showAll="0"/>
    <pivotField showAll="0"/>
    <pivotField showAll="0"/>
    <pivotField showAll="0"/>
    <pivotField showAll="0"/>
    <pivotField dataField="1" showAll="0"/>
    <pivotField showAll="0"/>
    <pivotField showAll="0">
      <items count="15">
        <item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Price per Un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4DCA43-34FF-49C3-BC14-5113351F1A4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H20" firstHeaderRow="1" firstDataRow="1" firstDataCol="1" rowPageCount="1" colPageCount="1"/>
  <pivotFields count="10">
    <pivotField axis="axisPage" showAll="0">
      <items count="823">
        <item m="1" x="733"/>
        <item m="1" x="815"/>
        <item m="1" x="480"/>
        <item m="1" x="783"/>
        <item m="1" x="575"/>
        <item m="1" x="465"/>
        <item m="1" x="452"/>
        <item m="1" x="611"/>
        <item m="1" x="527"/>
        <item m="1" x="574"/>
        <item m="1" x="576"/>
        <item m="1" x="446"/>
        <item m="1" x="656"/>
        <item m="1" x="571"/>
        <item m="1" x="526"/>
        <item m="1" x="455"/>
        <item m="1" x="585"/>
        <item m="1" x="453"/>
        <item m="1" x="681"/>
        <item m="1" x="431"/>
        <item m="1" x="688"/>
        <item m="1" x="607"/>
        <item m="1" x="543"/>
        <item m="1" x="524"/>
        <item m="1" x="489"/>
        <item m="1" x="756"/>
        <item m="1" x="750"/>
        <item m="1" x="581"/>
        <item m="1" x="762"/>
        <item m="1" x="560"/>
        <item m="1" x="424"/>
        <item m="1" x="670"/>
        <item m="1" x="778"/>
        <item m="1" x="759"/>
        <item m="1" x="810"/>
        <item m="1" x="457"/>
        <item m="1" x="625"/>
        <item m="1" x="554"/>
        <item m="1" x="685"/>
        <item m="1" x="729"/>
        <item m="1" x="690"/>
        <item m="1" x="652"/>
        <item m="1" x="721"/>
        <item m="1" x="511"/>
        <item m="1" x="752"/>
        <item m="1" x="487"/>
        <item m="1" x="630"/>
        <item m="1" x="672"/>
        <item m="1" x="708"/>
        <item m="1" x="604"/>
        <item m="1" x="814"/>
        <item m="1" x="500"/>
        <item m="1" x="704"/>
        <item m="1" x="459"/>
        <item m="1" x="809"/>
        <item m="1" x="514"/>
        <item m="1" x="793"/>
        <item m="1" x="784"/>
        <item m="1" x="602"/>
        <item m="1" x="621"/>
        <item m="1" x="635"/>
        <item m="1" x="640"/>
        <item m="1" x="573"/>
        <item m="1" x="504"/>
        <item m="1" x="522"/>
        <item m="1" x="755"/>
        <item m="1" x="591"/>
        <item m="1" x="488"/>
        <item m="1" x="660"/>
        <item m="1" x="482"/>
        <item m="1" x="627"/>
        <item m="1" x="808"/>
        <item m="1" x="578"/>
        <item m="1" x="717"/>
        <item m="1" x="661"/>
        <item m="1" x="684"/>
        <item m="1" x="691"/>
        <item m="1" x="507"/>
        <item m="1" x="451"/>
        <item m="1" x="699"/>
        <item m="1" x="562"/>
        <item m="1" x="468"/>
        <item m="1" x="711"/>
        <item m="1" x="715"/>
        <item m="1" x="415"/>
        <item m="1" x="628"/>
        <item m="1" x="654"/>
        <item m="1" x="494"/>
        <item m="1" x="770"/>
        <item m="1" x="803"/>
        <item m="1" x="816"/>
        <item m="1" x="443"/>
        <item m="1" x="568"/>
        <item m="1" x="512"/>
        <item m="1" x="603"/>
        <item m="1" x="676"/>
        <item m="1" x="614"/>
        <item m="1" x="694"/>
        <item m="1" x="686"/>
        <item m="1" x="805"/>
        <item m="1" x="597"/>
        <item m="1" x="768"/>
        <item m="1" x="813"/>
        <item m="1" x="462"/>
        <item m="1" x="806"/>
        <item m="1" x="657"/>
        <item m="1" x="668"/>
        <item m="1" x="642"/>
        <item m="1" x="580"/>
        <item m="1" x="430"/>
        <item m="1" x="553"/>
        <item m="1" x="458"/>
        <item m="1" x="701"/>
        <item m="1" x="639"/>
        <item m="1" x="586"/>
        <item m="1" x="641"/>
        <item m="1" x="505"/>
        <item m="1" x="491"/>
        <item m="1" x="774"/>
        <item m="1" x="749"/>
        <item m="1" x="766"/>
        <item m="1" x="712"/>
        <item m="1" x="751"/>
        <item m="1" x="558"/>
        <item m="1" x="529"/>
        <item m="1" x="725"/>
        <item m="1" x="795"/>
        <item m="1" x="447"/>
        <item m="1" x="746"/>
        <item m="1" x="544"/>
        <item m="1" x="523"/>
        <item m="1" x="636"/>
        <item m="1" x="673"/>
        <item m="1" x="516"/>
        <item m="1" x="724"/>
        <item m="1" x="417"/>
        <item m="1" x="508"/>
        <item m="1" x="510"/>
        <item m="1" x="786"/>
        <item m="1" x="634"/>
        <item m="1" x="439"/>
        <item m="1" x="777"/>
        <item m="1" x="456"/>
        <item m="1" x="658"/>
        <item m="1" x="448"/>
        <item m="1" x="643"/>
        <item m="1" x="437"/>
        <item m="1" x="460"/>
        <item m="1" x="433"/>
        <item m="1" x="473"/>
        <item m="1" x="416"/>
        <item m="1" x="740"/>
        <item m="1" x="429"/>
        <item m="1" x="601"/>
        <item m="1" x="450"/>
        <item m="1" x="485"/>
        <item m="1" x="434"/>
        <item m="1" x="414"/>
        <item m="1" x="413"/>
        <item m="1" x="499"/>
        <item m="1" x="466"/>
        <item m="1" x="646"/>
        <item m="1" x="463"/>
        <item m="1" x="647"/>
        <item m="1" x="727"/>
        <item m="1" x="502"/>
        <item m="1" x="764"/>
        <item m="1" x="419"/>
        <item m="1" x="671"/>
        <item m="1" x="743"/>
        <item m="1" x="644"/>
        <item m="1" x="545"/>
        <item m="1" x="555"/>
        <item m="1" x="648"/>
        <item m="1" x="477"/>
        <item m="1" x="469"/>
        <item m="1" x="556"/>
        <item m="1" x="474"/>
        <item m="1" x="818"/>
        <item m="1" x="754"/>
        <item m="1" x="748"/>
        <item m="1" x="787"/>
        <item m="1" x="536"/>
        <item m="1" x="742"/>
        <item m="1" x="747"/>
        <item m="1" x="613"/>
        <item m="1" x="633"/>
        <item m="1" x="775"/>
        <item m="1" x="599"/>
        <item m="1" x="484"/>
        <item m="1" x="596"/>
        <item m="1" x="481"/>
        <item m="1" x="675"/>
        <item m="1" x="564"/>
        <item m="1" x="534"/>
        <item m="1" x="521"/>
        <item m="1" x="412"/>
        <item m="1" x="503"/>
        <item m="1" x="537"/>
        <item m="1" x="461"/>
        <item m="1" x="629"/>
        <item m="1" x="476"/>
        <item m="1" x="703"/>
        <item m="1" x="538"/>
        <item m="1" x="713"/>
        <item m="1" x="551"/>
        <item m="1" x="593"/>
        <item m="1" x="547"/>
        <item m="1" x="515"/>
        <item m="1" x="454"/>
        <item m="1" x="731"/>
        <item m="1" x="464"/>
        <item m="1" x="705"/>
        <item m="1" x="565"/>
        <item m="1" x="610"/>
        <item m="1" x="683"/>
        <item m="1" x="475"/>
        <item m="1" x="467"/>
        <item m="1" x="598"/>
        <item m="1" x="728"/>
        <item m="1" x="506"/>
        <item m="1" x="411"/>
        <item m="1" x="622"/>
        <item m="1" x="518"/>
        <item m="1" x="772"/>
        <item m="1" x="679"/>
        <item m="1" x="637"/>
        <item m="1" x="422"/>
        <item m="1" x="692"/>
        <item m="1" x="802"/>
        <item m="1" x="444"/>
        <item m="1" x="700"/>
        <item m="1" x="594"/>
        <item m="1" x="651"/>
        <item m="1" x="421"/>
        <item m="1" x="528"/>
        <item m="1" x="509"/>
        <item m="1" x="624"/>
        <item m="1" x="427"/>
        <item m="1" x="533"/>
        <item m="1" x="735"/>
        <item m="1" x="696"/>
        <item m="1" x="532"/>
        <item m="1" x="541"/>
        <item m="1" x="785"/>
        <item m="1" x="471"/>
        <item m="1" x="698"/>
        <item m="1" x="662"/>
        <item m="1" x="716"/>
        <item m="1" x="645"/>
        <item m="1" x="493"/>
        <item m="1" x="563"/>
        <item m="1" x="796"/>
        <item m="1" x="539"/>
        <item m="1" x="797"/>
        <item m="1" x="577"/>
        <item m="1" x="798"/>
        <item m="1" x="680"/>
        <item m="1" x="620"/>
        <item m="1" x="588"/>
        <item m="1" x="709"/>
        <item m="1" x="600"/>
        <item m="1" x="789"/>
        <item m="1" x="765"/>
        <item m="1" x="542"/>
        <item m="1" x="792"/>
        <item m="1" x="559"/>
        <item m="1" x="426"/>
        <item m="1" x="782"/>
        <item m="1" x="486"/>
        <item m="1" x="626"/>
        <item m="1" x="697"/>
        <item m="1" x="584"/>
        <item m="1" x="665"/>
        <item m="1" x="483"/>
        <item m="1" x="440"/>
        <item m="1" x="723"/>
        <item m="1" x="655"/>
        <item m="1" x="678"/>
        <item m="1" x="608"/>
        <item m="1" x="794"/>
        <item m="1" x="513"/>
        <item m="1" x="779"/>
        <item m="1" x="572"/>
        <item m="1" x="530"/>
        <item m="1" x="689"/>
        <item m="1" x="548"/>
        <item m="1" x="517"/>
        <item m="1" x="669"/>
        <item m="1" x="442"/>
        <item m="1" x="807"/>
        <item m="1" x="739"/>
        <item m="1" x="776"/>
        <item m="1" x="718"/>
        <item m="1" x="567"/>
        <item m="1" x="501"/>
        <item m="1" x="736"/>
        <item m="1" x="418"/>
        <item m="1" x="763"/>
        <item m="1" x="722"/>
        <item m="1" x="609"/>
        <item m="1" x="582"/>
        <item m="1" x="569"/>
        <item m="1" x="659"/>
        <item m="1" x="771"/>
        <item m="1" x="666"/>
        <item m="1" x="664"/>
        <item m="1" x="790"/>
        <item m="1" x="710"/>
        <item m="1" x="590"/>
        <item m="1" x="649"/>
        <item m="1" x="788"/>
        <item m="1" x="435"/>
        <item m="1" x="496"/>
        <item m="1" x="714"/>
        <item m="1" x="707"/>
        <item m="1" x="702"/>
        <item m="1" x="552"/>
        <item m="1" x="420"/>
        <item m="1" x="441"/>
        <item m="1" x="617"/>
        <item m="1" x="682"/>
        <item m="1" x="612"/>
        <item m="1" x="653"/>
        <item m="1" x="595"/>
        <item m="1" x="436"/>
        <item m="1" x="438"/>
        <item m="1" x="470"/>
        <item m="1" x="520"/>
        <item m="1" x="812"/>
        <item m="1" x="800"/>
        <item m="1" x="821"/>
        <item m="1" x="495"/>
        <item m="1" x="706"/>
        <item m="1" x="428"/>
        <item m="1" x="549"/>
        <item m="1" x="719"/>
        <item m="1" x="650"/>
        <item m="1" x="674"/>
        <item m="1" x="531"/>
        <item m="1" x="761"/>
        <item m="1" x="540"/>
        <item m="1" x="819"/>
        <item m="1" x="732"/>
        <item m="1" x="631"/>
        <item m="1" x="472"/>
        <item m="1" x="550"/>
        <item m="1" x="423"/>
        <item m="1" x="663"/>
        <item m="1" x="820"/>
        <item m="1" x="737"/>
        <item m="1" x="791"/>
        <item m="1" x="780"/>
        <item m="1" x="432"/>
        <item m="1" x="767"/>
        <item m="1" x="667"/>
        <item m="1" x="781"/>
        <item m="1" x="546"/>
        <item m="1" x="760"/>
        <item m="1" x="618"/>
        <item m="1" x="490"/>
        <item m="1" x="801"/>
        <item m="1" x="677"/>
        <item m="1" x="632"/>
        <item m="1" x="606"/>
        <item m="1" x="589"/>
        <item m="1" x="498"/>
        <item m="1" x="619"/>
        <item m="1" x="695"/>
        <item m="1" x="769"/>
        <item m="1" x="757"/>
        <item m="1" x="561"/>
        <item m="1" x="693"/>
        <item m="1" x="525"/>
        <item m="1" x="583"/>
        <item m="1" x="726"/>
        <item m="1" x="745"/>
        <item m="1" x="799"/>
        <item m="1" x="623"/>
        <item m="1" x="741"/>
        <item m="1" x="616"/>
        <item m="1" x="519"/>
        <item m="1" x="535"/>
        <item m="1" x="478"/>
        <item m="1" x="570"/>
        <item m="1" x="449"/>
        <item m="1" x="592"/>
        <item m="1" x="579"/>
        <item m="1" x="479"/>
        <item m="1" x="425"/>
        <item m="1" x="587"/>
        <item m="1" x="758"/>
        <item m="1" x="566"/>
        <item m="1" x="738"/>
        <item m="1" x="804"/>
        <item m="1" x="811"/>
        <item m="1" x="492"/>
        <item m="1" x="753"/>
        <item m="1" x="557"/>
        <item m="1" x="687"/>
        <item m="1" x="730"/>
        <item m="1" x="773"/>
        <item m="1" x="605"/>
        <item m="1" x="744"/>
        <item m="1" x="720"/>
        <item m="1" x="615"/>
        <item m="1" x="734"/>
        <item m="1" x="497"/>
        <item m="1" x="445"/>
        <item m="1" x="817"/>
        <item m="1" x="638"/>
        <item x="132"/>
        <item x="274"/>
        <item x="398"/>
        <item x="71"/>
        <item x="4"/>
        <item x="395"/>
        <item x="340"/>
        <item x="18"/>
        <item x="91"/>
        <item x="264"/>
        <item x="136"/>
        <item x="211"/>
        <item x="98"/>
        <item x="209"/>
        <item x="362"/>
        <item x="113"/>
        <item x="279"/>
        <item x="382"/>
        <item x="217"/>
        <item x="246"/>
        <item x="118"/>
        <item x="190"/>
        <item x="104"/>
        <item x="16"/>
        <item x="177"/>
        <item x="72"/>
        <item x="106"/>
        <item x="352"/>
        <item x="12"/>
        <item x="221"/>
        <item x="35"/>
        <item x="345"/>
        <item x="191"/>
        <item x="216"/>
        <item x="231"/>
        <item x="384"/>
        <item x="28"/>
        <item x="39"/>
        <item x="8"/>
        <item x="343"/>
        <item x="43"/>
        <item x="107"/>
        <item x="305"/>
        <item x="189"/>
        <item x="258"/>
        <item x="299"/>
        <item x="206"/>
        <item x="308"/>
        <item x="195"/>
        <item x="108"/>
        <item x="347"/>
        <item x="333"/>
        <item x="167"/>
        <item x="359"/>
        <item x="265"/>
        <item x="260"/>
        <item x="376"/>
        <item x="1"/>
        <item x="53"/>
        <item x="122"/>
        <item x="244"/>
        <item x="31"/>
        <item x="179"/>
        <item x="271"/>
        <item x="263"/>
        <item x="326"/>
        <item x="87"/>
        <item x="124"/>
        <item x="327"/>
        <item x="404"/>
        <item x="245"/>
        <item x="100"/>
        <item x="229"/>
        <item x="392"/>
        <item x="203"/>
        <item x="335"/>
        <item x="126"/>
        <item x="268"/>
        <item x="285"/>
        <item x="82"/>
        <item x="131"/>
        <item x="197"/>
        <item x="328"/>
        <item x="311"/>
        <item x="284"/>
        <item x="159"/>
        <item x="204"/>
        <item x="372"/>
        <item x="115"/>
        <item x="76"/>
        <item x="47"/>
        <item x="112"/>
        <item x="45"/>
        <item x="50"/>
        <item x="199"/>
        <item x="11"/>
        <item x="383"/>
        <item x="377"/>
        <item x="184"/>
        <item x="369"/>
        <item x="358"/>
        <item x="181"/>
        <item x="54"/>
        <item x="351"/>
        <item x="219"/>
        <item x="32"/>
        <item x="283"/>
        <item x="225"/>
        <item x="134"/>
        <item x="64"/>
        <item x="391"/>
        <item x="85"/>
        <item x="25"/>
        <item x="356"/>
        <item x="346"/>
        <item x="342"/>
        <item x="323"/>
        <item x="111"/>
        <item x="96"/>
        <item x="175"/>
        <item x="37"/>
        <item x="2"/>
        <item x="144"/>
        <item x="331"/>
        <item x="292"/>
        <item x="56"/>
        <item x="128"/>
        <item x="148"/>
        <item x="370"/>
        <item x="68"/>
        <item x="34"/>
        <item x="200"/>
        <item x="42"/>
        <item x="259"/>
        <item x="297"/>
        <item x="288"/>
        <item x="157"/>
        <item x="94"/>
        <item x="313"/>
        <item x="26"/>
        <item x="55"/>
        <item x="202"/>
        <item x="317"/>
        <item x="166"/>
        <item x="59"/>
        <item x="349"/>
        <item x="114"/>
        <item x="14"/>
        <item x="348"/>
        <item x="403"/>
        <item x="363"/>
        <item x="97"/>
        <item x="49"/>
        <item x="58"/>
        <item x="364"/>
        <item x="302"/>
        <item x="289"/>
        <item x="75"/>
        <item x="401"/>
        <item x="129"/>
        <item x="146"/>
        <item x="406"/>
        <item x="277"/>
        <item x="46"/>
        <item x="151"/>
        <item x="357"/>
        <item x="338"/>
        <item x="22"/>
        <item x="52"/>
        <item x="145"/>
        <item x="188"/>
        <item x="240"/>
        <item x="60"/>
        <item x="291"/>
        <item x="389"/>
        <item x="334"/>
        <item x="176"/>
        <item x="293"/>
        <item x="77"/>
        <item x="300"/>
        <item x="375"/>
        <item x="5"/>
        <item x="236"/>
        <item x="185"/>
        <item x="387"/>
        <item x="278"/>
        <item x="90"/>
        <item x="84"/>
        <item x="220"/>
        <item x="79"/>
        <item x="212"/>
        <item x="319"/>
        <item x="318"/>
        <item x="103"/>
        <item x="192"/>
        <item x="147"/>
        <item x="223"/>
        <item x="353"/>
        <item x="153"/>
        <item x="213"/>
        <item x="254"/>
        <item x="7"/>
        <item x="9"/>
        <item x="17"/>
        <item x="139"/>
        <item x="266"/>
        <item x="330"/>
        <item x="194"/>
        <item x="78"/>
        <item x="373"/>
        <item x="243"/>
        <item x="257"/>
        <item x="314"/>
        <item x="407"/>
        <item x="123"/>
        <item x="298"/>
        <item x="29"/>
        <item x="379"/>
        <item x="30"/>
        <item x="138"/>
        <item x="252"/>
        <item x="205"/>
        <item x="322"/>
        <item x="241"/>
        <item x="210"/>
        <item x="397"/>
        <item x="83"/>
        <item x="169"/>
        <item x="74"/>
        <item x="337"/>
        <item x="110"/>
        <item x="320"/>
        <item x="234"/>
        <item x="378"/>
        <item x="312"/>
        <item x="239"/>
        <item x="409"/>
        <item x="178"/>
        <item x="155"/>
        <item x="309"/>
        <item x="310"/>
        <item x="224"/>
        <item x="306"/>
        <item x="19"/>
        <item x="36"/>
        <item x="332"/>
        <item x="92"/>
        <item x="294"/>
        <item x="361"/>
        <item x="324"/>
        <item x="354"/>
        <item x="267"/>
        <item x="396"/>
        <item x="201"/>
        <item x="120"/>
        <item x="380"/>
        <item x="208"/>
        <item x="67"/>
        <item x="393"/>
        <item x="69"/>
        <item x="160"/>
        <item x="339"/>
        <item x="341"/>
        <item x="162"/>
        <item x="250"/>
        <item x="142"/>
        <item x="133"/>
        <item x="366"/>
        <item x="23"/>
        <item x="154"/>
        <item x="226"/>
        <item x="121"/>
        <item x="152"/>
        <item x="238"/>
        <item x="242"/>
        <item x="350"/>
        <item x="38"/>
        <item x="400"/>
        <item x="164"/>
        <item x="44"/>
        <item x="170"/>
        <item x="273"/>
        <item x="405"/>
        <item x="290"/>
        <item x="247"/>
        <item x="233"/>
        <item x="125"/>
        <item x="218"/>
        <item x="272"/>
        <item x="281"/>
        <item x="385"/>
        <item x="102"/>
        <item x="365"/>
        <item x="198"/>
        <item x="24"/>
        <item x="21"/>
        <item x="81"/>
        <item x="149"/>
        <item x="93"/>
        <item x="280"/>
        <item x="275"/>
        <item x="228"/>
        <item x="262"/>
        <item x="3"/>
        <item x="65"/>
        <item x="33"/>
        <item x="130"/>
        <item x="381"/>
        <item x="171"/>
        <item x="256"/>
        <item x="150"/>
        <item x="168"/>
        <item x="86"/>
        <item x="41"/>
        <item x="174"/>
        <item x="13"/>
        <item x="261"/>
        <item x="344"/>
        <item x="40"/>
        <item x="394"/>
        <item x="230"/>
        <item x="105"/>
        <item x="232"/>
        <item x="88"/>
        <item x="237"/>
        <item x="336"/>
        <item x="187"/>
        <item x="386"/>
        <item x="15"/>
        <item x="368"/>
        <item x="307"/>
        <item x="158"/>
        <item x="303"/>
        <item x="27"/>
        <item x="135"/>
        <item x="282"/>
        <item x="116"/>
        <item x="270"/>
        <item x="367"/>
        <item x="193"/>
        <item x="180"/>
        <item x="186"/>
        <item x="80"/>
        <item x="6"/>
        <item x="66"/>
        <item x="222"/>
        <item x="127"/>
        <item x="95"/>
        <item x="374"/>
        <item x="371"/>
        <item x="161"/>
        <item x="248"/>
        <item x="296"/>
        <item x="109"/>
        <item x="172"/>
        <item x="163"/>
        <item x="20"/>
        <item x="399"/>
        <item x="89"/>
        <item x="235"/>
        <item x="140"/>
        <item x="0"/>
        <item x="183"/>
        <item x="215"/>
        <item x="156"/>
        <item x="360"/>
        <item x="408"/>
        <item x="207"/>
        <item x="315"/>
        <item x="165"/>
        <item x="214"/>
        <item x="57"/>
        <item x="402"/>
        <item x="355"/>
        <item x="99"/>
        <item x="62"/>
        <item x="63"/>
        <item x="73"/>
        <item x="182"/>
        <item x="10"/>
        <item x="287"/>
        <item x="286"/>
        <item x="119"/>
        <item x="255"/>
        <item x="141"/>
        <item x="410"/>
        <item x="321"/>
        <item x="388"/>
        <item x="276"/>
        <item x="196"/>
        <item x="143"/>
        <item x="48"/>
        <item x="249"/>
        <item x="304"/>
        <item x="101"/>
        <item x="51"/>
        <item x="301"/>
        <item x="329"/>
        <item x="316"/>
        <item x="70"/>
        <item x="117"/>
        <item x="251"/>
        <item x="269"/>
        <item x="173"/>
        <item x="137"/>
        <item x="325"/>
        <item x="253"/>
        <item x="295"/>
        <item x="61"/>
        <item x="390"/>
        <item x="227"/>
        <item t="default"/>
      </items>
    </pivotField>
    <pivotField showAll="0"/>
    <pivotField axis="axisRow" showAll="0">
      <items count="17">
        <item x="7"/>
        <item x="8"/>
        <item x="11"/>
        <item x="5"/>
        <item x="0"/>
        <item x="6"/>
        <item x="3"/>
        <item x="4"/>
        <item x="12"/>
        <item x="15"/>
        <item x="13"/>
        <item x="2"/>
        <item x="14"/>
        <item x="1"/>
        <item x="9"/>
        <item x="10"/>
        <item t="default"/>
      </items>
    </pivotField>
    <pivotField showAll="0"/>
    <pivotField showAll="0">
      <items count="5">
        <item x="3"/>
        <item x="0"/>
        <item x="1"/>
        <item x="2"/>
        <item t="default"/>
      </items>
    </pivotField>
    <pivotField showAll="0">
      <items count="6">
        <item x="4"/>
        <item h="1" x="3"/>
        <item h="1" x="2"/>
        <item h="1" x="1"/>
        <item h="1" x="0"/>
        <item t="default"/>
      </items>
    </pivotField>
    <pivotField showAll="0"/>
    <pivotField showAll="0"/>
    <pivotField numFmtId="164" showAll="0"/>
    <pivotField dataField="1" numFmtId="164" showAll="0">
      <items count="601">
        <item x="440"/>
        <item x="551"/>
        <item x="454"/>
        <item x="257"/>
        <item x="545"/>
        <item x="382"/>
        <item x="489"/>
        <item x="124"/>
        <item x="420"/>
        <item x="504"/>
        <item x="162"/>
        <item x="147"/>
        <item x="69"/>
        <item x="59"/>
        <item x="91"/>
        <item x="381"/>
        <item x="88"/>
        <item x="205"/>
        <item x="487"/>
        <item x="1"/>
        <item x="436"/>
        <item x="519"/>
        <item x="314"/>
        <item x="383"/>
        <item x="192"/>
        <item x="261"/>
        <item x="112"/>
        <item x="405"/>
        <item x="272"/>
        <item x="56"/>
        <item x="580"/>
        <item x="518"/>
        <item x="490"/>
        <item x="276"/>
        <item x="478"/>
        <item x="386"/>
        <item x="210"/>
        <item x="597"/>
        <item x="524"/>
        <item x="27"/>
        <item x="108"/>
        <item x="220"/>
        <item x="577"/>
        <item x="99"/>
        <item x="503"/>
        <item x="28"/>
        <item x="39"/>
        <item x="134"/>
        <item x="574"/>
        <item x="439"/>
        <item x="556"/>
        <item x="199"/>
        <item x="273"/>
        <item x="181"/>
        <item x="51"/>
        <item x="109"/>
        <item x="141"/>
        <item x="146"/>
        <item x="532"/>
        <item x="349"/>
        <item x="592"/>
        <item x="236"/>
        <item x="424"/>
        <item x="542"/>
        <item x="254"/>
        <item x="432"/>
        <item x="267"/>
        <item x="573"/>
        <item x="374"/>
        <item x="343"/>
        <item x="240"/>
        <item x="460"/>
        <item x="356"/>
        <item x="22"/>
        <item x="183"/>
        <item x="38"/>
        <item x="387"/>
        <item x="376"/>
        <item x="12"/>
        <item x="339"/>
        <item x="73"/>
        <item x="522"/>
        <item x="322"/>
        <item x="4"/>
        <item x="400"/>
        <item x="572"/>
        <item x="584"/>
        <item x="101"/>
        <item x="505"/>
        <item x="438"/>
        <item x="196"/>
        <item x="148"/>
        <item x="558"/>
        <item x="456"/>
        <item x="85"/>
        <item x="121"/>
        <item x="248"/>
        <item x="185"/>
        <item x="483"/>
        <item x="299"/>
        <item x="0"/>
        <item x="174"/>
        <item x="589"/>
        <item x="63"/>
        <item x="527"/>
        <item x="179"/>
        <item x="398"/>
        <item x="30"/>
        <item x="406"/>
        <item x="164"/>
        <item x="307"/>
        <item x="404"/>
        <item x="575"/>
        <item x="49"/>
        <item x="166"/>
        <item x="515"/>
        <item x="367"/>
        <item x="225"/>
        <item x="499"/>
        <item x="140"/>
        <item x="484"/>
        <item x="37"/>
        <item x="523"/>
        <item x="372"/>
        <item x="119"/>
        <item x="80"/>
        <item x="212"/>
        <item x="452"/>
        <item x="319"/>
        <item x="357"/>
        <item x="557"/>
        <item x="473"/>
        <item x="521"/>
        <item x="57"/>
        <item x="585"/>
        <item x="176"/>
        <item x="242"/>
        <item x="476"/>
        <item x="187"/>
        <item x="68"/>
        <item x="526"/>
        <item x="437"/>
        <item x="559"/>
        <item x="434"/>
        <item x="95"/>
        <item x="172"/>
        <item x="594"/>
        <item x="221"/>
        <item x="578"/>
        <item x="36"/>
        <item x="52"/>
        <item x="373"/>
        <item x="411"/>
        <item x="77"/>
        <item x="332"/>
        <item x="44"/>
        <item x="402"/>
        <item x="465"/>
        <item x="58"/>
        <item x="130"/>
        <item x="474"/>
        <item x="469"/>
        <item x="47"/>
        <item x="568"/>
        <item x="60"/>
        <item x="370"/>
        <item x="297"/>
        <item x="222"/>
        <item x="144"/>
        <item x="292"/>
        <item x="31"/>
        <item x="344"/>
        <item x="540"/>
        <item x="397"/>
        <item x="265"/>
        <item x="241"/>
        <item x="414"/>
        <item x="442"/>
        <item x="418"/>
        <item x="84"/>
        <item x="410"/>
        <item x="214"/>
        <item x="45"/>
        <item x="189"/>
        <item x="298"/>
        <item x="451"/>
        <item x="188"/>
        <item x="378"/>
        <item x="468"/>
        <item x="371"/>
        <item x="282"/>
        <item x="245"/>
        <item x="123"/>
        <item x="216"/>
        <item x="283"/>
        <item x="328"/>
        <item x="90"/>
        <item x="528"/>
        <item x="78"/>
        <item x="435"/>
        <item x="152"/>
        <item x="355"/>
        <item x="201"/>
        <item x="337"/>
        <item x="138"/>
        <item x="331"/>
        <item x="312"/>
        <item x="305"/>
        <item x="127"/>
        <item x="461"/>
        <item x="352"/>
        <item x="294"/>
        <item x="198"/>
        <item x="165"/>
        <item x="547"/>
        <item x="327"/>
        <item x="34"/>
        <item x="546"/>
        <item x="361"/>
        <item x="338"/>
        <item x="173"/>
        <item x="18"/>
        <item x="9"/>
        <item x="506"/>
        <item x="536"/>
        <item x="350"/>
        <item x="462"/>
        <item x="389"/>
        <item x="354"/>
        <item x="193"/>
        <item x="533"/>
        <item x="284"/>
        <item x="149"/>
        <item x="544"/>
        <item x="76"/>
        <item x="324"/>
        <item x="106"/>
        <item x="422"/>
        <item x="336"/>
        <item x="514"/>
        <item x="235"/>
        <item x="562"/>
        <item x="364"/>
        <item x="335"/>
        <item x="256"/>
        <item x="321"/>
        <item x="167"/>
        <item x="155"/>
        <item x="421"/>
        <item x="318"/>
        <item x="366"/>
        <item x="449"/>
        <item x="507"/>
        <item x="278"/>
        <item x="194"/>
        <item x="329"/>
        <item x="16"/>
        <item x="53"/>
        <item x="550"/>
        <item x="180"/>
        <item x="377"/>
        <item x="8"/>
        <item x="517"/>
        <item x="464"/>
        <item x="255"/>
        <item x="259"/>
        <item x="509"/>
        <item x="569"/>
        <item x="348"/>
        <item x="392"/>
        <item x="548"/>
        <item x="270"/>
        <item x="158"/>
        <item x="587"/>
        <item x="7"/>
        <item x="341"/>
        <item x="250"/>
        <item x="163"/>
        <item x="133"/>
        <item x="32"/>
        <item x="590"/>
        <item x="11"/>
        <item x="481"/>
        <item x="25"/>
        <item x="296"/>
        <item x="497"/>
        <item x="470"/>
        <item x="498"/>
        <item x="126"/>
        <item x="238"/>
        <item x="170"/>
        <item x="534"/>
        <item x="62"/>
        <item x="287"/>
        <item x="306"/>
        <item x="264"/>
        <item x="598"/>
        <item x="169"/>
        <item x="132"/>
        <item x="379"/>
        <item x="549"/>
        <item x="117"/>
        <item x="203"/>
        <item x="309"/>
        <item x="586"/>
        <item x="479"/>
        <item x="110"/>
        <item x="444"/>
        <item x="320"/>
        <item x="467"/>
        <item x="391"/>
        <item x="29"/>
        <item x="407"/>
        <item x="213"/>
        <item x="231"/>
        <item x="40"/>
        <item x="403"/>
        <item x="482"/>
        <item x="116"/>
        <item x="23"/>
        <item x="26"/>
        <item x="66"/>
        <item x="535"/>
        <item x="288"/>
        <item x="217"/>
        <item x="94"/>
        <item x="426"/>
        <item x="159"/>
        <item x="54"/>
        <item x="289"/>
        <item x="262"/>
        <item x="206"/>
        <item x="191"/>
        <item x="567"/>
        <item x="475"/>
        <item x="561"/>
        <item x="326"/>
        <item x="485"/>
        <item x="565"/>
        <item x="75"/>
        <item x="145"/>
        <item x="226"/>
        <item x="178"/>
        <item x="244"/>
        <item x="151"/>
        <item x="316"/>
        <item x="347"/>
        <item x="458"/>
        <item x="531"/>
        <item x="227"/>
        <item x="204"/>
        <item x="83"/>
        <item x="342"/>
        <item x="417"/>
        <item x="100"/>
        <item x="412"/>
        <item x="538"/>
        <item x="588"/>
        <item x="315"/>
        <item x="48"/>
        <item x="93"/>
        <item x="480"/>
        <item x="581"/>
        <item x="20"/>
        <item x="303"/>
        <item x="249"/>
        <item x="43"/>
        <item x="358"/>
        <item x="529"/>
        <item x="385"/>
        <item x="168"/>
        <item x="399"/>
        <item x="200"/>
        <item x="41"/>
        <item x="223"/>
        <item x="42"/>
        <item x="304"/>
        <item x="156"/>
        <item x="150"/>
        <item x="313"/>
        <item x="571"/>
        <item x="202"/>
        <item x="455"/>
        <item x="224"/>
        <item x="415"/>
        <item x="190"/>
        <item x="448"/>
        <item x="491"/>
        <item x="552"/>
        <item x="340"/>
        <item x="363"/>
        <item x="430"/>
        <item x="258"/>
        <item x="492"/>
        <item x="266"/>
        <item x="500"/>
        <item x="65"/>
        <item x="301"/>
        <item x="477"/>
        <item x="431"/>
        <item x="390"/>
        <item x="207"/>
        <item x="96"/>
        <item x="427"/>
        <item x="103"/>
        <item x="345"/>
        <item x="125"/>
        <item x="107"/>
        <item x="388"/>
        <item x="230"/>
        <item x="232"/>
        <item x="579"/>
        <item x="441"/>
        <item x="246"/>
        <item x="50"/>
        <item x="114"/>
        <item x="82"/>
        <item x="564"/>
        <item x="576"/>
        <item x="453"/>
        <item x="530"/>
        <item x="286"/>
        <item x="277"/>
        <item x="10"/>
        <item x="445"/>
        <item x="295"/>
        <item x="209"/>
        <item x="285"/>
        <item x="139"/>
        <item x="290"/>
        <item x="61"/>
        <item x="14"/>
        <item x="131"/>
        <item x="346"/>
        <item x="186"/>
        <item x="15"/>
        <item x="2"/>
        <item x="471"/>
        <item x="19"/>
        <item x="17"/>
        <item x="237"/>
        <item x="195"/>
        <item x="428"/>
        <item x="582"/>
        <item x="494"/>
        <item x="501"/>
        <item x="365"/>
        <item x="511"/>
        <item x="268"/>
        <item x="300"/>
        <item x="595"/>
        <item x="502"/>
        <item x="46"/>
        <item x="508"/>
        <item x="537"/>
        <item x="177"/>
        <item x="111"/>
        <item x="591"/>
        <item x="393"/>
        <item x="89"/>
        <item x="208"/>
        <item x="274"/>
        <item x="234"/>
        <item x="55"/>
        <item x="543"/>
        <item x="563"/>
        <item x="211"/>
        <item x="105"/>
        <item x="459"/>
        <item x="71"/>
        <item x="263"/>
        <item x="394"/>
        <item x="33"/>
        <item x="596"/>
        <item x="450"/>
        <item x="72"/>
        <item x="143"/>
        <item x="554"/>
        <item x="493"/>
        <item x="21"/>
        <item x="136"/>
        <item x="129"/>
        <item x="293"/>
        <item x="184"/>
        <item x="6"/>
        <item x="566"/>
        <item x="161"/>
        <item x="92"/>
        <item x="520"/>
        <item x="233"/>
        <item x="360"/>
        <item x="271"/>
        <item x="279"/>
        <item x="157"/>
        <item x="375"/>
        <item x="446"/>
        <item x="447"/>
        <item x="408"/>
        <item x="425"/>
        <item x="351"/>
        <item x="570"/>
        <item x="308"/>
        <item x="239"/>
        <item x="160"/>
        <item x="513"/>
        <item x="260"/>
        <item x="333"/>
        <item x="243"/>
        <item x="384"/>
        <item x="247"/>
        <item x="413"/>
        <item x="555"/>
        <item x="113"/>
        <item x="368"/>
        <item x="135"/>
        <item x="24"/>
        <item x="380"/>
        <item x="175"/>
        <item x="120"/>
        <item x="553"/>
        <item x="472"/>
        <item x="334"/>
        <item x="79"/>
        <item x="229"/>
        <item x="128"/>
        <item x="137"/>
        <item x="64"/>
        <item x="35"/>
        <item x="228"/>
        <item x="275"/>
        <item x="510"/>
        <item x="182"/>
        <item x="409"/>
        <item x="496"/>
        <item x="302"/>
        <item x="291"/>
        <item x="317"/>
        <item x="171"/>
        <item x="97"/>
        <item x="67"/>
        <item x="362"/>
        <item x="401"/>
        <item x="423"/>
        <item x="433"/>
        <item x="153"/>
        <item x="252"/>
        <item x="280"/>
        <item x="516"/>
        <item x="104"/>
        <item x="353"/>
        <item x="463"/>
        <item x="3"/>
        <item x="154"/>
        <item x="541"/>
        <item x="197"/>
        <item x="419"/>
        <item x="369"/>
        <item x="429"/>
        <item x="525"/>
        <item x="395"/>
        <item x="330"/>
        <item x="512"/>
        <item x="311"/>
        <item x="115"/>
        <item x="325"/>
        <item x="253"/>
        <item x="560"/>
        <item x="539"/>
        <item x="5"/>
        <item x="219"/>
        <item x="118"/>
        <item x="416"/>
        <item x="122"/>
        <item x="13"/>
        <item x="269"/>
        <item x="218"/>
        <item x="281"/>
        <item x="466"/>
        <item x="102"/>
        <item x="583"/>
        <item x="593"/>
        <item x="70"/>
        <item x="98"/>
        <item x="251"/>
        <item x="87"/>
        <item x="486"/>
        <item x="396"/>
        <item x="488"/>
        <item x="142"/>
        <item x="323"/>
        <item x="359"/>
        <item x="599"/>
        <item x="457"/>
        <item x="215"/>
        <item x="310"/>
        <item x="81"/>
        <item x="495"/>
        <item x="443"/>
        <item x="74"/>
        <item x="86"/>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pageFields count="1">
    <pageField fld="0" hier="-1"/>
  </pageFields>
  <dataFields count="1">
    <dataField name="Sum of Sales Amount" fld="9" baseField="0" baseItem="0" numFmtId="164"/>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21BDB7-AD95-42AA-9C75-7124B6F120A2}" sourceName="City">
  <pivotTables>
    <pivotTable tabId="6" name="PivotTable12"/>
    <pivotTable tabId="6" name="PivotTable10"/>
    <pivotTable tabId="6" name="PivotTable11"/>
    <pivotTable tabId="6" name="PivotTable26"/>
    <pivotTable tabId="6" name="PivotTable2"/>
  </pivotTables>
  <data>
    <tabular pivotCacheId="1308636661">
      <items count="16">
        <i x="7" s="1"/>
        <i x="8" s="1"/>
        <i x="11" s="1"/>
        <i x="5" s="1"/>
        <i x="0" s="1"/>
        <i x="6" s="1"/>
        <i x="3" s="1"/>
        <i x="4" s="1"/>
        <i x="12" s="1"/>
        <i x="15" s="1"/>
        <i x="13" s="1"/>
        <i x="2" s="1"/>
        <i x="14" s="1"/>
        <i x="1"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25BC26-B4BC-4953-BBA2-F558372BC8BB}" sourceName="Region">
  <pivotTables>
    <pivotTable tabId="6" name="PivotTable12"/>
    <pivotTable tabId="6" name="PivotTable10"/>
    <pivotTable tabId="6" name="PivotTable11"/>
    <pivotTable tabId="6" name="PivotTable26"/>
    <pivotTable tabId="6" name="PivotTable2"/>
  </pivotTables>
  <data>
    <tabular pivotCacheId="130863666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9EC6586-A5D2-4E80-9360-7D82072C6D8E}" sourceName="Product Category">
  <pivotTables>
    <pivotTable tabId="6" name="PivotTable12"/>
    <pivotTable tabId="6" name="PivotTable10"/>
    <pivotTable tabId="6" name="PivotTable11"/>
    <pivotTable tabId="6" name="PivotTable26"/>
    <pivotTable tabId="6" name="PivotTable2"/>
  </pivotTables>
  <data>
    <tabular pivotCacheId="1308636661">
      <items count="5">
        <i x="4" s="1"/>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B8BB708-2C42-469F-BF4C-58DD921AAD25}" cache="Slicer_City" caption="City" startItem="2" rowHeight="241300"/>
  <slicer name="Region" xr10:uid="{48C8EAE4-0B28-4AC1-A717-34760E6C5D76}" cache="Slicer_Region" caption="Region" rowHeight="241300"/>
  <slicer name="Product Category" xr10:uid="{DA512FC0-347C-4AE1-8C8D-5CA0270E1A51}" cache="Slicer_Product_Category"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55219F1B-87F8-4DCC-B74D-5E77E7EC9F9A}" sourceName="[Range].[Sale Date]">
  <pivotTables>
    <pivotTable tabId="6" name="PivotTable25"/>
  </pivotTables>
  <state minimalRefreshVersion="6" lastRefreshVersion="6" pivotCacheId="1203268222"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D4F5C5F8-3A41-4674-9013-9560E7B95275}" cache="Timeline_Sale_Date" caption="Sale Date" level="0" selectionLevel="0" scrollPosition="2023-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1"/>
  <sheetViews>
    <sheetView topLeftCell="A569" zoomScale="81" workbookViewId="0">
      <selection activeCell="M577" sqref="M577"/>
    </sheetView>
  </sheetViews>
  <sheetFormatPr defaultRowHeight="14.4" x14ac:dyDescent="0.3"/>
  <cols>
    <col min="1" max="1" width="12" style="10" customWidth="1"/>
    <col min="2" max="2" width="17" bestFit="1" customWidth="1"/>
    <col min="3" max="3" width="14" customWidth="1"/>
    <col min="4" max="4" width="15" customWidth="1"/>
    <col min="5" max="5" width="10" customWidth="1"/>
    <col min="6" max="6" width="18.33203125" bestFit="1" customWidth="1"/>
    <col min="7" max="7" width="15" customWidth="1"/>
    <col min="8" max="8" width="10" customWidth="1"/>
    <col min="9" max="10" width="14" style="3" customWidth="1"/>
    <col min="11" max="11" width="9.5546875" bestFit="1" customWidth="1"/>
    <col min="13" max="13" width="32.88671875" bestFit="1" customWidth="1"/>
    <col min="14" max="14" width="14.5546875" bestFit="1" customWidth="1"/>
  </cols>
  <sheetData>
    <row r="1" spans="1:14" x14ac:dyDescent="0.3">
      <c r="A1" s="8" t="s">
        <v>0</v>
      </c>
      <c r="B1" s="1" t="s">
        <v>1</v>
      </c>
      <c r="C1" s="1" t="s">
        <v>2</v>
      </c>
      <c r="D1" s="1" t="s">
        <v>3</v>
      </c>
      <c r="E1" s="1" t="s">
        <v>4</v>
      </c>
      <c r="F1" s="1" t="s">
        <v>5</v>
      </c>
      <c r="G1" s="1" t="s">
        <v>6</v>
      </c>
      <c r="H1" s="1" t="s">
        <v>7</v>
      </c>
      <c r="I1" s="2" t="s">
        <v>8</v>
      </c>
      <c r="J1" s="2" t="s">
        <v>9</v>
      </c>
    </row>
    <row r="2" spans="1:14" x14ac:dyDescent="0.3">
      <c r="A2" s="9">
        <v>45581</v>
      </c>
      <c r="B2" t="s">
        <v>10</v>
      </c>
      <c r="C2" t="s">
        <v>11</v>
      </c>
      <c r="D2" t="s">
        <v>12</v>
      </c>
      <c r="E2" t="s">
        <v>13</v>
      </c>
      <c r="F2" t="s">
        <v>14</v>
      </c>
      <c r="G2" t="s">
        <v>15</v>
      </c>
      <c r="H2">
        <v>8</v>
      </c>
      <c r="I2" s="3">
        <v>253.49</v>
      </c>
      <c r="J2" s="3">
        <f>H2*I2</f>
        <v>2027.92</v>
      </c>
      <c r="K2" s="3"/>
      <c r="M2" s="2" t="s">
        <v>87</v>
      </c>
      <c r="N2" s="3">
        <f>SUM(J2:J601)</f>
        <v>17474280.20999999</v>
      </c>
    </row>
    <row r="3" spans="1:14" x14ac:dyDescent="0.3">
      <c r="A3" s="9">
        <v>45031</v>
      </c>
      <c r="B3" t="s">
        <v>16</v>
      </c>
      <c r="C3" t="s">
        <v>17</v>
      </c>
      <c r="D3" t="s">
        <v>12</v>
      </c>
      <c r="E3" t="s">
        <v>13</v>
      </c>
      <c r="F3" t="s">
        <v>18</v>
      </c>
      <c r="G3" t="s">
        <v>19</v>
      </c>
      <c r="H3">
        <v>2</v>
      </c>
      <c r="I3" s="3">
        <v>205.12</v>
      </c>
      <c r="J3" s="3">
        <f t="shared" ref="J3:J66" si="0">H3*I3</f>
        <v>410.24</v>
      </c>
      <c r="M3" t="s">
        <v>91</v>
      </c>
      <c r="N3">
        <f>SUM(H2:H601)</f>
        <v>7429</v>
      </c>
    </row>
    <row r="4" spans="1:14" x14ac:dyDescent="0.3">
      <c r="A4" s="9">
        <v>45150</v>
      </c>
      <c r="B4" t="s">
        <v>20</v>
      </c>
      <c r="C4" t="s">
        <v>11</v>
      </c>
      <c r="D4" t="s">
        <v>12</v>
      </c>
      <c r="E4" t="s">
        <v>13</v>
      </c>
      <c r="F4" t="s">
        <v>18</v>
      </c>
      <c r="G4" t="s">
        <v>21</v>
      </c>
      <c r="H4">
        <v>23</v>
      </c>
      <c r="I4" s="3">
        <v>1352.29</v>
      </c>
      <c r="J4" s="3">
        <f t="shared" si="0"/>
        <v>31102.67</v>
      </c>
      <c r="M4" t="s">
        <v>92</v>
      </c>
      <c r="N4" s="4">
        <f>AVERAGE(I2:I601)</f>
        <v>2337.8153833333322</v>
      </c>
    </row>
    <row r="5" spans="1:14" x14ac:dyDescent="0.3">
      <c r="A5" s="9">
        <v>45485</v>
      </c>
      <c r="B5" t="s">
        <v>22</v>
      </c>
      <c r="C5" t="s">
        <v>23</v>
      </c>
      <c r="D5" t="s">
        <v>24</v>
      </c>
      <c r="E5" t="s">
        <v>25</v>
      </c>
      <c r="F5" t="s">
        <v>26</v>
      </c>
      <c r="G5" t="s">
        <v>27</v>
      </c>
      <c r="H5">
        <v>9</v>
      </c>
      <c r="I5" s="3">
        <v>9999.02</v>
      </c>
      <c r="J5" s="3">
        <f t="shared" si="0"/>
        <v>89991.180000000008</v>
      </c>
      <c r="M5" t="s">
        <v>93</v>
      </c>
      <c r="N5">
        <f>COUNT(H2:H601)</f>
        <v>600</v>
      </c>
    </row>
    <row r="6" spans="1:14" x14ac:dyDescent="0.3">
      <c r="A6" s="9">
        <v>44933</v>
      </c>
      <c r="B6" t="s">
        <v>28</v>
      </c>
      <c r="C6" t="s">
        <v>29</v>
      </c>
      <c r="D6" t="s">
        <v>30</v>
      </c>
      <c r="E6" t="s">
        <v>13</v>
      </c>
      <c r="F6" t="s">
        <v>14</v>
      </c>
      <c r="G6" t="s">
        <v>31</v>
      </c>
      <c r="H6">
        <v>5</v>
      </c>
      <c r="I6" s="3">
        <v>336.85</v>
      </c>
      <c r="J6" s="3">
        <f t="shared" si="0"/>
        <v>1684.25</v>
      </c>
      <c r="M6" t="s">
        <v>94</v>
      </c>
      <c r="N6" s="10" t="str">
        <f>sheet1!A4</f>
        <v>Highlighter</v>
      </c>
    </row>
    <row r="7" spans="1:14" x14ac:dyDescent="0.3">
      <c r="A7" s="9">
        <v>45271</v>
      </c>
      <c r="B7" t="s">
        <v>10</v>
      </c>
      <c r="C7" t="s">
        <v>17</v>
      </c>
      <c r="D7" t="s">
        <v>12</v>
      </c>
      <c r="E7" t="s">
        <v>13</v>
      </c>
      <c r="F7" t="s">
        <v>26</v>
      </c>
      <c r="G7" t="s">
        <v>32</v>
      </c>
      <c r="H7">
        <v>12</v>
      </c>
      <c r="I7" s="3">
        <v>10398.69</v>
      </c>
      <c r="J7" s="3">
        <f t="shared" si="0"/>
        <v>124784.28</v>
      </c>
      <c r="M7" t="s">
        <v>95</v>
      </c>
      <c r="N7" t="str">
        <f>sheet1!D4</f>
        <v>Kolkata</v>
      </c>
    </row>
    <row r="8" spans="1:14" x14ac:dyDescent="0.3">
      <c r="A8" s="9">
        <v>45545</v>
      </c>
      <c r="B8" t="s">
        <v>33</v>
      </c>
      <c r="C8" t="s">
        <v>34</v>
      </c>
      <c r="D8" t="s">
        <v>12</v>
      </c>
      <c r="E8" t="s">
        <v>13</v>
      </c>
      <c r="F8" t="s">
        <v>26</v>
      </c>
      <c r="G8" t="s">
        <v>27</v>
      </c>
      <c r="H8">
        <v>4</v>
      </c>
      <c r="I8" s="3">
        <v>11717.72</v>
      </c>
      <c r="J8" s="3">
        <f t="shared" si="0"/>
        <v>46870.879999999997</v>
      </c>
      <c r="M8" t="s">
        <v>96</v>
      </c>
      <c r="N8" t="str">
        <f>sheet1!G4</f>
        <v>Ahmedabad</v>
      </c>
    </row>
    <row r="9" spans="1:14" x14ac:dyDescent="0.3">
      <c r="A9" s="9">
        <v>45314</v>
      </c>
      <c r="B9" t="s">
        <v>35</v>
      </c>
      <c r="C9" t="s">
        <v>36</v>
      </c>
      <c r="D9" t="s">
        <v>37</v>
      </c>
      <c r="E9" t="s">
        <v>25</v>
      </c>
      <c r="F9" t="s">
        <v>18</v>
      </c>
      <c r="G9" t="s">
        <v>38</v>
      </c>
      <c r="H9">
        <v>19</v>
      </c>
      <c r="I9" s="3">
        <v>505.73</v>
      </c>
      <c r="J9" s="3">
        <f t="shared" si="0"/>
        <v>9608.8700000000008</v>
      </c>
    </row>
    <row r="10" spans="1:14" x14ac:dyDescent="0.3">
      <c r="A10" s="9">
        <v>44998</v>
      </c>
      <c r="B10" t="s">
        <v>39</v>
      </c>
      <c r="C10" t="s">
        <v>23</v>
      </c>
      <c r="D10" t="s">
        <v>24</v>
      </c>
      <c r="E10" t="s">
        <v>25</v>
      </c>
      <c r="F10" t="s">
        <v>14</v>
      </c>
      <c r="G10" t="s">
        <v>40</v>
      </c>
      <c r="H10">
        <v>8</v>
      </c>
      <c r="I10" s="3">
        <v>1053.1300000000001</v>
      </c>
      <c r="J10" s="3">
        <f t="shared" si="0"/>
        <v>8425.0400000000009</v>
      </c>
    </row>
    <row r="11" spans="1:14" x14ac:dyDescent="0.3">
      <c r="A11" s="9">
        <v>45316</v>
      </c>
      <c r="B11" t="s">
        <v>33</v>
      </c>
      <c r="C11" t="s">
        <v>41</v>
      </c>
      <c r="D11" t="s">
        <v>42</v>
      </c>
      <c r="E11" t="s">
        <v>25</v>
      </c>
      <c r="F11" t="s">
        <v>14</v>
      </c>
      <c r="G11" t="s">
        <v>15</v>
      </c>
      <c r="H11">
        <v>12</v>
      </c>
      <c r="I11" s="3">
        <v>490.8</v>
      </c>
      <c r="J11" s="3">
        <f t="shared" si="0"/>
        <v>5889.6</v>
      </c>
    </row>
    <row r="12" spans="1:14" x14ac:dyDescent="0.3">
      <c r="A12" s="9">
        <v>45613</v>
      </c>
      <c r="B12" t="s">
        <v>33</v>
      </c>
      <c r="C12" t="s">
        <v>17</v>
      </c>
      <c r="D12" t="s">
        <v>12</v>
      </c>
      <c r="E12" t="s">
        <v>13</v>
      </c>
      <c r="F12" t="s">
        <v>18</v>
      </c>
      <c r="G12" t="s">
        <v>21</v>
      </c>
      <c r="H12">
        <v>18</v>
      </c>
      <c r="I12" s="3">
        <v>1498.88</v>
      </c>
      <c r="J12" s="3">
        <f t="shared" si="0"/>
        <v>26979.840000000004</v>
      </c>
    </row>
    <row r="13" spans="1:14" x14ac:dyDescent="0.3">
      <c r="A13" s="9">
        <v>45094</v>
      </c>
      <c r="B13" t="s">
        <v>43</v>
      </c>
      <c r="C13" t="s">
        <v>44</v>
      </c>
      <c r="D13" t="s">
        <v>45</v>
      </c>
      <c r="E13" t="s">
        <v>46</v>
      </c>
      <c r="F13" t="s">
        <v>14</v>
      </c>
      <c r="G13" t="s">
        <v>15</v>
      </c>
      <c r="H13">
        <v>22</v>
      </c>
      <c r="I13" s="3">
        <v>456.71</v>
      </c>
      <c r="J13" s="3">
        <f t="shared" si="0"/>
        <v>10047.619999999999</v>
      </c>
    </row>
    <row r="14" spans="1:14" x14ac:dyDescent="0.3">
      <c r="A14" s="9">
        <v>44984</v>
      </c>
      <c r="B14" t="s">
        <v>20</v>
      </c>
      <c r="C14" t="s">
        <v>34</v>
      </c>
      <c r="D14" t="s">
        <v>12</v>
      </c>
      <c r="E14" t="s">
        <v>13</v>
      </c>
      <c r="F14" t="s">
        <v>14</v>
      </c>
      <c r="G14" t="s">
        <v>47</v>
      </c>
      <c r="H14">
        <v>9</v>
      </c>
      <c r="I14" s="3">
        <v>172.81</v>
      </c>
      <c r="J14" s="3">
        <f t="shared" si="0"/>
        <v>1555.29</v>
      </c>
    </row>
    <row r="15" spans="1:14" x14ac:dyDescent="0.3">
      <c r="A15" s="9">
        <v>45507</v>
      </c>
      <c r="B15" t="s">
        <v>48</v>
      </c>
      <c r="C15" t="s">
        <v>49</v>
      </c>
      <c r="D15" t="s">
        <v>24</v>
      </c>
      <c r="E15" t="s">
        <v>25</v>
      </c>
      <c r="F15" t="s">
        <v>26</v>
      </c>
      <c r="G15" t="s">
        <v>50</v>
      </c>
      <c r="H15">
        <v>21</v>
      </c>
      <c r="I15" s="3">
        <v>6317.94</v>
      </c>
      <c r="J15" s="3">
        <f t="shared" si="0"/>
        <v>132676.74</v>
      </c>
    </row>
    <row r="16" spans="1:14" x14ac:dyDescent="0.3">
      <c r="A16" s="9">
        <v>45198</v>
      </c>
      <c r="B16" t="s">
        <v>51</v>
      </c>
      <c r="C16" t="s">
        <v>23</v>
      </c>
      <c r="D16" t="s">
        <v>24</v>
      </c>
      <c r="E16" t="s">
        <v>25</v>
      </c>
      <c r="F16" t="s">
        <v>18</v>
      </c>
      <c r="G16" t="s">
        <v>38</v>
      </c>
      <c r="H16">
        <v>24</v>
      </c>
      <c r="I16" s="3">
        <v>1231.48</v>
      </c>
      <c r="J16" s="3">
        <f t="shared" si="0"/>
        <v>29555.52</v>
      </c>
    </row>
    <row r="17" spans="1:10" x14ac:dyDescent="0.3">
      <c r="A17" s="9">
        <v>45524</v>
      </c>
      <c r="B17" t="s">
        <v>51</v>
      </c>
      <c r="C17" t="s">
        <v>52</v>
      </c>
      <c r="D17" t="s">
        <v>53</v>
      </c>
      <c r="E17" t="s">
        <v>54</v>
      </c>
      <c r="F17" t="s">
        <v>55</v>
      </c>
      <c r="G17" t="s">
        <v>56</v>
      </c>
      <c r="H17">
        <v>17</v>
      </c>
      <c r="I17" s="3">
        <v>1828.6</v>
      </c>
      <c r="J17" s="3">
        <f t="shared" si="0"/>
        <v>31086.199999999997</v>
      </c>
    </row>
    <row r="18" spans="1:10" x14ac:dyDescent="0.3">
      <c r="A18" s="9">
        <v>44975</v>
      </c>
      <c r="B18" t="s">
        <v>10</v>
      </c>
      <c r="C18" t="s">
        <v>57</v>
      </c>
      <c r="D18" t="s">
        <v>58</v>
      </c>
      <c r="E18" t="s">
        <v>46</v>
      </c>
      <c r="F18" t="s">
        <v>55</v>
      </c>
      <c r="G18" t="s">
        <v>59</v>
      </c>
      <c r="H18">
        <v>20</v>
      </c>
      <c r="I18" s="3">
        <v>409.64</v>
      </c>
      <c r="J18" s="3">
        <f t="shared" si="0"/>
        <v>8192.7999999999993</v>
      </c>
    </row>
    <row r="19" spans="1:10" x14ac:dyDescent="0.3">
      <c r="A19" s="9">
        <v>45317</v>
      </c>
      <c r="B19" t="s">
        <v>60</v>
      </c>
      <c r="C19" t="s">
        <v>41</v>
      </c>
      <c r="D19" t="s">
        <v>42</v>
      </c>
      <c r="E19" t="s">
        <v>25</v>
      </c>
      <c r="F19" t="s">
        <v>18</v>
      </c>
      <c r="G19" t="s">
        <v>38</v>
      </c>
      <c r="H19">
        <v>18</v>
      </c>
      <c r="I19" s="3">
        <v>1742.44</v>
      </c>
      <c r="J19" s="3">
        <f t="shared" si="0"/>
        <v>31363.920000000002</v>
      </c>
    </row>
    <row r="20" spans="1:10" x14ac:dyDescent="0.3">
      <c r="A20" s="9">
        <v>44938</v>
      </c>
      <c r="B20" t="s">
        <v>10</v>
      </c>
      <c r="C20" t="s">
        <v>61</v>
      </c>
      <c r="D20" t="s">
        <v>37</v>
      </c>
      <c r="E20" t="s">
        <v>25</v>
      </c>
      <c r="F20" t="s">
        <v>14</v>
      </c>
      <c r="G20" t="s">
        <v>40</v>
      </c>
      <c r="H20">
        <v>10</v>
      </c>
      <c r="I20" s="3">
        <v>578.24</v>
      </c>
      <c r="J20" s="3">
        <f t="shared" si="0"/>
        <v>5782.4</v>
      </c>
    </row>
    <row r="21" spans="1:10" x14ac:dyDescent="0.3">
      <c r="A21" s="9">
        <v>45391</v>
      </c>
      <c r="B21" t="s">
        <v>62</v>
      </c>
      <c r="C21" t="s">
        <v>61</v>
      </c>
      <c r="D21" t="s">
        <v>37</v>
      </c>
      <c r="E21" t="s">
        <v>25</v>
      </c>
      <c r="F21" t="s">
        <v>18</v>
      </c>
      <c r="G21" t="s">
        <v>21</v>
      </c>
      <c r="H21">
        <v>17</v>
      </c>
      <c r="I21" s="3">
        <v>1838.36</v>
      </c>
      <c r="J21" s="3">
        <f t="shared" si="0"/>
        <v>31252.12</v>
      </c>
    </row>
    <row r="22" spans="1:10" x14ac:dyDescent="0.3">
      <c r="A22" s="9">
        <v>45567</v>
      </c>
      <c r="B22" t="s">
        <v>63</v>
      </c>
      <c r="C22" t="s">
        <v>49</v>
      </c>
      <c r="D22" t="s">
        <v>24</v>
      </c>
      <c r="E22" t="s">
        <v>25</v>
      </c>
      <c r="F22" t="s">
        <v>55</v>
      </c>
      <c r="G22" t="s">
        <v>64</v>
      </c>
      <c r="H22">
        <v>25</v>
      </c>
      <c r="I22" s="3">
        <v>733.11</v>
      </c>
      <c r="J22" s="3">
        <f t="shared" si="0"/>
        <v>18327.75</v>
      </c>
    </row>
    <row r="23" spans="1:10" x14ac:dyDescent="0.3">
      <c r="A23" s="9">
        <v>45470</v>
      </c>
      <c r="B23" t="s">
        <v>62</v>
      </c>
      <c r="C23" t="s">
        <v>65</v>
      </c>
      <c r="D23" t="s">
        <v>66</v>
      </c>
      <c r="E23" t="s">
        <v>54</v>
      </c>
      <c r="F23" t="s">
        <v>26</v>
      </c>
      <c r="G23" t="s">
        <v>32</v>
      </c>
      <c r="H23">
        <v>4</v>
      </c>
      <c r="I23" s="3">
        <v>11255.54</v>
      </c>
      <c r="J23" s="3">
        <f t="shared" si="0"/>
        <v>45022.16</v>
      </c>
    </row>
    <row r="24" spans="1:10" x14ac:dyDescent="0.3">
      <c r="A24" s="9">
        <v>45241</v>
      </c>
      <c r="B24" t="s">
        <v>20</v>
      </c>
      <c r="C24" t="s">
        <v>34</v>
      </c>
      <c r="D24" t="s">
        <v>12</v>
      </c>
      <c r="E24" t="s">
        <v>13</v>
      </c>
      <c r="F24" t="s">
        <v>55</v>
      </c>
      <c r="G24" t="s">
        <v>67</v>
      </c>
      <c r="H24">
        <v>3</v>
      </c>
      <c r="I24" s="3">
        <v>482.66</v>
      </c>
      <c r="J24" s="3">
        <f t="shared" si="0"/>
        <v>1447.98</v>
      </c>
    </row>
    <row r="25" spans="1:10" x14ac:dyDescent="0.3">
      <c r="A25" s="9">
        <v>45424</v>
      </c>
      <c r="B25" t="s">
        <v>35</v>
      </c>
      <c r="C25" t="s">
        <v>57</v>
      </c>
      <c r="D25" t="s">
        <v>58</v>
      </c>
      <c r="E25" t="s">
        <v>46</v>
      </c>
      <c r="F25" t="s">
        <v>55</v>
      </c>
      <c r="G25" t="s">
        <v>59</v>
      </c>
      <c r="H25">
        <v>18</v>
      </c>
      <c r="I25" s="3">
        <v>744.92</v>
      </c>
      <c r="J25" s="3">
        <f t="shared" si="0"/>
        <v>13408.56</v>
      </c>
    </row>
    <row r="26" spans="1:10" x14ac:dyDescent="0.3">
      <c r="A26" s="9">
        <v>45467</v>
      </c>
      <c r="B26" t="s">
        <v>60</v>
      </c>
      <c r="C26" t="s">
        <v>29</v>
      </c>
      <c r="D26" t="s">
        <v>30</v>
      </c>
      <c r="E26" t="s">
        <v>13</v>
      </c>
      <c r="F26" t="s">
        <v>55</v>
      </c>
      <c r="G26" t="s">
        <v>67</v>
      </c>
      <c r="H26">
        <v>25</v>
      </c>
      <c r="I26" s="3">
        <v>2608.77</v>
      </c>
      <c r="J26" s="3">
        <f t="shared" si="0"/>
        <v>65219.25</v>
      </c>
    </row>
    <row r="27" spans="1:10" x14ac:dyDescent="0.3">
      <c r="A27" s="9">
        <v>45132</v>
      </c>
      <c r="B27" t="s">
        <v>63</v>
      </c>
      <c r="C27" t="s">
        <v>44</v>
      </c>
      <c r="D27" t="s">
        <v>45</v>
      </c>
      <c r="E27" t="s">
        <v>46</v>
      </c>
      <c r="F27" t="s">
        <v>14</v>
      </c>
      <c r="G27" t="s">
        <v>47</v>
      </c>
      <c r="H27">
        <v>17</v>
      </c>
      <c r="I27" s="3">
        <v>596.63</v>
      </c>
      <c r="J27" s="3">
        <f t="shared" si="0"/>
        <v>10142.709999999999</v>
      </c>
    </row>
    <row r="28" spans="1:10" x14ac:dyDescent="0.3">
      <c r="A28" s="9">
        <v>45180</v>
      </c>
      <c r="B28" t="s">
        <v>20</v>
      </c>
      <c r="C28" t="s">
        <v>17</v>
      </c>
      <c r="D28" t="s">
        <v>12</v>
      </c>
      <c r="E28" t="s">
        <v>13</v>
      </c>
      <c r="F28" t="s">
        <v>14</v>
      </c>
      <c r="G28" t="s">
        <v>40</v>
      </c>
      <c r="H28">
        <v>19</v>
      </c>
      <c r="I28" s="3">
        <v>709.31</v>
      </c>
      <c r="J28" s="3">
        <f t="shared" si="0"/>
        <v>13476.89</v>
      </c>
    </row>
    <row r="29" spans="1:10" x14ac:dyDescent="0.3">
      <c r="A29" s="9">
        <v>45529</v>
      </c>
      <c r="B29" t="s">
        <v>20</v>
      </c>
      <c r="C29" t="s">
        <v>11</v>
      </c>
      <c r="D29" t="s">
        <v>12</v>
      </c>
      <c r="E29" t="s">
        <v>13</v>
      </c>
      <c r="F29" t="s">
        <v>68</v>
      </c>
      <c r="G29" t="s">
        <v>69</v>
      </c>
      <c r="H29">
        <v>21</v>
      </c>
      <c r="I29" s="3">
        <v>42.37</v>
      </c>
      <c r="J29" s="3">
        <f t="shared" si="0"/>
        <v>889.77</v>
      </c>
    </row>
    <row r="30" spans="1:10" x14ac:dyDescent="0.3">
      <c r="A30" s="9">
        <v>44996</v>
      </c>
      <c r="B30" t="s">
        <v>39</v>
      </c>
      <c r="C30" t="s">
        <v>65</v>
      </c>
      <c r="D30" t="s">
        <v>66</v>
      </c>
      <c r="E30" t="s">
        <v>54</v>
      </c>
      <c r="F30" t="s">
        <v>68</v>
      </c>
      <c r="G30" t="s">
        <v>70</v>
      </c>
      <c r="H30">
        <v>8</v>
      </c>
      <c r="I30" s="3">
        <v>125.82</v>
      </c>
      <c r="J30" s="3">
        <f t="shared" si="0"/>
        <v>1006.56</v>
      </c>
    </row>
    <row r="31" spans="1:10" x14ac:dyDescent="0.3">
      <c r="A31" s="9">
        <v>45424</v>
      </c>
      <c r="B31" t="s">
        <v>71</v>
      </c>
      <c r="C31" t="s">
        <v>57</v>
      </c>
      <c r="D31" t="s">
        <v>58</v>
      </c>
      <c r="E31" t="s">
        <v>46</v>
      </c>
      <c r="F31" t="s">
        <v>18</v>
      </c>
      <c r="G31" t="s">
        <v>19</v>
      </c>
      <c r="H31">
        <v>8</v>
      </c>
      <c r="I31" s="3">
        <v>1601.55</v>
      </c>
      <c r="J31" s="3">
        <f t="shared" si="0"/>
        <v>12812.4</v>
      </c>
    </row>
    <row r="32" spans="1:10" x14ac:dyDescent="0.3">
      <c r="A32" s="9">
        <v>45343</v>
      </c>
      <c r="B32" t="s">
        <v>71</v>
      </c>
      <c r="C32" t="s">
        <v>72</v>
      </c>
      <c r="D32" t="s">
        <v>58</v>
      </c>
      <c r="E32" t="s">
        <v>46</v>
      </c>
      <c r="F32" t="s">
        <v>68</v>
      </c>
      <c r="G32" t="s">
        <v>69</v>
      </c>
      <c r="H32">
        <v>14</v>
      </c>
      <c r="I32" s="3">
        <v>154.63</v>
      </c>
      <c r="J32" s="3">
        <f t="shared" si="0"/>
        <v>2164.8199999999997</v>
      </c>
    </row>
    <row r="33" spans="1:10" x14ac:dyDescent="0.3">
      <c r="A33" s="9">
        <v>45347</v>
      </c>
      <c r="B33" t="s">
        <v>43</v>
      </c>
      <c r="C33" t="s">
        <v>34</v>
      </c>
      <c r="D33" t="s">
        <v>12</v>
      </c>
      <c r="E33" t="s">
        <v>13</v>
      </c>
      <c r="F33" t="s">
        <v>68</v>
      </c>
      <c r="G33" t="s">
        <v>73</v>
      </c>
      <c r="H33">
        <v>13</v>
      </c>
      <c r="I33" s="3">
        <v>296.72000000000003</v>
      </c>
      <c r="J33" s="3">
        <f t="shared" si="0"/>
        <v>3857.3600000000006</v>
      </c>
    </row>
    <row r="34" spans="1:10" x14ac:dyDescent="0.3">
      <c r="A34" s="9">
        <v>45038</v>
      </c>
      <c r="B34" t="s">
        <v>20</v>
      </c>
      <c r="C34" t="s">
        <v>49</v>
      </c>
      <c r="D34" t="s">
        <v>24</v>
      </c>
      <c r="E34" t="s">
        <v>25</v>
      </c>
      <c r="F34" t="s">
        <v>55</v>
      </c>
      <c r="G34" t="s">
        <v>67</v>
      </c>
      <c r="H34">
        <v>15</v>
      </c>
      <c r="I34" s="3">
        <v>662.6</v>
      </c>
      <c r="J34" s="3">
        <f t="shared" si="0"/>
        <v>9939</v>
      </c>
    </row>
    <row r="35" spans="1:10" x14ac:dyDescent="0.3">
      <c r="A35" s="9">
        <v>45114</v>
      </c>
      <c r="B35" t="s">
        <v>33</v>
      </c>
      <c r="C35" t="s">
        <v>41</v>
      </c>
      <c r="D35" t="s">
        <v>42</v>
      </c>
      <c r="E35" t="s">
        <v>25</v>
      </c>
      <c r="F35" t="s">
        <v>55</v>
      </c>
      <c r="G35" t="s">
        <v>74</v>
      </c>
      <c r="H35">
        <v>15</v>
      </c>
      <c r="I35" s="3">
        <v>2866.47</v>
      </c>
      <c r="J35" s="3">
        <f t="shared" si="0"/>
        <v>42997.049999999996</v>
      </c>
    </row>
    <row r="36" spans="1:10" x14ac:dyDescent="0.3">
      <c r="A36" s="9">
        <v>45490</v>
      </c>
      <c r="B36" t="s">
        <v>10</v>
      </c>
      <c r="C36" t="s">
        <v>34</v>
      </c>
      <c r="D36" t="s">
        <v>12</v>
      </c>
      <c r="E36" t="s">
        <v>13</v>
      </c>
      <c r="F36" t="s">
        <v>18</v>
      </c>
      <c r="G36" t="s">
        <v>75</v>
      </c>
      <c r="H36">
        <v>3</v>
      </c>
      <c r="I36" s="3">
        <v>1863.78</v>
      </c>
      <c r="J36" s="3">
        <f t="shared" si="0"/>
        <v>5591.34</v>
      </c>
    </row>
    <row r="37" spans="1:10" x14ac:dyDescent="0.3">
      <c r="A37" s="9">
        <v>45169</v>
      </c>
      <c r="B37" t="s">
        <v>28</v>
      </c>
      <c r="C37" t="s">
        <v>29</v>
      </c>
      <c r="D37" t="s">
        <v>30</v>
      </c>
      <c r="E37" t="s">
        <v>13</v>
      </c>
      <c r="F37" t="s">
        <v>26</v>
      </c>
      <c r="G37" t="s">
        <v>50</v>
      </c>
      <c r="H37">
        <v>7</v>
      </c>
      <c r="I37" s="3">
        <v>10578.83</v>
      </c>
      <c r="J37" s="3">
        <f t="shared" si="0"/>
        <v>74051.81</v>
      </c>
    </row>
    <row r="38" spans="1:10" x14ac:dyDescent="0.3">
      <c r="A38" s="9">
        <v>44987</v>
      </c>
      <c r="B38" t="s">
        <v>28</v>
      </c>
      <c r="C38" t="s">
        <v>44</v>
      </c>
      <c r="D38" t="s">
        <v>45</v>
      </c>
      <c r="E38" t="s">
        <v>46</v>
      </c>
      <c r="F38" t="s">
        <v>68</v>
      </c>
      <c r="G38" t="s">
        <v>76</v>
      </c>
      <c r="H38">
        <v>9</v>
      </c>
      <c r="I38" s="3">
        <v>372.08</v>
      </c>
      <c r="J38" s="3">
        <f t="shared" si="0"/>
        <v>3348.72</v>
      </c>
    </row>
    <row r="39" spans="1:10" x14ac:dyDescent="0.3">
      <c r="A39" s="9">
        <v>45392</v>
      </c>
      <c r="B39" t="s">
        <v>63</v>
      </c>
      <c r="C39" t="s">
        <v>29</v>
      </c>
      <c r="D39" t="s">
        <v>30</v>
      </c>
      <c r="E39" t="s">
        <v>13</v>
      </c>
      <c r="F39" t="s">
        <v>18</v>
      </c>
      <c r="G39" t="s">
        <v>19</v>
      </c>
      <c r="H39">
        <v>5</v>
      </c>
      <c r="I39" s="3">
        <v>501.31</v>
      </c>
      <c r="J39" s="3">
        <f t="shared" si="0"/>
        <v>2506.5500000000002</v>
      </c>
    </row>
    <row r="40" spans="1:10" x14ac:dyDescent="0.3">
      <c r="A40" s="9">
        <v>45149</v>
      </c>
      <c r="B40" t="s">
        <v>39</v>
      </c>
      <c r="C40" t="s">
        <v>34</v>
      </c>
      <c r="D40" t="s">
        <v>12</v>
      </c>
      <c r="E40" t="s">
        <v>13</v>
      </c>
      <c r="F40" t="s">
        <v>14</v>
      </c>
      <c r="G40" t="s">
        <v>40</v>
      </c>
      <c r="H40">
        <v>2</v>
      </c>
      <c r="I40" s="3">
        <v>742.6</v>
      </c>
      <c r="J40" s="3">
        <f t="shared" si="0"/>
        <v>1485.2</v>
      </c>
    </row>
    <row r="41" spans="1:10" x14ac:dyDescent="0.3">
      <c r="A41" s="9">
        <v>45441</v>
      </c>
      <c r="B41" t="s">
        <v>77</v>
      </c>
      <c r="C41" t="s">
        <v>78</v>
      </c>
      <c r="D41" t="s">
        <v>58</v>
      </c>
      <c r="E41" t="s">
        <v>46</v>
      </c>
      <c r="F41" t="s">
        <v>68</v>
      </c>
      <c r="G41" t="s">
        <v>70</v>
      </c>
      <c r="H41">
        <v>3</v>
      </c>
      <c r="I41" s="3">
        <v>343.51</v>
      </c>
      <c r="J41" s="3">
        <f t="shared" si="0"/>
        <v>1030.53</v>
      </c>
    </row>
    <row r="42" spans="1:10" x14ac:dyDescent="0.3">
      <c r="A42" s="9">
        <v>44997</v>
      </c>
      <c r="B42" t="s">
        <v>60</v>
      </c>
      <c r="C42" t="s">
        <v>17</v>
      </c>
      <c r="D42" t="s">
        <v>12</v>
      </c>
      <c r="E42" t="s">
        <v>13</v>
      </c>
      <c r="F42" t="s">
        <v>55</v>
      </c>
      <c r="G42" t="s">
        <v>59</v>
      </c>
      <c r="H42">
        <v>4</v>
      </c>
      <c r="I42" s="3">
        <v>3307.27</v>
      </c>
      <c r="J42" s="3">
        <f t="shared" si="0"/>
        <v>13229.08</v>
      </c>
    </row>
    <row r="43" spans="1:10" x14ac:dyDescent="0.3">
      <c r="A43" s="9">
        <v>45510</v>
      </c>
      <c r="B43" t="s">
        <v>20</v>
      </c>
      <c r="C43" t="s">
        <v>34</v>
      </c>
      <c r="D43" t="s">
        <v>12</v>
      </c>
      <c r="E43" t="s">
        <v>13</v>
      </c>
      <c r="F43" t="s">
        <v>18</v>
      </c>
      <c r="G43" t="s">
        <v>75</v>
      </c>
      <c r="H43">
        <v>14</v>
      </c>
      <c r="I43" s="3">
        <v>1366.14</v>
      </c>
      <c r="J43" s="3">
        <f t="shared" si="0"/>
        <v>19125.960000000003</v>
      </c>
    </row>
    <row r="44" spans="1:10" x14ac:dyDescent="0.3">
      <c r="A44" s="9">
        <v>45505</v>
      </c>
      <c r="B44" t="s">
        <v>77</v>
      </c>
      <c r="C44" t="s">
        <v>65</v>
      </c>
      <c r="D44" t="s">
        <v>66</v>
      </c>
      <c r="E44" t="s">
        <v>54</v>
      </c>
      <c r="F44" t="s">
        <v>14</v>
      </c>
      <c r="G44" t="s">
        <v>15</v>
      </c>
      <c r="H44">
        <v>22</v>
      </c>
      <c r="I44" s="3">
        <v>887.81</v>
      </c>
      <c r="J44" s="3">
        <f t="shared" si="0"/>
        <v>19531.82</v>
      </c>
    </row>
    <row r="45" spans="1:10" x14ac:dyDescent="0.3">
      <c r="A45" s="9">
        <v>45171</v>
      </c>
      <c r="B45" t="s">
        <v>33</v>
      </c>
      <c r="C45" t="s">
        <v>44</v>
      </c>
      <c r="D45" t="s">
        <v>45</v>
      </c>
      <c r="E45" t="s">
        <v>46</v>
      </c>
      <c r="F45" t="s">
        <v>55</v>
      </c>
      <c r="G45" t="s">
        <v>64</v>
      </c>
      <c r="H45">
        <v>15</v>
      </c>
      <c r="I45" s="3">
        <v>1243.3800000000001</v>
      </c>
      <c r="J45" s="3">
        <f t="shared" si="0"/>
        <v>18650.7</v>
      </c>
    </row>
    <row r="46" spans="1:10" x14ac:dyDescent="0.3">
      <c r="A46" s="9">
        <v>45001</v>
      </c>
      <c r="B46" t="s">
        <v>62</v>
      </c>
      <c r="C46" t="s">
        <v>41</v>
      </c>
      <c r="D46" t="s">
        <v>42</v>
      </c>
      <c r="E46" t="s">
        <v>25</v>
      </c>
      <c r="F46" t="s">
        <v>18</v>
      </c>
      <c r="G46" t="s">
        <v>75</v>
      </c>
      <c r="H46">
        <v>3</v>
      </c>
      <c r="I46" s="3">
        <v>1144.6199999999999</v>
      </c>
      <c r="J46" s="3">
        <f t="shared" si="0"/>
        <v>3433.8599999999997</v>
      </c>
    </row>
    <row r="47" spans="1:10" x14ac:dyDescent="0.3">
      <c r="A47" s="9">
        <v>45445</v>
      </c>
      <c r="B47" t="s">
        <v>33</v>
      </c>
      <c r="C47" t="s">
        <v>57</v>
      </c>
      <c r="D47" t="s">
        <v>58</v>
      </c>
      <c r="E47" t="s">
        <v>46</v>
      </c>
      <c r="F47" t="s">
        <v>14</v>
      </c>
      <c r="G47" t="s">
        <v>40</v>
      </c>
      <c r="H47">
        <v>8</v>
      </c>
      <c r="I47" s="3">
        <v>506.48</v>
      </c>
      <c r="J47" s="3">
        <f t="shared" si="0"/>
        <v>4051.84</v>
      </c>
    </row>
    <row r="48" spans="1:10" x14ac:dyDescent="0.3">
      <c r="A48" s="9">
        <v>45088</v>
      </c>
      <c r="B48" t="s">
        <v>43</v>
      </c>
      <c r="C48" t="s">
        <v>36</v>
      </c>
      <c r="D48" t="s">
        <v>37</v>
      </c>
      <c r="E48" t="s">
        <v>25</v>
      </c>
      <c r="F48" t="s">
        <v>18</v>
      </c>
      <c r="G48" t="s">
        <v>75</v>
      </c>
      <c r="H48">
        <v>22</v>
      </c>
      <c r="I48" s="3">
        <v>1661.64</v>
      </c>
      <c r="J48" s="3">
        <f t="shared" si="0"/>
        <v>36556.080000000002</v>
      </c>
    </row>
    <row r="49" spans="1:10" x14ac:dyDescent="0.3">
      <c r="A49" s="9">
        <v>45233</v>
      </c>
      <c r="B49" t="s">
        <v>10</v>
      </c>
      <c r="C49" t="s">
        <v>57</v>
      </c>
      <c r="D49" t="s">
        <v>58</v>
      </c>
      <c r="E49" t="s">
        <v>46</v>
      </c>
      <c r="F49" t="s">
        <v>14</v>
      </c>
      <c r="G49" t="s">
        <v>40</v>
      </c>
      <c r="H49">
        <v>4</v>
      </c>
      <c r="I49" s="3">
        <v>916.66</v>
      </c>
      <c r="J49" s="3">
        <f t="shared" si="0"/>
        <v>3666.64</v>
      </c>
    </row>
    <row r="50" spans="1:10" x14ac:dyDescent="0.3">
      <c r="A50" s="9">
        <v>45086</v>
      </c>
      <c r="B50" t="s">
        <v>33</v>
      </c>
      <c r="C50" t="s">
        <v>36</v>
      </c>
      <c r="D50" t="s">
        <v>37</v>
      </c>
      <c r="E50" t="s">
        <v>25</v>
      </c>
      <c r="F50" t="s">
        <v>18</v>
      </c>
      <c r="G50" t="s">
        <v>21</v>
      </c>
      <c r="H50">
        <v>23</v>
      </c>
      <c r="I50" s="3">
        <v>784.33</v>
      </c>
      <c r="J50" s="3">
        <f t="shared" si="0"/>
        <v>18039.59</v>
      </c>
    </row>
    <row r="51" spans="1:10" x14ac:dyDescent="0.3">
      <c r="A51" s="9">
        <v>45630</v>
      </c>
      <c r="B51" t="s">
        <v>33</v>
      </c>
      <c r="C51" t="s">
        <v>79</v>
      </c>
      <c r="D51" t="s">
        <v>80</v>
      </c>
      <c r="E51" t="s">
        <v>13</v>
      </c>
      <c r="F51" t="s">
        <v>14</v>
      </c>
      <c r="G51" t="s">
        <v>40</v>
      </c>
      <c r="H51">
        <v>3</v>
      </c>
      <c r="I51" s="3">
        <v>797.71</v>
      </c>
      <c r="J51" s="3">
        <f t="shared" si="0"/>
        <v>2393.13</v>
      </c>
    </row>
    <row r="52" spans="1:10" x14ac:dyDescent="0.3">
      <c r="A52" s="9">
        <v>45210</v>
      </c>
      <c r="B52" t="s">
        <v>39</v>
      </c>
      <c r="C52" t="s">
        <v>11</v>
      </c>
      <c r="D52" t="s">
        <v>12</v>
      </c>
      <c r="E52" t="s">
        <v>13</v>
      </c>
      <c r="F52" t="s">
        <v>14</v>
      </c>
      <c r="G52" t="s">
        <v>15</v>
      </c>
      <c r="H52">
        <v>21</v>
      </c>
      <c r="I52" s="3">
        <v>1177.78</v>
      </c>
      <c r="J52" s="3">
        <f t="shared" si="0"/>
        <v>24733.38</v>
      </c>
    </row>
    <row r="53" spans="1:10" x14ac:dyDescent="0.3">
      <c r="A53" s="9">
        <v>45092</v>
      </c>
      <c r="B53" t="s">
        <v>43</v>
      </c>
      <c r="C53" t="s">
        <v>29</v>
      </c>
      <c r="D53" t="s">
        <v>30</v>
      </c>
      <c r="E53" t="s">
        <v>13</v>
      </c>
      <c r="F53" t="s">
        <v>18</v>
      </c>
      <c r="G53" t="s">
        <v>75</v>
      </c>
      <c r="H53">
        <v>4</v>
      </c>
      <c r="I53" s="3">
        <v>289.2</v>
      </c>
      <c r="J53" s="3">
        <f t="shared" si="0"/>
        <v>1156.8</v>
      </c>
    </row>
    <row r="54" spans="1:10" x14ac:dyDescent="0.3">
      <c r="A54" s="9">
        <v>45634</v>
      </c>
      <c r="B54" t="s">
        <v>51</v>
      </c>
      <c r="C54" t="s">
        <v>34</v>
      </c>
      <c r="D54" t="s">
        <v>12</v>
      </c>
      <c r="E54" t="s">
        <v>13</v>
      </c>
      <c r="F54" t="s">
        <v>14</v>
      </c>
      <c r="G54" t="s">
        <v>15</v>
      </c>
      <c r="H54">
        <v>14</v>
      </c>
      <c r="I54" s="3">
        <v>240.19</v>
      </c>
      <c r="J54" s="3">
        <f t="shared" si="0"/>
        <v>3362.66</v>
      </c>
    </row>
    <row r="55" spans="1:10" x14ac:dyDescent="0.3">
      <c r="A55" s="9">
        <v>45242</v>
      </c>
      <c r="B55" t="s">
        <v>81</v>
      </c>
      <c r="C55" t="s">
        <v>34</v>
      </c>
      <c r="D55" t="s">
        <v>12</v>
      </c>
      <c r="E55" t="s">
        <v>13</v>
      </c>
      <c r="F55" t="s">
        <v>14</v>
      </c>
      <c r="G55" t="s">
        <v>15</v>
      </c>
      <c r="H55">
        <v>22</v>
      </c>
      <c r="I55" s="3">
        <v>374.48</v>
      </c>
      <c r="J55" s="3">
        <f t="shared" si="0"/>
        <v>8238.5600000000013</v>
      </c>
    </row>
    <row r="56" spans="1:10" x14ac:dyDescent="0.3">
      <c r="A56" s="9">
        <v>45032</v>
      </c>
      <c r="B56" t="s">
        <v>81</v>
      </c>
      <c r="C56" t="s">
        <v>29</v>
      </c>
      <c r="D56" t="s">
        <v>30</v>
      </c>
      <c r="E56" t="s">
        <v>13</v>
      </c>
      <c r="F56" t="s">
        <v>18</v>
      </c>
      <c r="G56" t="s">
        <v>21</v>
      </c>
      <c r="H56">
        <v>8</v>
      </c>
      <c r="I56" s="3">
        <v>1749.52</v>
      </c>
      <c r="J56" s="3">
        <f t="shared" si="0"/>
        <v>13996.16</v>
      </c>
    </row>
    <row r="57" spans="1:10" x14ac:dyDescent="0.3">
      <c r="A57" s="9">
        <v>45108</v>
      </c>
      <c r="B57" t="s">
        <v>22</v>
      </c>
      <c r="C57" t="s">
        <v>11</v>
      </c>
      <c r="D57" t="s">
        <v>12</v>
      </c>
      <c r="E57" t="s">
        <v>13</v>
      </c>
      <c r="F57" t="s">
        <v>55</v>
      </c>
      <c r="G57" t="s">
        <v>64</v>
      </c>
      <c r="H57">
        <v>14</v>
      </c>
      <c r="I57" s="3">
        <v>2847.38</v>
      </c>
      <c r="J57" s="3">
        <f t="shared" si="0"/>
        <v>39863.32</v>
      </c>
    </row>
    <row r="58" spans="1:10" x14ac:dyDescent="0.3">
      <c r="A58" s="9">
        <v>45181</v>
      </c>
      <c r="B58" t="s">
        <v>33</v>
      </c>
      <c r="C58" t="s">
        <v>78</v>
      </c>
      <c r="D58" t="s">
        <v>58</v>
      </c>
      <c r="E58" t="s">
        <v>46</v>
      </c>
      <c r="F58" t="s">
        <v>68</v>
      </c>
      <c r="G58" t="s">
        <v>76</v>
      </c>
      <c r="H58">
        <v>2</v>
      </c>
      <c r="I58" s="3">
        <v>346.27</v>
      </c>
      <c r="J58" s="3">
        <f t="shared" si="0"/>
        <v>692.54</v>
      </c>
    </row>
    <row r="59" spans="1:10" x14ac:dyDescent="0.3">
      <c r="A59" s="9">
        <v>45154</v>
      </c>
      <c r="B59" t="s">
        <v>71</v>
      </c>
      <c r="C59" t="s">
        <v>41</v>
      </c>
      <c r="D59" t="s">
        <v>42</v>
      </c>
      <c r="E59" t="s">
        <v>25</v>
      </c>
      <c r="F59" t="s">
        <v>14</v>
      </c>
      <c r="G59" t="s">
        <v>31</v>
      </c>
      <c r="H59">
        <v>8</v>
      </c>
      <c r="I59" s="3">
        <v>345.22</v>
      </c>
      <c r="J59" s="3">
        <f t="shared" si="0"/>
        <v>2761.76</v>
      </c>
    </row>
    <row r="60" spans="1:10" x14ac:dyDescent="0.3">
      <c r="A60" s="9">
        <v>45602</v>
      </c>
      <c r="B60" t="s">
        <v>71</v>
      </c>
      <c r="C60" t="s">
        <v>44</v>
      </c>
      <c r="D60" t="s">
        <v>45</v>
      </c>
      <c r="E60" t="s">
        <v>46</v>
      </c>
      <c r="F60" t="s">
        <v>14</v>
      </c>
      <c r="G60" t="s">
        <v>31</v>
      </c>
      <c r="H60">
        <v>3</v>
      </c>
      <c r="I60" s="3">
        <v>1163.58</v>
      </c>
      <c r="J60" s="3">
        <f t="shared" si="0"/>
        <v>3490.74</v>
      </c>
    </row>
    <row r="61" spans="1:10" x14ac:dyDescent="0.3">
      <c r="A61" s="9">
        <v>45212</v>
      </c>
      <c r="B61" t="s">
        <v>81</v>
      </c>
      <c r="C61" t="s">
        <v>44</v>
      </c>
      <c r="D61" t="s">
        <v>45</v>
      </c>
      <c r="E61" t="s">
        <v>46</v>
      </c>
      <c r="F61" t="s">
        <v>18</v>
      </c>
      <c r="G61" t="s">
        <v>38</v>
      </c>
      <c r="H61">
        <v>1</v>
      </c>
      <c r="I61" s="3">
        <v>363.38</v>
      </c>
      <c r="J61" s="3">
        <f t="shared" si="0"/>
        <v>363.38</v>
      </c>
    </row>
    <row r="62" spans="1:10" x14ac:dyDescent="0.3">
      <c r="A62" s="9">
        <v>45194</v>
      </c>
      <c r="B62" t="s">
        <v>28</v>
      </c>
      <c r="C62" t="s">
        <v>61</v>
      </c>
      <c r="D62" t="s">
        <v>37</v>
      </c>
      <c r="E62" t="s">
        <v>25</v>
      </c>
      <c r="F62" t="s">
        <v>68</v>
      </c>
      <c r="G62" t="s">
        <v>73</v>
      </c>
      <c r="H62">
        <v>20</v>
      </c>
      <c r="I62" s="3">
        <v>185.13</v>
      </c>
      <c r="J62" s="3">
        <f t="shared" si="0"/>
        <v>3702.6</v>
      </c>
    </row>
    <row r="63" spans="1:10" x14ac:dyDescent="0.3">
      <c r="A63" s="9">
        <v>45248</v>
      </c>
      <c r="B63" t="s">
        <v>22</v>
      </c>
      <c r="C63" t="s">
        <v>72</v>
      </c>
      <c r="D63" t="s">
        <v>58</v>
      </c>
      <c r="E63" t="s">
        <v>46</v>
      </c>
      <c r="F63" t="s">
        <v>26</v>
      </c>
      <c r="G63" t="s">
        <v>27</v>
      </c>
      <c r="H63">
        <v>7</v>
      </c>
      <c r="I63" s="3">
        <v>4174.59</v>
      </c>
      <c r="J63" s="3">
        <f t="shared" si="0"/>
        <v>29222.13</v>
      </c>
    </row>
    <row r="64" spans="1:10" x14ac:dyDescent="0.3">
      <c r="A64" s="9">
        <v>45652</v>
      </c>
      <c r="B64" t="s">
        <v>22</v>
      </c>
      <c r="C64" t="s">
        <v>11</v>
      </c>
      <c r="D64" t="s">
        <v>12</v>
      </c>
      <c r="E64" t="s">
        <v>13</v>
      </c>
      <c r="F64" t="s">
        <v>18</v>
      </c>
      <c r="G64" t="s">
        <v>21</v>
      </c>
      <c r="H64">
        <v>12</v>
      </c>
      <c r="I64" s="3">
        <v>947.9</v>
      </c>
      <c r="J64" s="3">
        <f t="shared" si="0"/>
        <v>11374.8</v>
      </c>
    </row>
    <row r="65" spans="1:10" x14ac:dyDescent="0.3">
      <c r="A65" s="9">
        <v>45607</v>
      </c>
      <c r="B65" t="s">
        <v>48</v>
      </c>
      <c r="C65" t="s">
        <v>65</v>
      </c>
      <c r="D65" t="s">
        <v>66</v>
      </c>
      <c r="E65" t="s">
        <v>54</v>
      </c>
      <c r="F65" t="s">
        <v>68</v>
      </c>
      <c r="G65" t="s">
        <v>69</v>
      </c>
      <c r="H65">
        <v>10</v>
      </c>
      <c r="I65" s="3">
        <v>212.71</v>
      </c>
      <c r="J65" s="3">
        <f t="shared" si="0"/>
        <v>2127.1</v>
      </c>
    </row>
    <row r="66" spans="1:10" x14ac:dyDescent="0.3">
      <c r="A66" s="9">
        <v>45609</v>
      </c>
      <c r="B66" t="s">
        <v>22</v>
      </c>
      <c r="C66" t="s">
        <v>65</v>
      </c>
      <c r="D66" t="s">
        <v>66</v>
      </c>
      <c r="E66" t="s">
        <v>54</v>
      </c>
      <c r="F66" t="s">
        <v>26</v>
      </c>
      <c r="G66" t="s">
        <v>27</v>
      </c>
      <c r="H66">
        <v>10</v>
      </c>
      <c r="I66" s="3">
        <v>7321.33</v>
      </c>
      <c r="J66" s="3">
        <f t="shared" si="0"/>
        <v>73213.3</v>
      </c>
    </row>
    <row r="67" spans="1:10" x14ac:dyDescent="0.3">
      <c r="A67" s="9">
        <v>45123</v>
      </c>
      <c r="B67" t="s">
        <v>22</v>
      </c>
      <c r="C67" t="s">
        <v>44</v>
      </c>
      <c r="D67" t="s">
        <v>45</v>
      </c>
      <c r="E67" t="s">
        <v>46</v>
      </c>
      <c r="F67" t="s">
        <v>55</v>
      </c>
      <c r="G67" t="s">
        <v>67</v>
      </c>
      <c r="H67">
        <v>19</v>
      </c>
      <c r="I67" s="3">
        <v>1193.1300000000001</v>
      </c>
      <c r="J67" s="3">
        <f t="shared" ref="J67:J130" si="1">H67*I67</f>
        <v>22669.47</v>
      </c>
    </row>
    <row r="68" spans="1:10" x14ac:dyDescent="0.3">
      <c r="A68" s="9">
        <v>45488</v>
      </c>
      <c r="B68" t="s">
        <v>62</v>
      </c>
      <c r="C68" t="s">
        <v>36</v>
      </c>
      <c r="D68" t="s">
        <v>37</v>
      </c>
      <c r="E68" t="s">
        <v>25</v>
      </c>
      <c r="F68" t="s">
        <v>14</v>
      </c>
      <c r="G68" t="s">
        <v>15</v>
      </c>
      <c r="H68">
        <v>14</v>
      </c>
      <c r="I68" s="3">
        <v>964.33</v>
      </c>
      <c r="J68" s="3">
        <f t="shared" si="1"/>
        <v>13500.62</v>
      </c>
    </row>
    <row r="69" spans="1:10" x14ac:dyDescent="0.3">
      <c r="A69" s="9">
        <v>45548</v>
      </c>
      <c r="B69" t="s">
        <v>48</v>
      </c>
      <c r="C69" t="s">
        <v>41</v>
      </c>
      <c r="D69" t="s">
        <v>42</v>
      </c>
      <c r="E69" t="s">
        <v>25</v>
      </c>
      <c r="F69" t="s">
        <v>26</v>
      </c>
      <c r="G69" t="s">
        <v>50</v>
      </c>
      <c r="H69">
        <v>22</v>
      </c>
      <c r="I69" s="3">
        <v>3743.86</v>
      </c>
      <c r="J69" s="3">
        <f t="shared" si="1"/>
        <v>82364.92</v>
      </c>
    </row>
    <row r="70" spans="1:10" x14ac:dyDescent="0.3">
      <c r="A70" s="9">
        <v>45411</v>
      </c>
      <c r="B70" t="s">
        <v>28</v>
      </c>
      <c r="C70" t="s">
        <v>17</v>
      </c>
      <c r="D70" t="s">
        <v>12</v>
      </c>
      <c r="E70" t="s">
        <v>13</v>
      </c>
      <c r="F70" t="s">
        <v>14</v>
      </c>
      <c r="G70" t="s">
        <v>31</v>
      </c>
      <c r="H70">
        <v>3</v>
      </c>
      <c r="I70" s="3">
        <v>1000.27</v>
      </c>
      <c r="J70" s="3">
        <f t="shared" si="1"/>
        <v>3000.81</v>
      </c>
    </row>
    <row r="71" spans="1:10" x14ac:dyDescent="0.3">
      <c r="A71" s="9">
        <v>45167</v>
      </c>
      <c r="B71" t="s">
        <v>63</v>
      </c>
      <c r="C71" t="s">
        <v>23</v>
      </c>
      <c r="D71" t="s">
        <v>24</v>
      </c>
      <c r="E71" t="s">
        <v>25</v>
      </c>
      <c r="F71" t="s">
        <v>55</v>
      </c>
      <c r="G71" t="s">
        <v>56</v>
      </c>
      <c r="H71">
        <v>1</v>
      </c>
      <c r="I71" s="3">
        <v>352.51</v>
      </c>
      <c r="J71" s="3">
        <f t="shared" si="1"/>
        <v>352.51</v>
      </c>
    </row>
    <row r="72" spans="1:10" x14ac:dyDescent="0.3">
      <c r="A72" s="9">
        <v>45413</v>
      </c>
      <c r="B72" t="s">
        <v>60</v>
      </c>
      <c r="C72" t="s">
        <v>17</v>
      </c>
      <c r="D72" t="s">
        <v>12</v>
      </c>
      <c r="E72" t="s">
        <v>13</v>
      </c>
      <c r="F72" t="s">
        <v>26</v>
      </c>
      <c r="G72" t="s">
        <v>50</v>
      </c>
      <c r="H72">
        <v>21</v>
      </c>
      <c r="I72" s="3">
        <v>7544.54</v>
      </c>
      <c r="J72" s="3">
        <f t="shared" si="1"/>
        <v>158435.34</v>
      </c>
    </row>
    <row r="73" spans="1:10" x14ac:dyDescent="0.3">
      <c r="A73" s="9">
        <v>45640</v>
      </c>
      <c r="B73" t="s">
        <v>51</v>
      </c>
      <c r="C73" t="s">
        <v>79</v>
      </c>
      <c r="D73" t="s">
        <v>80</v>
      </c>
      <c r="E73" t="s">
        <v>13</v>
      </c>
      <c r="F73" t="s">
        <v>26</v>
      </c>
      <c r="G73" t="s">
        <v>32</v>
      </c>
      <c r="H73">
        <v>5</v>
      </c>
      <c r="I73" s="3">
        <v>8388.61</v>
      </c>
      <c r="J73" s="3">
        <f t="shared" si="1"/>
        <v>41943.05</v>
      </c>
    </row>
    <row r="74" spans="1:10" x14ac:dyDescent="0.3">
      <c r="A74" s="9">
        <v>44932</v>
      </c>
      <c r="B74" t="s">
        <v>10</v>
      </c>
      <c r="C74" t="s">
        <v>29</v>
      </c>
      <c r="D74" t="s">
        <v>30</v>
      </c>
      <c r="E74" t="s">
        <v>13</v>
      </c>
      <c r="F74" t="s">
        <v>55</v>
      </c>
      <c r="G74" t="s">
        <v>56</v>
      </c>
      <c r="H74">
        <v>23</v>
      </c>
      <c r="I74" s="3">
        <v>1909.26</v>
      </c>
      <c r="J74" s="3">
        <f t="shared" si="1"/>
        <v>43912.98</v>
      </c>
    </row>
    <row r="75" spans="1:10" x14ac:dyDescent="0.3">
      <c r="A75" s="9">
        <v>44978</v>
      </c>
      <c r="B75" t="s">
        <v>16</v>
      </c>
      <c r="C75" t="s">
        <v>23</v>
      </c>
      <c r="D75" t="s">
        <v>24</v>
      </c>
      <c r="E75" t="s">
        <v>25</v>
      </c>
      <c r="F75" t="s">
        <v>68</v>
      </c>
      <c r="G75" t="s">
        <v>76</v>
      </c>
      <c r="H75">
        <v>5</v>
      </c>
      <c r="I75" s="3">
        <v>324.54000000000002</v>
      </c>
      <c r="J75" s="3">
        <f t="shared" si="1"/>
        <v>1622.7</v>
      </c>
    </row>
    <row r="76" spans="1:10" x14ac:dyDescent="0.3">
      <c r="A76" s="9">
        <v>45610</v>
      </c>
      <c r="B76" t="s">
        <v>77</v>
      </c>
      <c r="C76" t="s">
        <v>65</v>
      </c>
      <c r="D76" t="s">
        <v>66</v>
      </c>
      <c r="E76" t="s">
        <v>54</v>
      </c>
      <c r="F76" t="s">
        <v>26</v>
      </c>
      <c r="G76" t="s">
        <v>27</v>
      </c>
      <c r="H76">
        <v>24</v>
      </c>
      <c r="I76" s="3">
        <v>10866.21</v>
      </c>
      <c r="J76" s="3">
        <f t="shared" si="1"/>
        <v>260789.03999999998</v>
      </c>
    </row>
    <row r="77" spans="1:10" x14ac:dyDescent="0.3">
      <c r="A77" s="9">
        <v>45363</v>
      </c>
      <c r="B77" t="s">
        <v>16</v>
      </c>
      <c r="C77" t="s">
        <v>41</v>
      </c>
      <c r="D77" t="s">
        <v>42</v>
      </c>
      <c r="E77" t="s">
        <v>25</v>
      </c>
      <c r="F77" t="s">
        <v>55</v>
      </c>
      <c r="G77" t="s">
        <v>59</v>
      </c>
      <c r="H77">
        <v>15</v>
      </c>
      <c r="I77" s="3">
        <v>1055.33</v>
      </c>
      <c r="J77" s="3">
        <f t="shared" si="1"/>
        <v>15829.949999999999</v>
      </c>
    </row>
    <row r="78" spans="1:10" x14ac:dyDescent="0.3">
      <c r="A78" s="9">
        <v>45180</v>
      </c>
      <c r="B78" t="s">
        <v>33</v>
      </c>
      <c r="C78" t="s">
        <v>79</v>
      </c>
      <c r="D78" t="s">
        <v>80</v>
      </c>
      <c r="E78" t="s">
        <v>13</v>
      </c>
      <c r="F78" t="s">
        <v>55</v>
      </c>
      <c r="G78" t="s">
        <v>64</v>
      </c>
      <c r="H78">
        <v>15</v>
      </c>
      <c r="I78" s="3">
        <v>455.7</v>
      </c>
      <c r="J78" s="3">
        <f t="shared" si="1"/>
        <v>6835.5</v>
      </c>
    </row>
    <row r="79" spans="1:10" x14ac:dyDescent="0.3">
      <c r="A79" s="9">
        <v>45219</v>
      </c>
      <c r="B79" t="s">
        <v>20</v>
      </c>
      <c r="C79" t="s">
        <v>61</v>
      </c>
      <c r="D79" t="s">
        <v>37</v>
      </c>
      <c r="E79" t="s">
        <v>25</v>
      </c>
      <c r="F79" t="s">
        <v>14</v>
      </c>
      <c r="G79" t="s">
        <v>31</v>
      </c>
      <c r="H79">
        <v>18</v>
      </c>
      <c r="I79" s="3">
        <v>188.64</v>
      </c>
      <c r="J79" s="3">
        <f t="shared" si="1"/>
        <v>3395.5199999999995</v>
      </c>
    </row>
    <row r="80" spans="1:10" x14ac:dyDescent="0.3">
      <c r="A80" s="9">
        <v>45081</v>
      </c>
      <c r="B80" t="s">
        <v>20</v>
      </c>
      <c r="C80" t="s">
        <v>44</v>
      </c>
      <c r="D80" t="s">
        <v>45</v>
      </c>
      <c r="E80" t="s">
        <v>46</v>
      </c>
      <c r="F80" t="s">
        <v>55</v>
      </c>
      <c r="G80" t="s">
        <v>56</v>
      </c>
      <c r="H80">
        <v>3</v>
      </c>
      <c r="I80" s="3">
        <v>1569.06</v>
      </c>
      <c r="J80" s="3">
        <f t="shared" si="1"/>
        <v>4707.18</v>
      </c>
    </row>
    <row r="81" spans="1:10" x14ac:dyDescent="0.3">
      <c r="A81" s="9">
        <v>45265</v>
      </c>
      <c r="B81" t="s">
        <v>16</v>
      </c>
      <c r="C81" t="s">
        <v>41</v>
      </c>
      <c r="D81" t="s">
        <v>42</v>
      </c>
      <c r="E81" t="s">
        <v>25</v>
      </c>
      <c r="F81" t="s">
        <v>26</v>
      </c>
      <c r="G81" t="s">
        <v>32</v>
      </c>
      <c r="H81">
        <v>7</v>
      </c>
      <c r="I81" s="3">
        <v>10245.36</v>
      </c>
      <c r="J81" s="3">
        <f t="shared" si="1"/>
        <v>71717.52</v>
      </c>
    </row>
    <row r="82" spans="1:10" x14ac:dyDescent="0.3">
      <c r="A82" s="9">
        <v>45325</v>
      </c>
      <c r="B82" t="s">
        <v>82</v>
      </c>
      <c r="C82" t="s">
        <v>11</v>
      </c>
      <c r="D82" t="s">
        <v>12</v>
      </c>
      <c r="E82" t="s">
        <v>13</v>
      </c>
      <c r="F82" t="s">
        <v>18</v>
      </c>
      <c r="G82" t="s">
        <v>19</v>
      </c>
      <c r="H82">
        <v>16</v>
      </c>
      <c r="I82" s="3">
        <v>160.91</v>
      </c>
      <c r="J82" s="3">
        <f t="shared" si="1"/>
        <v>2574.56</v>
      </c>
    </row>
    <row r="83" spans="1:10" x14ac:dyDescent="0.3">
      <c r="A83" s="9">
        <v>45287</v>
      </c>
      <c r="B83" t="s">
        <v>63</v>
      </c>
      <c r="C83" t="s">
        <v>44</v>
      </c>
      <c r="D83" t="s">
        <v>45</v>
      </c>
      <c r="E83" t="s">
        <v>46</v>
      </c>
      <c r="F83" t="s">
        <v>26</v>
      </c>
      <c r="G83" t="s">
        <v>27</v>
      </c>
      <c r="H83">
        <v>24</v>
      </c>
      <c r="I83" s="3">
        <v>9213.66</v>
      </c>
      <c r="J83" s="3">
        <f t="shared" si="1"/>
        <v>221127.84</v>
      </c>
    </row>
    <row r="84" spans="1:10" x14ac:dyDescent="0.3">
      <c r="A84" s="9">
        <v>45544</v>
      </c>
      <c r="B84" t="s">
        <v>20</v>
      </c>
      <c r="C84" t="s">
        <v>79</v>
      </c>
      <c r="D84" t="s">
        <v>80</v>
      </c>
      <c r="E84" t="s">
        <v>13</v>
      </c>
      <c r="F84" t="s">
        <v>55</v>
      </c>
      <c r="G84" t="s">
        <v>64</v>
      </c>
      <c r="H84">
        <v>14</v>
      </c>
      <c r="I84" s="3">
        <v>1802.62</v>
      </c>
      <c r="J84" s="3">
        <f t="shared" si="1"/>
        <v>25236.68</v>
      </c>
    </row>
    <row r="85" spans="1:10" x14ac:dyDescent="0.3">
      <c r="A85" s="9">
        <v>45325</v>
      </c>
      <c r="B85" t="s">
        <v>48</v>
      </c>
      <c r="C85" t="s">
        <v>44</v>
      </c>
      <c r="D85" t="s">
        <v>45</v>
      </c>
      <c r="E85" t="s">
        <v>46</v>
      </c>
      <c r="F85" t="s">
        <v>55</v>
      </c>
      <c r="G85" t="s">
        <v>59</v>
      </c>
      <c r="H85">
        <v>5</v>
      </c>
      <c r="I85" s="3">
        <v>3436.38</v>
      </c>
      <c r="J85" s="3">
        <f t="shared" si="1"/>
        <v>17181.900000000001</v>
      </c>
    </row>
    <row r="86" spans="1:10" x14ac:dyDescent="0.3">
      <c r="A86" s="9">
        <v>45473</v>
      </c>
      <c r="B86" t="s">
        <v>62</v>
      </c>
      <c r="C86" t="s">
        <v>44</v>
      </c>
      <c r="D86" t="s">
        <v>45</v>
      </c>
      <c r="E86" t="s">
        <v>46</v>
      </c>
      <c r="F86" t="s">
        <v>18</v>
      </c>
      <c r="G86" t="s">
        <v>75</v>
      </c>
      <c r="H86">
        <v>3</v>
      </c>
      <c r="I86" s="3">
        <v>1339.09</v>
      </c>
      <c r="J86" s="3">
        <f t="shared" si="1"/>
        <v>4017.2699999999995</v>
      </c>
    </row>
    <row r="87" spans="1:10" x14ac:dyDescent="0.3">
      <c r="A87" s="9">
        <v>45065</v>
      </c>
      <c r="B87" t="s">
        <v>43</v>
      </c>
      <c r="C87" t="s">
        <v>78</v>
      </c>
      <c r="D87" t="s">
        <v>58</v>
      </c>
      <c r="E87" t="s">
        <v>46</v>
      </c>
      <c r="F87" t="s">
        <v>68</v>
      </c>
      <c r="G87" t="s">
        <v>83</v>
      </c>
      <c r="H87">
        <v>13</v>
      </c>
      <c r="I87" s="3">
        <v>144.38999999999999</v>
      </c>
      <c r="J87" s="3">
        <f t="shared" si="1"/>
        <v>1877.0699999999997</v>
      </c>
    </row>
    <row r="88" spans="1:10" x14ac:dyDescent="0.3">
      <c r="A88" s="9">
        <v>45392</v>
      </c>
      <c r="B88" t="s">
        <v>48</v>
      </c>
      <c r="C88" t="s">
        <v>65</v>
      </c>
      <c r="D88" t="s">
        <v>66</v>
      </c>
      <c r="E88" t="s">
        <v>54</v>
      </c>
      <c r="F88" t="s">
        <v>26</v>
      </c>
      <c r="G88" t="s">
        <v>50</v>
      </c>
      <c r="H88">
        <v>25</v>
      </c>
      <c r="I88" s="3">
        <v>11487.64</v>
      </c>
      <c r="J88" s="3">
        <f t="shared" si="1"/>
        <v>287191</v>
      </c>
    </row>
    <row r="89" spans="1:10" x14ac:dyDescent="0.3">
      <c r="A89" s="9">
        <v>45358</v>
      </c>
      <c r="B89" t="s">
        <v>33</v>
      </c>
      <c r="C89" t="s">
        <v>17</v>
      </c>
      <c r="D89" t="s">
        <v>12</v>
      </c>
      <c r="E89" t="s">
        <v>13</v>
      </c>
      <c r="F89" t="s">
        <v>26</v>
      </c>
      <c r="G89" t="s">
        <v>32</v>
      </c>
      <c r="H89">
        <v>24</v>
      </c>
      <c r="I89" s="3">
        <v>7163.9</v>
      </c>
      <c r="J89" s="3">
        <f t="shared" si="1"/>
        <v>171933.59999999998</v>
      </c>
    </row>
    <row r="90" spans="1:10" x14ac:dyDescent="0.3">
      <c r="A90" s="9">
        <v>45285</v>
      </c>
      <c r="B90" t="s">
        <v>20</v>
      </c>
      <c r="C90" t="s">
        <v>17</v>
      </c>
      <c r="D90" t="s">
        <v>12</v>
      </c>
      <c r="E90" t="s">
        <v>13</v>
      </c>
      <c r="F90" t="s">
        <v>68</v>
      </c>
      <c r="G90" t="s">
        <v>84</v>
      </c>
      <c r="H90">
        <v>1</v>
      </c>
      <c r="I90" s="3">
        <v>380.85</v>
      </c>
      <c r="J90" s="3">
        <f t="shared" si="1"/>
        <v>380.85</v>
      </c>
    </row>
    <row r="91" spans="1:10" x14ac:dyDescent="0.3">
      <c r="A91" s="9">
        <v>45131</v>
      </c>
      <c r="B91" t="s">
        <v>62</v>
      </c>
      <c r="C91" t="s">
        <v>57</v>
      </c>
      <c r="D91" t="s">
        <v>58</v>
      </c>
      <c r="E91" t="s">
        <v>46</v>
      </c>
      <c r="F91" t="s">
        <v>55</v>
      </c>
      <c r="G91" t="s">
        <v>56</v>
      </c>
      <c r="H91">
        <v>16</v>
      </c>
      <c r="I91" s="3">
        <v>2409.21</v>
      </c>
      <c r="J91" s="3">
        <f t="shared" si="1"/>
        <v>38547.360000000001</v>
      </c>
    </row>
    <row r="92" spans="1:10" x14ac:dyDescent="0.3">
      <c r="A92" s="9">
        <v>45504</v>
      </c>
      <c r="B92" t="s">
        <v>71</v>
      </c>
      <c r="C92" t="s">
        <v>41</v>
      </c>
      <c r="D92" t="s">
        <v>42</v>
      </c>
      <c r="E92" t="s">
        <v>25</v>
      </c>
      <c r="F92" t="s">
        <v>14</v>
      </c>
      <c r="G92" t="s">
        <v>31</v>
      </c>
      <c r="H92">
        <v>6</v>
      </c>
      <c r="I92" s="3">
        <v>766.48</v>
      </c>
      <c r="J92" s="3">
        <f t="shared" si="1"/>
        <v>4598.88</v>
      </c>
    </row>
    <row r="93" spans="1:10" x14ac:dyDescent="0.3">
      <c r="A93" s="9">
        <v>45044</v>
      </c>
      <c r="B93" t="s">
        <v>28</v>
      </c>
      <c r="C93" t="s">
        <v>36</v>
      </c>
      <c r="D93" t="s">
        <v>37</v>
      </c>
      <c r="E93" t="s">
        <v>25</v>
      </c>
      <c r="F93" t="s">
        <v>68</v>
      </c>
      <c r="G93" t="s">
        <v>70</v>
      </c>
      <c r="H93">
        <v>1</v>
      </c>
      <c r="I93" s="3">
        <v>372.98</v>
      </c>
      <c r="J93" s="3">
        <f t="shared" si="1"/>
        <v>372.98</v>
      </c>
    </row>
    <row r="94" spans="1:10" x14ac:dyDescent="0.3">
      <c r="A94" s="9">
        <v>45516</v>
      </c>
      <c r="B94" t="s">
        <v>51</v>
      </c>
      <c r="C94" t="s">
        <v>44</v>
      </c>
      <c r="D94" t="s">
        <v>45</v>
      </c>
      <c r="E94" t="s">
        <v>46</v>
      </c>
      <c r="F94" t="s">
        <v>55</v>
      </c>
      <c r="G94" t="s">
        <v>74</v>
      </c>
      <c r="H94">
        <v>19</v>
      </c>
      <c r="I94" s="3">
        <v>2479.0300000000002</v>
      </c>
      <c r="J94" s="3">
        <f t="shared" si="1"/>
        <v>47101.570000000007</v>
      </c>
    </row>
    <row r="95" spans="1:10" x14ac:dyDescent="0.3">
      <c r="A95" s="9">
        <v>45569</v>
      </c>
      <c r="B95" t="s">
        <v>20</v>
      </c>
      <c r="C95" t="s">
        <v>72</v>
      </c>
      <c r="D95" t="s">
        <v>58</v>
      </c>
      <c r="E95" t="s">
        <v>46</v>
      </c>
      <c r="F95" t="s">
        <v>14</v>
      </c>
      <c r="G95" t="s">
        <v>40</v>
      </c>
      <c r="H95">
        <v>19</v>
      </c>
      <c r="I95" s="3">
        <v>960.9</v>
      </c>
      <c r="J95" s="3">
        <f t="shared" si="1"/>
        <v>18257.099999999999</v>
      </c>
    </row>
    <row r="96" spans="1:10" x14ac:dyDescent="0.3">
      <c r="A96" s="9">
        <v>45282</v>
      </c>
      <c r="B96" t="s">
        <v>16</v>
      </c>
      <c r="C96" t="s">
        <v>29</v>
      </c>
      <c r="D96" t="s">
        <v>30</v>
      </c>
      <c r="E96" t="s">
        <v>13</v>
      </c>
      <c r="F96" t="s">
        <v>14</v>
      </c>
      <c r="G96" t="s">
        <v>40</v>
      </c>
      <c r="H96">
        <v>17</v>
      </c>
      <c r="I96" s="3">
        <v>812.3</v>
      </c>
      <c r="J96" s="3">
        <f t="shared" si="1"/>
        <v>13809.099999999999</v>
      </c>
    </row>
    <row r="97" spans="1:10" x14ac:dyDescent="0.3">
      <c r="A97" s="9">
        <v>44939</v>
      </c>
      <c r="B97" t="s">
        <v>22</v>
      </c>
      <c r="C97" t="s">
        <v>79</v>
      </c>
      <c r="D97" t="s">
        <v>80</v>
      </c>
      <c r="E97" t="s">
        <v>13</v>
      </c>
      <c r="F97" t="s">
        <v>68</v>
      </c>
      <c r="G97" t="s">
        <v>76</v>
      </c>
      <c r="H97">
        <v>12</v>
      </c>
      <c r="I97" s="3">
        <v>261.52</v>
      </c>
      <c r="J97" s="3">
        <f t="shared" si="1"/>
        <v>3138.24</v>
      </c>
    </row>
    <row r="98" spans="1:10" x14ac:dyDescent="0.3">
      <c r="A98" s="9">
        <v>45397</v>
      </c>
      <c r="B98" t="s">
        <v>51</v>
      </c>
      <c r="C98" t="s">
        <v>29</v>
      </c>
      <c r="D98" t="s">
        <v>30</v>
      </c>
      <c r="E98" t="s">
        <v>13</v>
      </c>
      <c r="F98" t="s">
        <v>55</v>
      </c>
      <c r="G98" t="s">
        <v>67</v>
      </c>
      <c r="H98">
        <v>21</v>
      </c>
      <c r="I98" s="3">
        <v>1091.27</v>
      </c>
      <c r="J98" s="3">
        <f t="shared" si="1"/>
        <v>22916.67</v>
      </c>
    </row>
    <row r="99" spans="1:10" x14ac:dyDescent="0.3">
      <c r="A99" s="9">
        <v>45478</v>
      </c>
      <c r="B99" t="s">
        <v>85</v>
      </c>
      <c r="C99" t="s">
        <v>41</v>
      </c>
      <c r="D99" t="s">
        <v>42</v>
      </c>
      <c r="E99" t="s">
        <v>25</v>
      </c>
      <c r="F99" t="s">
        <v>26</v>
      </c>
      <c r="G99" t="s">
        <v>27</v>
      </c>
      <c r="H99">
        <v>19</v>
      </c>
      <c r="I99" s="3">
        <v>4318.1499999999996</v>
      </c>
      <c r="J99" s="3">
        <f t="shared" si="1"/>
        <v>82044.849999999991</v>
      </c>
    </row>
    <row r="100" spans="1:10" x14ac:dyDescent="0.3">
      <c r="A100" s="9">
        <v>45178</v>
      </c>
      <c r="B100" t="s">
        <v>35</v>
      </c>
      <c r="C100" t="s">
        <v>61</v>
      </c>
      <c r="D100" t="s">
        <v>37</v>
      </c>
      <c r="E100" t="s">
        <v>25</v>
      </c>
      <c r="F100" t="s">
        <v>26</v>
      </c>
      <c r="G100" t="s">
        <v>32</v>
      </c>
      <c r="H100">
        <v>25</v>
      </c>
      <c r="I100" s="3">
        <v>6379.44</v>
      </c>
      <c r="J100" s="3">
        <f t="shared" si="1"/>
        <v>159486</v>
      </c>
    </row>
    <row r="101" spans="1:10" x14ac:dyDescent="0.3">
      <c r="A101" s="9">
        <v>45551</v>
      </c>
      <c r="B101" t="s">
        <v>51</v>
      </c>
      <c r="C101" t="s">
        <v>65</v>
      </c>
      <c r="D101" t="s">
        <v>66</v>
      </c>
      <c r="E101" t="s">
        <v>54</v>
      </c>
      <c r="F101" t="s">
        <v>68</v>
      </c>
      <c r="G101" t="s">
        <v>76</v>
      </c>
      <c r="H101">
        <v>11</v>
      </c>
      <c r="I101" s="3">
        <v>89.1</v>
      </c>
      <c r="J101" s="3">
        <f t="shared" si="1"/>
        <v>980.09999999999991</v>
      </c>
    </row>
    <row r="102" spans="1:10" x14ac:dyDescent="0.3">
      <c r="A102" s="9">
        <v>45144</v>
      </c>
      <c r="B102" t="s">
        <v>81</v>
      </c>
      <c r="C102" t="s">
        <v>61</v>
      </c>
      <c r="D102" t="s">
        <v>37</v>
      </c>
      <c r="E102" t="s">
        <v>25</v>
      </c>
      <c r="F102" t="s">
        <v>14</v>
      </c>
      <c r="G102" t="s">
        <v>31</v>
      </c>
      <c r="H102">
        <v>20</v>
      </c>
      <c r="I102" s="3">
        <v>871.3</v>
      </c>
      <c r="J102" s="3">
        <f t="shared" si="1"/>
        <v>17426</v>
      </c>
    </row>
    <row r="103" spans="1:10" x14ac:dyDescent="0.3">
      <c r="A103" s="9">
        <v>45209</v>
      </c>
      <c r="B103" t="s">
        <v>16</v>
      </c>
      <c r="C103" t="s">
        <v>11</v>
      </c>
      <c r="D103" t="s">
        <v>12</v>
      </c>
      <c r="E103" t="s">
        <v>13</v>
      </c>
      <c r="F103" t="s">
        <v>18</v>
      </c>
      <c r="G103" t="s">
        <v>21</v>
      </c>
      <c r="H103">
        <v>3</v>
      </c>
      <c r="I103" s="3">
        <v>596.51</v>
      </c>
      <c r="J103" s="3">
        <f t="shared" si="1"/>
        <v>1789.53</v>
      </c>
    </row>
    <row r="104" spans="1:10" x14ac:dyDescent="0.3">
      <c r="A104" s="9">
        <v>45343</v>
      </c>
      <c r="B104" t="s">
        <v>85</v>
      </c>
      <c r="C104" t="s">
        <v>23</v>
      </c>
      <c r="D104" t="s">
        <v>24</v>
      </c>
      <c r="E104" t="s">
        <v>25</v>
      </c>
      <c r="F104" t="s">
        <v>26</v>
      </c>
      <c r="G104" t="s">
        <v>27</v>
      </c>
      <c r="H104">
        <v>23</v>
      </c>
      <c r="I104" s="3">
        <v>6653.62</v>
      </c>
      <c r="J104" s="3">
        <f t="shared" si="1"/>
        <v>153033.26</v>
      </c>
    </row>
    <row r="105" spans="1:10" x14ac:dyDescent="0.3">
      <c r="A105" s="9">
        <v>44944</v>
      </c>
      <c r="B105" t="s">
        <v>35</v>
      </c>
      <c r="C105" t="s">
        <v>36</v>
      </c>
      <c r="D105" t="s">
        <v>37</v>
      </c>
      <c r="E105" t="s">
        <v>25</v>
      </c>
      <c r="F105" t="s">
        <v>55</v>
      </c>
      <c r="G105" t="s">
        <v>59</v>
      </c>
      <c r="H105">
        <v>23</v>
      </c>
      <c r="I105" s="3">
        <v>1002.91</v>
      </c>
      <c r="J105" s="3">
        <f t="shared" si="1"/>
        <v>23066.93</v>
      </c>
    </row>
    <row r="106" spans="1:10" x14ac:dyDescent="0.3">
      <c r="A106" s="9">
        <v>45606</v>
      </c>
      <c r="B106" t="s">
        <v>82</v>
      </c>
      <c r="C106" t="s">
        <v>52</v>
      </c>
      <c r="D106" t="s">
        <v>53</v>
      </c>
      <c r="E106" t="s">
        <v>54</v>
      </c>
      <c r="F106" t="s">
        <v>26</v>
      </c>
      <c r="G106" t="s">
        <v>27</v>
      </c>
      <c r="H106">
        <v>17</v>
      </c>
      <c r="I106" s="3">
        <v>5109.45</v>
      </c>
      <c r="J106" s="3">
        <f t="shared" si="1"/>
        <v>86860.65</v>
      </c>
    </row>
    <row r="107" spans="1:10" x14ac:dyDescent="0.3">
      <c r="A107" s="9">
        <v>45490</v>
      </c>
      <c r="B107" t="s">
        <v>48</v>
      </c>
      <c r="C107" t="s">
        <v>52</v>
      </c>
      <c r="D107" t="s">
        <v>53</v>
      </c>
      <c r="E107" t="s">
        <v>54</v>
      </c>
      <c r="F107" t="s">
        <v>26</v>
      </c>
      <c r="G107" t="s">
        <v>50</v>
      </c>
      <c r="H107">
        <v>10</v>
      </c>
      <c r="I107" s="3">
        <v>4139.74</v>
      </c>
      <c r="J107" s="3">
        <f t="shared" si="1"/>
        <v>41397.399999999994</v>
      </c>
    </row>
    <row r="108" spans="1:10" x14ac:dyDescent="0.3">
      <c r="A108" s="9">
        <v>45050</v>
      </c>
      <c r="B108" t="s">
        <v>71</v>
      </c>
      <c r="C108" t="s">
        <v>65</v>
      </c>
      <c r="D108" t="s">
        <v>66</v>
      </c>
      <c r="E108" t="s">
        <v>54</v>
      </c>
      <c r="F108" t="s">
        <v>68</v>
      </c>
      <c r="G108" t="s">
        <v>69</v>
      </c>
      <c r="H108">
        <v>18</v>
      </c>
      <c r="I108" s="3">
        <v>381.33</v>
      </c>
      <c r="J108" s="3">
        <f t="shared" si="1"/>
        <v>6863.94</v>
      </c>
    </row>
    <row r="109" spans="1:10" x14ac:dyDescent="0.3">
      <c r="A109" s="9">
        <v>45633</v>
      </c>
      <c r="B109" t="s">
        <v>28</v>
      </c>
      <c r="C109" t="s">
        <v>49</v>
      </c>
      <c r="D109" t="s">
        <v>24</v>
      </c>
      <c r="E109" t="s">
        <v>25</v>
      </c>
      <c r="F109" t="s">
        <v>55</v>
      </c>
      <c r="G109" t="s">
        <v>59</v>
      </c>
      <c r="H109">
        <v>9</v>
      </c>
      <c r="I109" s="3">
        <v>2591.13</v>
      </c>
      <c r="J109" s="3">
        <f t="shared" si="1"/>
        <v>23320.170000000002</v>
      </c>
    </row>
    <row r="110" spans="1:10" x14ac:dyDescent="0.3">
      <c r="A110" s="9">
        <v>45464</v>
      </c>
      <c r="B110" t="s">
        <v>60</v>
      </c>
      <c r="C110" t="s">
        <v>36</v>
      </c>
      <c r="D110" t="s">
        <v>37</v>
      </c>
      <c r="E110" t="s">
        <v>25</v>
      </c>
      <c r="F110" t="s">
        <v>68</v>
      </c>
      <c r="G110" t="s">
        <v>84</v>
      </c>
      <c r="H110">
        <v>7</v>
      </c>
      <c r="I110" s="3">
        <v>132.57</v>
      </c>
      <c r="J110" s="3">
        <f t="shared" si="1"/>
        <v>927.99</v>
      </c>
    </row>
    <row r="111" spans="1:10" x14ac:dyDescent="0.3">
      <c r="A111" s="9">
        <v>45296</v>
      </c>
      <c r="B111" t="s">
        <v>28</v>
      </c>
      <c r="C111" t="s">
        <v>36</v>
      </c>
      <c r="D111" t="s">
        <v>37</v>
      </c>
      <c r="E111" t="s">
        <v>25</v>
      </c>
      <c r="F111" t="s">
        <v>68</v>
      </c>
      <c r="G111" t="s">
        <v>69</v>
      </c>
      <c r="H111">
        <v>18</v>
      </c>
      <c r="I111" s="3">
        <v>68.099999999999994</v>
      </c>
      <c r="J111" s="3">
        <f t="shared" si="1"/>
        <v>1225.8</v>
      </c>
    </row>
    <row r="112" spans="1:10" x14ac:dyDescent="0.3">
      <c r="A112" s="9">
        <v>44973</v>
      </c>
      <c r="B112" t="s">
        <v>39</v>
      </c>
      <c r="C112" t="s">
        <v>36</v>
      </c>
      <c r="D112" t="s">
        <v>37</v>
      </c>
      <c r="E112" t="s">
        <v>25</v>
      </c>
      <c r="F112" t="s">
        <v>55</v>
      </c>
      <c r="G112" t="s">
        <v>59</v>
      </c>
      <c r="H112">
        <v>4</v>
      </c>
      <c r="I112" s="3">
        <v>3079.98</v>
      </c>
      <c r="J112" s="3">
        <f t="shared" si="1"/>
        <v>12319.92</v>
      </c>
    </row>
    <row r="113" spans="1:10" x14ac:dyDescent="0.3">
      <c r="A113" s="9">
        <v>45514</v>
      </c>
      <c r="B113" t="s">
        <v>63</v>
      </c>
      <c r="C113" t="s">
        <v>79</v>
      </c>
      <c r="D113" t="s">
        <v>80</v>
      </c>
      <c r="E113" t="s">
        <v>13</v>
      </c>
      <c r="F113" t="s">
        <v>26</v>
      </c>
      <c r="G113" t="s">
        <v>50</v>
      </c>
      <c r="H113">
        <v>11</v>
      </c>
      <c r="I113" s="3">
        <v>3435.82</v>
      </c>
      <c r="J113" s="3">
        <f t="shared" si="1"/>
        <v>37794.020000000004</v>
      </c>
    </row>
    <row r="114" spans="1:10" x14ac:dyDescent="0.3">
      <c r="A114" s="9">
        <v>44979</v>
      </c>
      <c r="B114" t="s">
        <v>33</v>
      </c>
      <c r="C114" t="s">
        <v>79</v>
      </c>
      <c r="D114" t="s">
        <v>80</v>
      </c>
      <c r="E114" t="s">
        <v>13</v>
      </c>
      <c r="F114" t="s">
        <v>68</v>
      </c>
      <c r="G114" t="s">
        <v>84</v>
      </c>
      <c r="H114">
        <v>3</v>
      </c>
      <c r="I114" s="3">
        <v>172.27</v>
      </c>
      <c r="J114" s="3">
        <f t="shared" si="1"/>
        <v>516.81000000000006</v>
      </c>
    </row>
    <row r="115" spans="1:10" x14ac:dyDescent="0.3">
      <c r="A115" s="9">
        <v>45002</v>
      </c>
      <c r="B115" t="s">
        <v>82</v>
      </c>
      <c r="C115" t="s">
        <v>34</v>
      </c>
      <c r="D115" t="s">
        <v>12</v>
      </c>
      <c r="E115" t="s">
        <v>13</v>
      </c>
      <c r="F115" t="s">
        <v>55</v>
      </c>
      <c r="G115" t="s">
        <v>56</v>
      </c>
      <c r="H115">
        <v>19</v>
      </c>
      <c r="I115" s="3">
        <v>3332.11</v>
      </c>
      <c r="J115" s="3">
        <f t="shared" si="1"/>
        <v>63310.090000000004</v>
      </c>
    </row>
    <row r="116" spans="1:10" x14ac:dyDescent="0.3">
      <c r="A116" s="9">
        <v>45014</v>
      </c>
      <c r="B116" t="s">
        <v>20</v>
      </c>
      <c r="C116" t="s">
        <v>72</v>
      </c>
      <c r="D116" t="s">
        <v>58</v>
      </c>
      <c r="E116" t="s">
        <v>46</v>
      </c>
      <c r="F116" t="s">
        <v>18</v>
      </c>
      <c r="G116" t="s">
        <v>19</v>
      </c>
      <c r="H116">
        <v>20</v>
      </c>
      <c r="I116" s="3">
        <v>1252.83</v>
      </c>
      <c r="J116" s="3">
        <f t="shared" si="1"/>
        <v>25056.6</v>
      </c>
    </row>
    <row r="117" spans="1:10" x14ac:dyDescent="0.3">
      <c r="A117" s="9">
        <v>45560</v>
      </c>
      <c r="B117" t="s">
        <v>20</v>
      </c>
      <c r="C117" t="s">
        <v>44</v>
      </c>
      <c r="D117" t="s">
        <v>45</v>
      </c>
      <c r="E117" t="s">
        <v>46</v>
      </c>
      <c r="F117" t="s">
        <v>26</v>
      </c>
      <c r="G117" t="s">
        <v>50</v>
      </c>
      <c r="H117">
        <v>10</v>
      </c>
      <c r="I117" s="3">
        <v>10531.75</v>
      </c>
      <c r="J117" s="3">
        <f t="shared" si="1"/>
        <v>105317.5</v>
      </c>
    </row>
    <row r="118" spans="1:10" x14ac:dyDescent="0.3">
      <c r="A118" s="9">
        <v>45366</v>
      </c>
      <c r="B118" t="s">
        <v>63</v>
      </c>
      <c r="C118" t="s">
        <v>34</v>
      </c>
      <c r="D118" t="s">
        <v>12</v>
      </c>
      <c r="E118" t="s">
        <v>13</v>
      </c>
      <c r="F118" t="s">
        <v>18</v>
      </c>
      <c r="G118" t="s">
        <v>75</v>
      </c>
      <c r="H118">
        <v>25</v>
      </c>
      <c r="I118" s="3">
        <v>534.41</v>
      </c>
      <c r="J118" s="3">
        <f t="shared" si="1"/>
        <v>13360.25</v>
      </c>
    </row>
    <row r="119" spans="1:10" x14ac:dyDescent="0.3">
      <c r="A119" s="9">
        <v>45143</v>
      </c>
      <c r="B119" t="s">
        <v>33</v>
      </c>
      <c r="C119" t="s">
        <v>17</v>
      </c>
      <c r="D119" t="s">
        <v>12</v>
      </c>
      <c r="E119" t="s">
        <v>13</v>
      </c>
      <c r="F119" t="s">
        <v>55</v>
      </c>
      <c r="G119" t="s">
        <v>56</v>
      </c>
      <c r="H119">
        <v>6</v>
      </c>
      <c r="I119" s="3">
        <v>2021.57</v>
      </c>
      <c r="J119" s="3">
        <f t="shared" si="1"/>
        <v>12129.42</v>
      </c>
    </row>
    <row r="120" spans="1:10" x14ac:dyDescent="0.3">
      <c r="A120" s="9">
        <v>45087</v>
      </c>
      <c r="B120" t="s">
        <v>62</v>
      </c>
      <c r="C120" t="s">
        <v>29</v>
      </c>
      <c r="D120" t="s">
        <v>30</v>
      </c>
      <c r="E120" t="s">
        <v>13</v>
      </c>
      <c r="F120" t="s">
        <v>26</v>
      </c>
      <c r="G120" t="s">
        <v>27</v>
      </c>
      <c r="H120">
        <v>20</v>
      </c>
      <c r="I120" s="3">
        <v>6434.08</v>
      </c>
      <c r="J120" s="3">
        <f t="shared" si="1"/>
        <v>128681.60000000001</v>
      </c>
    </row>
    <row r="121" spans="1:10" x14ac:dyDescent="0.3">
      <c r="A121" s="9">
        <v>44960</v>
      </c>
      <c r="B121" t="s">
        <v>20</v>
      </c>
      <c r="C121" t="s">
        <v>36</v>
      </c>
      <c r="D121" t="s">
        <v>37</v>
      </c>
      <c r="E121" t="s">
        <v>25</v>
      </c>
      <c r="F121" t="s">
        <v>14</v>
      </c>
      <c r="G121" t="s">
        <v>47</v>
      </c>
      <c r="H121">
        <v>3</v>
      </c>
      <c r="I121" s="3">
        <v>856.12</v>
      </c>
      <c r="J121" s="3">
        <f t="shared" si="1"/>
        <v>2568.36</v>
      </c>
    </row>
    <row r="122" spans="1:10" x14ac:dyDescent="0.3">
      <c r="A122" s="9">
        <v>45197</v>
      </c>
      <c r="B122" t="s">
        <v>82</v>
      </c>
      <c r="C122" t="s">
        <v>49</v>
      </c>
      <c r="D122" t="s">
        <v>24</v>
      </c>
      <c r="E122" t="s">
        <v>25</v>
      </c>
      <c r="F122" t="s">
        <v>26</v>
      </c>
      <c r="G122" t="s">
        <v>32</v>
      </c>
      <c r="H122">
        <v>18</v>
      </c>
      <c r="I122" s="3">
        <v>3860.5</v>
      </c>
      <c r="J122" s="3">
        <f t="shared" si="1"/>
        <v>69489</v>
      </c>
    </row>
    <row r="123" spans="1:10" x14ac:dyDescent="0.3">
      <c r="A123" s="9">
        <v>45079</v>
      </c>
      <c r="B123" t="s">
        <v>33</v>
      </c>
      <c r="C123" t="s">
        <v>57</v>
      </c>
      <c r="D123" t="s">
        <v>58</v>
      </c>
      <c r="E123" t="s">
        <v>46</v>
      </c>
      <c r="F123" t="s">
        <v>68</v>
      </c>
      <c r="G123" t="s">
        <v>73</v>
      </c>
      <c r="H123">
        <v>6</v>
      </c>
      <c r="I123" s="3">
        <v>321.2</v>
      </c>
      <c r="J123" s="3">
        <f t="shared" si="1"/>
        <v>1927.1999999999998</v>
      </c>
    </row>
    <row r="124" spans="1:10" x14ac:dyDescent="0.3">
      <c r="A124" s="9">
        <v>45536</v>
      </c>
      <c r="B124" t="s">
        <v>82</v>
      </c>
      <c r="C124" t="s">
        <v>36</v>
      </c>
      <c r="D124" t="s">
        <v>37</v>
      </c>
      <c r="E124" t="s">
        <v>25</v>
      </c>
      <c r="F124" t="s">
        <v>26</v>
      </c>
      <c r="G124" t="s">
        <v>32</v>
      </c>
      <c r="H124">
        <v>15</v>
      </c>
      <c r="I124" s="3">
        <v>8731.1200000000008</v>
      </c>
      <c r="J124" s="3">
        <f t="shared" si="1"/>
        <v>130966.80000000002</v>
      </c>
    </row>
    <row r="125" spans="1:10" x14ac:dyDescent="0.3">
      <c r="A125" s="9">
        <v>45643</v>
      </c>
      <c r="B125" t="s">
        <v>51</v>
      </c>
      <c r="C125" t="s">
        <v>61</v>
      </c>
      <c r="D125" t="s">
        <v>37</v>
      </c>
      <c r="E125" t="s">
        <v>25</v>
      </c>
      <c r="F125" t="s">
        <v>18</v>
      </c>
      <c r="G125" t="s">
        <v>19</v>
      </c>
      <c r="H125">
        <v>15</v>
      </c>
      <c r="I125" s="3">
        <v>298.82</v>
      </c>
      <c r="J125" s="3">
        <f t="shared" si="1"/>
        <v>4482.3</v>
      </c>
    </row>
    <row r="126" spans="1:10" x14ac:dyDescent="0.3">
      <c r="A126" s="9">
        <v>44967</v>
      </c>
      <c r="B126" t="s">
        <v>22</v>
      </c>
      <c r="C126" t="s">
        <v>65</v>
      </c>
      <c r="D126" t="s">
        <v>66</v>
      </c>
      <c r="E126" t="s">
        <v>54</v>
      </c>
      <c r="F126" t="s">
        <v>18</v>
      </c>
      <c r="G126" t="s">
        <v>38</v>
      </c>
      <c r="H126">
        <v>1</v>
      </c>
      <c r="I126" s="3">
        <v>318.95</v>
      </c>
      <c r="J126" s="3">
        <f t="shared" si="1"/>
        <v>318.95</v>
      </c>
    </row>
    <row r="127" spans="1:10" x14ac:dyDescent="0.3">
      <c r="A127" s="9">
        <v>45617</v>
      </c>
      <c r="B127" t="s">
        <v>82</v>
      </c>
      <c r="C127" t="s">
        <v>11</v>
      </c>
      <c r="D127" t="s">
        <v>12</v>
      </c>
      <c r="E127" t="s">
        <v>13</v>
      </c>
      <c r="F127" t="s">
        <v>14</v>
      </c>
      <c r="G127" t="s">
        <v>40</v>
      </c>
      <c r="H127">
        <v>25</v>
      </c>
      <c r="I127" s="3">
        <v>931.9</v>
      </c>
      <c r="J127" s="3">
        <f t="shared" si="1"/>
        <v>23297.5</v>
      </c>
    </row>
    <row r="128" spans="1:10" x14ac:dyDescent="0.3">
      <c r="A128" s="9">
        <v>45408</v>
      </c>
      <c r="B128" t="s">
        <v>77</v>
      </c>
      <c r="C128" t="s">
        <v>41</v>
      </c>
      <c r="D128" t="s">
        <v>42</v>
      </c>
      <c r="E128" t="s">
        <v>25</v>
      </c>
      <c r="F128" t="s">
        <v>14</v>
      </c>
      <c r="G128" t="s">
        <v>15</v>
      </c>
      <c r="H128">
        <v>19</v>
      </c>
      <c r="I128" s="3">
        <v>579.47</v>
      </c>
      <c r="J128" s="3">
        <f t="shared" si="1"/>
        <v>11009.93</v>
      </c>
    </row>
    <row r="129" spans="1:10" x14ac:dyDescent="0.3">
      <c r="A129" s="9">
        <v>45430</v>
      </c>
      <c r="B129" t="s">
        <v>35</v>
      </c>
      <c r="C129" t="s">
        <v>79</v>
      </c>
      <c r="D129" t="s">
        <v>80</v>
      </c>
      <c r="E129" t="s">
        <v>13</v>
      </c>
      <c r="F129" t="s">
        <v>14</v>
      </c>
      <c r="G129" t="s">
        <v>47</v>
      </c>
      <c r="H129">
        <v>11</v>
      </c>
      <c r="I129" s="3">
        <v>453.16</v>
      </c>
      <c r="J129" s="3">
        <f t="shared" si="1"/>
        <v>4984.76</v>
      </c>
    </row>
    <row r="130" spans="1:10" x14ac:dyDescent="0.3">
      <c r="A130" s="9">
        <v>45034</v>
      </c>
      <c r="B130" t="s">
        <v>28</v>
      </c>
      <c r="C130" t="s">
        <v>65</v>
      </c>
      <c r="D130" t="s">
        <v>66</v>
      </c>
      <c r="E130" t="s">
        <v>54</v>
      </c>
      <c r="F130" t="s">
        <v>26</v>
      </c>
      <c r="G130" t="s">
        <v>27</v>
      </c>
      <c r="H130">
        <v>16</v>
      </c>
      <c r="I130" s="3">
        <v>4526.29</v>
      </c>
      <c r="J130" s="3">
        <f t="shared" si="1"/>
        <v>72420.639999999999</v>
      </c>
    </row>
    <row r="131" spans="1:10" x14ac:dyDescent="0.3">
      <c r="A131" s="9">
        <v>45337</v>
      </c>
      <c r="B131" t="s">
        <v>16</v>
      </c>
      <c r="C131" t="s">
        <v>34</v>
      </c>
      <c r="D131" t="s">
        <v>12</v>
      </c>
      <c r="E131" t="s">
        <v>13</v>
      </c>
      <c r="F131" t="s">
        <v>26</v>
      </c>
      <c r="G131" t="s">
        <v>32</v>
      </c>
      <c r="H131">
        <v>11</v>
      </c>
      <c r="I131" s="3">
        <v>4150.1899999999996</v>
      </c>
      <c r="J131" s="3">
        <f t="shared" ref="J131:J194" si="2">H131*I131</f>
        <v>45652.09</v>
      </c>
    </row>
    <row r="132" spans="1:10" x14ac:dyDescent="0.3">
      <c r="A132" s="9">
        <v>45045</v>
      </c>
      <c r="B132" t="s">
        <v>51</v>
      </c>
      <c r="C132" t="s">
        <v>11</v>
      </c>
      <c r="D132" t="s">
        <v>12</v>
      </c>
      <c r="E132" t="s">
        <v>13</v>
      </c>
      <c r="F132" t="s">
        <v>18</v>
      </c>
      <c r="G132" t="s">
        <v>19</v>
      </c>
      <c r="H132">
        <v>14</v>
      </c>
      <c r="I132" s="3">
        <v>250.28</v>
      </c>
      <c r="J132" s="3">
        <f t="shared" si="2"/>
        <v>3503.92</v>
      </c>
    </row>
    <row r="133" spans="1:10" x14ac:dyDescent="0.3">
      <c r="A133" s="9">
        <v>45457</v>
      </c>
      <c r="B133" t="s">
        <v>81</v>
      </c>
      <c r="C133" t="s">
        <v>79</v>
      </c>
      <c r="D133" t="s">
        <v>80</v>
      </c>
      <c r="E133" t="s">
        <v>13</v>
      </c>
      <c r="F133" t="s">
        <v>26</v>
      </c>
      <c r="G133" t="s">
        <v>32</v>
      </c>
      <c r="H133">
        <v>7</v>
      </c>
      <c r="I133" s="3">
        <v>4304.09</v>
      </c>
      <c r="J133" s="3">
        <f t="shared" si="2"/>
        <v>30128.63</v>
      </c>
    </row>
    <row r="134" spans="1:10" x14ac:dyDescent="0.3">
      <c r="A134" s="9">
        <v>45061</v>
      </c>
      <c r="B134" t="s">
        <v>63</v>
      </c>
      <c r="C134" t="s">
        <v>41</v>
      </c>
      <c r="D134" t="s">
        <v>42</v>
      </c>
      <c r="E134" t="s">
        <v>25</v>
      </c>
      <c r="F134" t="s">
        <v>26</v>
      </c>
      <c r="G134" t="s">
        <v>32</v>
      </c>
      <c r="H134">
        <v>1</v>
      </c>
      <c r="I134" s="3">
        <v>11718.04</v>
      </c>
      <c r="J134" s="3">
        <f t="shared" si="2"/>
        <v>11718.04</v>
      </c>
    </row>
    <row r="135" spans="1:10" x14ac:dyDescent="0.3">
      <c r="A135" s="9">
        <v>45550</v>
      </c>
      <c r="B135" t="s">
        <v>20</v>
      </c>
      <c r="C135" t="s">
        <v>78</v>
      </c>
      <c r="D135" t="s">
        <v>58</v>
      </c>
      <c r="E135" t="s">
        <v>46</v>
      </c>
      <c r="F135" t="s">
        <v>14</v>
      </c>
      <c r="G135" t="s">
        <v>40</v>
      </c>
      <c r="H135">
        <v>18</v>
      </c>
      <c r="I135" s="3">
        <v>548.79</v>
      </c>
      <c r="J135" s="3">
        <f t="shared" si="2"/>
        <v>9878.2199999999993</v>
      </c>
    </row>
    <row r="136" spans="1:10" x14ac:dyDescent="0.3">
      <c r="A136" s="9">
        <v>45157</v>
      </c>
      <c r="B136" t="s">
        <v>10</v>
      </c>
      <c r="C136" t="s">
        <v>41</v>
      </c>
      <c r="D136" t="s">
        <v>42</v>
      </c>
      <c r="E136" t="s">
        <v>25</v>
      </c>
      <c r="F136" t="s">
        <v>68</v>
      </c>
      <c r="G136" t="s">
        <v>69</v>
      </c>
      <c r="H136">
        <v>5</v>
      </c>
      <c r="I136" s="3">
        <v>209.38</v>
      </c>
      <c r="J136" s="3">
        <f t="shared" si="2"/>
        <v>1046.9000000000001</v>
      </c>
    </row>
    <row r="137" spans="1:10" x14ac:dyDescent="0.3">
      <c r="A137" s="9">
        <v>45225</v>
      </c>
      <c r="B137" t="s">
        <v>77</v>
      </c>
      <c r="C137" t="s">
        <v>61</v>
      </c>
      <c r="D137" t="s">
        <v>37</v>
      </c>
      <c r="E137" t="s">
        <v>25</v>
      </c>
      <c r="F137" t="s">
        <v>26</v>
      </c>
      <c r="G137" t="s">
        <v>50</v>
      </c>
      <c r="H137">
        <v>16</v>
      </c>
      <c r="I137" s="3">
        <v>4059.17</v>
      </c>
      <c r="J137" s="3">
        <f t="shared" si="2"/>
        <v>64946.720000000001</v>
      </c>
    </row>
    <row r="138" spans="1:10" x14ac:dyDescent="0.3">
      <c r="A138" s="9">
        <v>45491</v>
      </c>
      <c r="B138" t="s">
        <v>51</v>
      </c>
      <c r="C138" t="s">
        <v>44</v>
      </c>
      <c r="D138" t="s">
        <v>45</v>
      </c>
      <c r="E138" t="s">
        <v>46</v>
      </c>
      <c r="F138" t="s">
        <v>55</v>
      </c>
      <c r="G138" t="s">
        <v>67</v>
      </c>
      <c r="H138">
        <v>17</v>
      </c>
      <c r="I138" s="3">
        <v>2662.77</v>
      </c>
      <c r="J138" s="3">
        <f t="shared" si="2"/>
        <v>45267.09</v>
      </c>
    </row>
    <row r="139" spans="1:10" x14ac:dyDescent="0.3">
      <c r="A139" s="9">
        <v>45066</v>
      </c>
      <c r="B139" t="s">
        <v>35</v>
      </c>
      <c r="C139" t="s">
        <v>61</v>
      </c>
      <c r="D139" t="s">
        <v>37</v>
      </c>
      <c r="E139" t="s">
        <v>25</v>
      </c>
      <c r="F139" t="s">
        <v>26</v>
      </c>
      <c r="G139" t="s">
        <v>50</v>
      </c>
      <c r="H139">
        <v>17</v>
      </c>
      <c r="I139" s="3">
        <v>4305.3100000000004</v>
      </c>
      <c r="J139" s="3">
        <f t="shared" si="2"/>
        <v>73190.27</v>
      </c>
    </row>
    <row r="140" spans="1:10" x14ac:dyDescent="0.3">
      <c r="A140" s="9">
        <v>44929</v>
      </c>
      <c r="B140" t="s">
        <v>63</v>
      </c>
      <c r="C140" t="s">
        <v>36</v>
      </c>
      <c r="D140" t="s">
        <v>37</v>
      </c>
      <c r="E140" t="s">
        <v>25</v>
      </c>
      <c r="F140" t="s">
        <v>18</v>
      </c>
      <c r="G140" t="s">
        <v>19</v>
      </c>
      <c r="H140">
        <v>5</v>
      </c>
      <c r="I140" s="3">
        <v>976.11</v>
      </c>
      <c r="J140" s="3">
        <f t="shared" si="2"/>
        <v>4880.55</v>
      </c>
    </row>
    <row r="141" spans="1:10" x14ac:dyDescent="0.3">
      <c r="A141" s="9">
        <v>45422</v>
      </c>
      <c r="B141" t="s">
        <v>81</v>
      </c>
      <c r="C141" t="s">
        <v>65</v>
      </c>
      <c r="D141" t="s">
        <v>66</v>
      </c>
      <c r="E141" t="s">
        <v>54</v>
      </c>
      <c r="F141" t="s">
        <v>18</v>
      </c>
      <c r="G141" t="s">
        <v>19</v>
      </c>
      <c r="H141">
        <v>15</v>
      </c>
      <c r="I141" s="3">
        <v>1875.78</v>
      </c>
      <c r="J141" s="3">
        <f t="shared" si="2"/>
        <v>28136.7</v>
      </c>
    </row>
    <row r="142" spans="1:10" x14ac:dyDescent="0.3">
      <c r="A142" s="9">
        <v>45120</v>
      </c>
      <c r="B142" t="s">
        <v>20</v>
      </c>
      <c r="C142" t="s">
        <v>44</v>
      </c>
      <c r="D142" t="s">
        <v>45</v>
      </c>
      <c r="E142" t="s">
        <v>46</v>
      </c>
      <c r="F142" t="s">
        <v>55</v>
      </c>
      <c r="G142" t="s">
        <v>59</v>
      </c>
      <c r="H142">
        <v>2</v>
      </c>
      <c r="I142" s="3">
        <v>1249.98</v>
      </c>
      <c r="J142" s="3">
        <f t="shared" si="2"/>
        <v>2499.96</v>
      </c>
    </row>
    <row r="143" spans="1:10" x14ac:dyDescent="0.3">
      <c r="A143" s="9">
        <v>45411</v>
      </c>
      <c r="B143" t="s">
        <v>51</v>
      </c>
      <c r="C143" t="s">
        <v>44</v>
      </c>
      <c r="D143" t="s">
        <v>45</v>
      </c>
      <c r="E143" t="s">
        <v>46</v>
      </c>
      <c r="F143" t="s">
        <v>55</v>
      </c>
      <c r="G143" t="s">
        <v>59</v>
      </c>
      <c r="H143">
        <v>2</v>
      </c>
      <c r="I143" s="3">
        <v>616.61</v>
      </c>
      <c r="J143" s="3">
        <f t="shared" si="2"/>
        <v>1233.22</v>
      </c>
    </row>
    <row r="144" spans="1:10" x14ac:dyDescent="0.3">
      <c r="A144" s="9">
        <v>45531</v>
      </c>
      <c r="B144" t="s">
        <v>48</v>
      </c>
      <c r="C144" t="s">
        <v>72</v>
      </c>
      <c r="D144" t="s">
        <v>58</v>
      </c>
      <c r="E144" t="s">
        <v>46</v>
      </c>
      <c r="F144" t="s">
        <v>26</v>
      </c>
      <c r="G144" t="s">
        <v>32</v>
      </c>
      <c r="H144">
        <v>17</v>
      </c>
      <c r="I144" s="3">
        <v>11059.64</v>
      </c>
      <c r="J144" s="3">
        <f t="shared" si="2"/>
        <v>188013.88</v>
      </c>
    </row>
    <row r="145" spans="1:10" x14ac:dyDescent="0.3">
      <c r="A145" s="9">
        <v>44942</v>
      </c>
      <c r="B145" t="s">
        <v>51</v>
      </c>
      <c r="C145" t="s">
        <v>29</v>
      </c>
      <c r="D145" t="s">
        <v>30</v>
      </c>
      <c r="E145" t="s">
        <v>13</v>
      </c>
      <c r="F145" t="s">
        <v>55</v>
      </c>
      <c r="G145" t="s">
        <v>74</v>
      </c>
      <c r="H145">
        <v>16</v>
      </c>
      <c r="I145" s="3">
        <v>2779.03</v>
      </c>
      <c r="J145" s="3">
        <f t="shared" si="2"/>
        <v>44464.480000000003</v>
      </c>
    </row>
    <row r="146" spans="1:10" x14ac:dyDescent="0.3">
      <c r="A146" s="9">
        <v>45198</v>
      </c>
      <c r="B146" t="s">
        <v>48</v>
      </c>
      <c r="C146" t="s">
        <v>44</v>
      </c>
      <c r="D146" t="s">
        <v>45</v>
      </c>
      <c r="E146" t="s">
        <v>46</v>
      </c>
      <c r="F146" t="s">
        <v>68</v>
      </c>
      <c r="G146" t="s">
        <v>84</v>
      </c>
      <c r="H146">
        <v>11</v>
      </c>
      <c r="I146" s="3">
        <v>343.89</v>
      </c>
      <c r="J146" s="3">
        <f t="shared" si="2"/>
        <v>3782.79</v>
      </c>
    </row>
    <row r="147" spans="1:10" x14ac:dyDescent="0.3">
      <c r="A147" s="9">
        <v>45473</v>
      </c>
      <c r="B147" t="s">
        <v>51</v>
      </c>
      <c r="C147" t="s">
        <v>65</v>
      </c>
      <c r="D147" t="s">
        <v>66</v>
      </c>
      <c r="E147" t="s">
        <v>54</v>
      </c>
      <c r="F147" t="s">
        <v>26</v>
      </c>
      <c r="G147" t="s">
        <v>27</v>
      </c>
      <c r="H147">
        <v>2</v>
      </c>
      <c r="I147" s="3">
        <v>7983.32</v>
      </c>
      <c r="J147" s="3">
        <f t="shared" si="2"/>
        <v>15966.64</v>
      </c>
    </row>
    <row r="148" spans="1:10" x14ac:dyDescent="0.3">
      <c r="A148" s="9">
        <v>45167</v>
      </c>
      <c r="B148" t="s">
        <v>63</v>
      </c>
      <c r="C148" t="s">
        <v>23</v>
      </c>
      <c r="D148" t="s">
        <v>24</v>
      </c>
      <c r="E148" t="s">
        <v>25</v>
      </c>
      <c r="F148" t="s">
        <v>68</v>
      </c>
      <c r="G148" t="s">
        <v>76</v>
      </c>
      <c r="H148">
        <v>4</v>
      </c>
      <c r="I148" s="3">
        <v>308.94</v>
      </c>
      <c r="J148" s="3">
        <f t="shared" si="2"/>
        <v>1235.76</v>
      </c>
    </row>
    <row r="149" spans="1:10" x14ac:dyDescent="0.3">
      <c r="A149" s="9">
        <v>45647</v>
      </c>
      <c r="B149" t="s">
        <v>10</v>
      </c>
      <c r="C149" t="s">
        <v>41</v>
      </c>
      <c r="D149" t="s">
        <v>42</v>
      </c>
      <c r="E149" t="s">
        <v>25</v>
      </c>
      <c r="F149" t="s">
        <v>55</v>
      </c>
      <c r="G149" t="s">
        <v>64</v>
      </c>
      <c r="H149">
        <v>1</v>
      </c>
      <c r="I149" s="3">
        <v>351.77</v>
      </c>
      <c r="J149" s="3">
        <f t="shared" si="2"/>
        <v>351.77</v>
      </c>
    </row>
    <row r="150" spans="1:10" x14ac:dyDescent="0.3">
      <c r="A150" s="9">
        <v>44984</v>
      </c>
      <c r="B150" t="s">
        <v>63</v>
      </c>
      <c r="C150" t="s">
        <v>52</v>
      </c>
      <c r="D150" t="s">
        <v>53</v>
      </c>
      <c r="E150" t="s">
        <v>54</v>
      </c>
      <c r="F150" t="s">
        <v>14</v>
      </c>
      <c r="G150" t="s">
        <v>47</v>
      </c>
      <c r="H150">
        <v>5</v>
      </c>
      <c r="I150" s="3">
        <v>368.62</v>
      </c>
      <c r="J150" s="3">
        <f t="shared" si="2"/>
        <v>1843.1</v>
      </c>
    </row>
    <row r="151" spans="1:10" x14ac:dyDescent="0.3">
      <c r="A151" s="9">
        <v>45348</v>
      </c>
      <c r="B151" t="s">
        <v>82</v>
      </c>
      <c r="C151" t="s">
        <v>78</v>
      </c>
      <c r="D151" t="s">
        <v>58</v>
      </c>
      <c r="E151" t="s">
        <v>46</v>
      </c>
      <c r="F151" t="s">
        <v>55</v>
      </c>
      <c r="G151" t="s">
        <v>56</v>
      </c>
      <c r="H151">
        <v>3</v>
      </c>
      <c r="I151" s="3">
        <v>2211.3200000000002</v>
      </c>
      <c r="J151" s="3">
        <f t="shared" si="2"/>
        <v>6633.9600000000009</v>
      </c>
    </row>
    <row r="152" spans="1:10" x14ac:dyDescent="0.3">
      <c r="A152" s="9">
        <v>45318</v>
      </c>
      <c r="B152" t="s">
        <v>60</v>
      </c>
      <c r="C152" t="s">
        <v>23</v>
      </c>
      <c r="D152" t="s">
        <v>24</v>
      </c>
      <c r="E152" t="s">
        <v>25</v>
      </c>
      <c r="F152" t="s">
        <v>26</v>
      </c>
      <c r="G152" t="s">
        <v>27</v>
      </c>
      <c r="H152">
        <v>5</v>
      </c>
      <c r="I152" s="3">
        <v>3937.98</v>
      </c>
      <c r="J152" s="3">
        <f t="shared" si="2"/>
        <v>19689.900000000001</v>
      </c>
    </row>
    <row r="153" spans="1:10" x14ac:dyDescent="0.3">
      <c r="A153" s="9">
        <v>45580</v>
      </c>
      <c r="B153" t="s">
        <v>33</v>
      </c>
      <c r="C153" t="s">
        <v>41</v>
      </c>
      <c r="D153" t="s">
        <v>42</v>
      </c>
      <c r="E153" t="s">
        <v>25</v>
      </c>
      <c r="F153" t="s">
        <v>14</v>
      </c>
      <c r="G153" t="s">
        <v>40</v>
      </c>
      <c r="H153">
        <v>15</v>
      </c>
      <c r="I153" s="3">
        <v>1091.33</v>
      </c>
      <c r="J153" s="3">
        <f t="shared" si="2"/>
        <v>16369.949999999999</v>
      </c>
    </row>
    <row r="154" spans="1:10" x14ac:dyDescent="0.3">
      <c r="A154" s="9">
        <v>45620</v>
      </c>
      <c r="B154" t="s">
        <v>16</v>
      </c>
      <c r="C154" t="s">
        <v>78</v>
      </c>
      <c r="D154" t="s">
        <v>58</v>
      </c>
      <c r="E154" t="s">
        <v>46</v>
      </c>
      <c r="F154" t="s">
        <v>68</v>
      </c>
      <c r="G154" t="s">
        <v>76</v>
      </c>
      <c r="H154">
        <v>12</v>
      </c>
      <c r="I154" s="3">
        <v>395.31</v>
      </c>
      <c r="J154" s="3">
        <f t="shared" si="2"/>
        <v>4743.72</v>
      </c>
    </row>
    <row r="155" spans="1:10" x14ac:dyDescent="0.3">
      <c r="A155" s="9">
        <v>45233</v>
      </c>
      <c r="B155" t="s">
        <v>22</v>
      </c>
      <c r="C155" t="s">
        <v>61</v>
      </c>
      <c r="D155" t="s">
        <v>37</v>
      </c>
      <c r="E155" t="s">
        <v>25</v>
      </c>
      <c r="F155" t="s">
        <v>26</v>
      </c>
      <c r="G155" t="s">
        <v>50</v>
      </c>
      <c r="H155">
        <v>7</v>
      </c>
      <c r="I155" s="3">
        <v>11993.42</v>
      </c>
      <c r="J155" s="3">
        <f t="shared" si="2"/>
        <v>83953.94</v>
      </c>
    </row>
    <row r="156" spans="1:10" x14ac:dyDescent="0.3">
      <c r="A156" s="9">
        <v>45421</v>
      </c>
      <c r="B156" t="s">
        <v>10</v>
      </c>
      <c r="C156" t="s">
        <v>23</v>
      </c>
      <c r="D156" t="s">
        <v>24</v>
      </c>
      <c r="E156" t="s">
        <v>25</v>
      </c>
      <c r="F156" t="s">
        <v>26</v>
      </c>
      <c r="G156" t="s">
        <v>27</v>
      </c>
      <c r="H156">
        <v>12</v>
      </c>
      <c r="I156" s="3">
        <v>7535.53</v>
      </c>
      <c r="J156" s="3">
        <f t="shared" si="2"/>
        <v>90426.36</v>
      </c>
    </row>
    <row r="157" spans="1:10" x14ac:dyDescent="0.3">
      <c r="A157" s="9">
        <v>45643</v>
      </c>
      <c r="B157" t="s">
        <v>63</v>
      </c>
      <c r="C157" t="s">
        <v>11</v>
      </c>
      <c r="D157" t="s">
        <v>12</v>
      </c>
      <c r="E157" t="s">
        <v>13</v>
      </c>
      <c r="F157" t="s">
        <v>26</v>
      </c>
      <c r="G157" t="s">
        <v>50</v>
      </c>
      <c r="H157">
        <v>1</v>
      </c>
      <c r="I157" s="3">
        <v>7442.25</v>
      </c>
      <c r="J157" s="3">
        <f t="shared" si="2"/>
        <v>7442.25</v>
      </c>
    </row>
    <row r="158" spans="1:10" x14ac:dyDescent="0.3">
      <c r="A158" s="9">
        <v>45629</v>
      </c>
      <c r="B158" t="s">
        <v>39</v>
      </c>
      <c r="C158" t="s">
        <v>79</v>
      </c>
      <c r="D158" t="s">
        <v>80</v>
      </c>
      <c r="E158" t="s">
        <v>13</v>
      </c>
      <c r="F158" t="s">
        <v>14</v>
      </c>
      <c r="G158" t="s">
        <v>15</v>
      </c>
      <c r="H158">
        <v>20</v>
      </c>
      <c r="I158" s="3">
        <v>982.13</v>
      </c>
      <c r="J158" s="3">
        <f t="shared" si="2"/>
        <v>19642.599999999999</v>
      </c>
    </row>
    <row r="159" spans="1:10" x14ac:dyDescent="0.3">
      <c r="A159" s="9">
        <v>45151</v>
      </c>
      <c r="B159" t="s">
        <v>71</v>
      </c>
      <c r="C159" t="s">
        <v>61</v>
      </c>
      <c r="D159" t="s">
        <v>37</v>
      </c>
      <c r="E159" t="s">
        <v>25</v>
      </c>
      <c r="F159" t="s">
        <v>55</v>
      </c>
      <c r="G159" t="s">
        <v>74</v>
      </c>
      <c r="H159">
        <v>21</v>
      </c>
      <c r="I159" s="3">
        <v>2332.92</v>
      </c>
      <c r="J159" s="3">
        <f t="shared" si="2"/>
        <v>48991.32</v>
      </c>
    </row>
    <row r="160" spans="1:10" x14ac:dyDescent="0.3">
      <c r="A160" s="9">
        <v>45243</v>
      </c>
      <c r="B160" t="s">
        <v>43</v>
      </c>
      <c r="C160" t="s">
        <v>34</v>
      </c>
      <c r="D160" t="s">
        <v>12</v>
      </c>
      <c r="E160" t="s">
        <v>13</v>
      </c>
      <c r="F160" t="s">
        <v>18</v>
      </c>
      <c r="G160" t="s">
        <v>38</v>
      </c>
      <c r="H160">
        <v>24</v>
      </c>
      <c r="I160" s="3">
        <v>393.11</v>
      </c>
      <c r="J160" s="3">
        <f t="shared" si="2"/>
        <v>9434.64</v>
      </c>
    </row>
    <row r="161" spans="1:10" x14ac:dyDescent="0.3">
      <c r="A161" s="9">
        <v>45229</v>
      </c>
      <c r="B161" t="s">
        <v>48</v>
      </c>
      <c r="C161" t="s">
        <v>29</v>
      </c>
      <c r="D161" t="s">
        <v>30</v>
      </c>
      <c r="E161" t="s">
        <v>13</v>
      </c>
      <c r="F161" t="s">
        <v>55</v>
      </c>
      <c r="G161" t="s">
        <v>56</v>
      </c>
      <c r="H161">
        <v>5</v>
      </c>
      <c r="I161" s="3">
        <v>2795.49</v>
      </c>
      <c r="J161" s="3">
        <f t="shared" si="2"/>
        <v>13977.449999999999</v>
      </c>
    </row>
    <row r="162" spans="1:10" x14ac:dyDescent="0.3">
      <c r="A162" s="9">
        <v>45301</v>
      </c>
      <c r="B162" t="s">
        <v>77</v>
      </c>
      <c r="C162" t="s">
        <v>61</v>
      </c>
      <c r="D162" t="s">
        <v>37</v>
      </c>
      <c r="E162" t="s">
        <v>25</v>
      </c>
      <c r="F162" t="s">
        <v>55</v>
      </c>
      <c r="G162" t="s">
        <v>64</v>
      </c>
      <c r="H162">
        <v>16</v>
      </c>
      <c r="I162" s="3">
        <v>3392.37</v>
      </c>
      <c r="J162" s="3">
        <f t="shared" si="2"/>
        <v>54277.919999999998</v>
      </c>
    </row>
    <row r="163" spans="1:10" x14ac:dyDescent="0.3">
      <c r="A163" s="9">
        <v>45229</v>
      </c>
      <c r="B163" t="s">
        <v>48</v>
      </c>
      <c r="C163" t="s">
        <v>72</v>
      </c>
      <c r="D163" t="s">
        <v>58</v>
      </c>
      <c r="E163" t="s">
        <v>46</v>
      </c>
      <c r="F163" t="s">
        <v>26</v>
      </c>
      <c r="G163" t="s">
        <v>32</v>
      </c>
      <c r="H163">
        <v>5</v>
      </c>
      <c r="I163" s="3">
        <v>9418.59</v>
      </c>
      <c r="J163" s="3">
        <f t="shared" si="2"/>
        <v>47092.95</v>
      </c>
    </row>
    <row r="164" spans="1:10" x14ac:dyDescent="0.3">
      <c r="A164" s="9">
        <v>45158</v>
      </c>
      <c r="B164" t="s">
        <v>51</v>
      </c>
      <c r="C164" t="s">
        <v>52</v>
      </c>
      <c r="D164" t="s">
        <v>53</v>
      </c>
      <c r="E164" t="s">
        <v>54</v>
      </c>
      <c r="F164" t="s">
        <v>68</v>
      </c>
      <c r="G164" t="s">
        <v>84</v>
      </c>
      <c r="H164">
        <v>13</v>
      </c>
      <c r="I164" s="3">
        <v>25.29</v>
      </c>
      <c r="J164" s="3">
        <f t="shared" si="2"/>
        <v>328.77</v>
      </c>
    </row>
    <row r="165" spans="1:10" x14ac:dyDescent="0.3">
      <c r="A165" s="9">
        <v>45476</v>
      </c>
      <c r="B165" t="s">
        <v>10</v>
      </c>
      <c r="C165" t="s">
        <v>41</v>
      </c>
      <c r="D165" t="s">
        <v>42</v>
      </c>
      <c r="E165" t="s">
        <v>25</v>
      </c>
      <c r="F165" t="s">
        <v>14</v>
      </c>
      <c r="G165" t="s">
        <v>31</v>
      </c>
      <c r="H165">
        <v>19</v>
      </c>
      <c r="I165" s="3">
        <v>519.13</v>
      </c>
      <c r="J165" s="3">
        <f t="shared" si="2"/>
        <v>9863.4699999999993</v>
      </c>
    </row>
    <row r="166" spans="1:10" x14ac:dyDescent="0.3">
      <c r="A166" s="9">
        <v>45580</v>
      </c>
      <c r="B166" t="s">
        <v>81</v>
      </c>
      <c r="C166" t="s">
        <v>72</v>
      </c>
      <c r="D166" t="s">
        <v>58</v>
      </c>
      <c r="E166" t="s">
        <v>46</v>
      </c>
      <c r="F166" t="s">
        <v>55</v>
      </c>
      <c r="G166" t="s">
        <v>59</v>
      </c>
      <c r="H166">
        <v>1</v>
      </c>
      <c r="I166" s="3">
        <v>2244.5</v>
      </c>
      <c r="J166" s="3">
        <f t="shared" si="2"/>
        <v>2244.5</v>
      </c>
    </row>
    <row r="167" spans="1:10" x14ac:dyDescent="0.3">
      <c r="A167" s="9">
        <v>45501</v>
      </c>
      <c r="B167" t="s">
        <v>48</v>
      </c>
      <c r="C167" t="s">
        <v>23</v>
      </c>
      <c r="D167" t="s">
        <v>24</v>
      </c>
      <c r="E167" t="s">
        <v>25</v>
      </c>
      <c r="F167" t="s">
        <v>68</v>
      </c>
      <c r="G167" t="s">
        <v>69</v>
      </c>
      <c r="H167">
        <v>15</v>
      </c>
      <c r="I167" s="3">
        <v>365.57</v>
      </c>
      <c r="J167" s="3">
        <f t="shared" si="2"/>
        <v>5483.55</v>
      </c>
    </row>
    <row r="168" spans="1:10" x14ac:dyDescent="0.3">
      <c r="A168" s="9">
        <v>45236</v>
      </c>
      <c r="B168" t="s">
        <v>22</v>
      </c>
      <c r="C168" t="s">
        <v>72</v>
      </c>
      <c r="D168" t="s">
        <v>58</v>
      </c>
      <c r="E168" t="s">
        <v>46</v>
      </c>
      <c r="F168" t="s">
        <v>55</v>
      </c>
      <c r="G168" t="s">
        <v>74</v>
      </c>
      <c r="H168">
        <v>2</v>
      </c>
      <c r="I168" s="3">
        <v>1204.4000000000001</v>
      </c>
      <c r="J168" s="3">
        <f t="shared" si="2"/>
        <v>2408.8000000000002</v>
      </c>
    </row>
    <row r="169" spans="1:10" x14ac:dyDescent="0.3">
      <c r="A169" s="9">
        <v>45431</v>
      </c>
      <c r="B169" t="s">
        <v>10</v>
      </c>
      <c r="C169" t="s">
        <v>72</v>
      </c>
      <c r="D169" t="s">
        <v>58</v>
      </c>
      <c r="E169" t="s">
        <v>46</v>
      </c>
      <c r="F169" t="s">
        <v>55</v>
      </c>
      <c r="G169" t="s">
        <v>67</v>
      </c>
      <c r="H169">
        <v>5</v>
      </c>
      <c r="I169" s="3">
        <v>1482.53</v>
      </c>
      <c r="J169" s="3">
        <f t="shared" si="2"/>
        <v>7412.65</v>
      </c>
    </row>
    <row r="170" spans="1:10" x14ac:dyDescent="0.3">
      <c r="A170" s="9">
        <v>45306</v>
      </c>
      <c r="B170" t="s">
        <v>16</v>
      </c>
      <c r="C170" t="s">
        <v>29</v>
      </c>
      <c r="D170" t="s">
        <v>30</v>
      </c>
      <c r="E170" t="s">
        <v>13</v>
      </c>
      <c r="F170" t="s">
        <v>18</v>
      </c>
      <c r="G170" t="s">
        <v>21</v>
      </c>
      <c r="H170">
        <v>14</v>
      </c>
      <c r="I170" s="3">
        <v>1361.61</v>
      </c>
      <c r="J170" s="3">
        <f t="shared" si="2"/>
        <v>19062.539999999997</v>
      </c>
    </row>
    <row r="171" spans="1:10" x14ac:dyDescent="0.3">
      <c r="A171" s="9">
        <v>45428</v>
      </c>
      <c r="B171" t="s">
        <v>60</v>
      </c>
      <c r="C171" t="s">
        <v>29</v>
      </c>
      <c r="D171" t="s">
        <v>30</v>
      </c>
      <c r="E171" t="s">
        <v>13</v>
      </c>
      <c r="F171" t="s">
        <v>14</v>
      </c>
      <c r="G171" t="s">
        <v>40</v>
      </c>
      <c r="H171">
        <v>23</v>
      </c>
      <c r="I171" s="3">
        <v>507.58</v>
      </c>
      <c r="J171" s="3">
        <f t="shared" si="2"/>
        <v>11674.34</v>
      </c>
    </row>
    <row r="172" spans="1:10" x14ac:dyDescent="0.3">
      <c r="A172" s="9">
        <v>45381</v>
      </c>
      <c r="B172" t="s">
        <v>43</v>
      </c>
      <c r="C172" t="s">
        <v>23</v>
      </c>
      <c r="D172" t="s">
        <v>24</v>
      </c>
      <c r="E172" t="s">
        <v>25</v>
      </c>
      <c r="F172" t="s">
        <v>14</v>
      </c>
      <c r="G172" t="s">
        <v>40</v>
      </c>
      <c r="H172">
        <v>22</v>
      </c>
      <c r="I172" s="3">
        <v>504.07</v>
      </c>
      <c r="J172" s="3">
        <f t="shared" si="2"/>
        <v>11089.539999999999</v>
      </c>
    </row>
    <row r="173" spans="1:10" x14ac:dyDescent="0.3">
      <c r="A173" s="9">
        <v>45587</v>
      </c>
      <c r="B173" t="s">
        <v>81</v>
      </c>
      <c r="C173" t="s">
        <v>34</v>
      </c>
      <c r="D173" t="s">
        <v>12</v>
      </c>
      <c r="E173" t="s">
        <v>13</v>
      </c>
      <c r="F173" t="s">
        <v>26</v>
      </c>
      <c r="G173" t="s">
        <v>50</v>
      </c>
      <c r="H173">
        <v>7</v>
      </c>
      <c r="I173" s="3">
        <v>11666.17</v>
      </c>
      <c r="J173" s="3">
        <f t="shared" si="2"/>
        <v>81663.19</v>
      </c>
    </row>
    <row r="174" spans="1:10" x14ac:dyDescent="0.3">
      <c r="A174" s="9">
        <v>45392</v>
      </c>
      <c r="B174" t="s">
        <v>35</v>
      </c>
      <c r="C174" t="s">
        <v>49</v>
      </c>
      <c r="D174" t="s">
        <v>24</v>
      </c>
      <c r="E174" t="s">
        <v>25</v>
      </c>
      <c r="F174" t="s">
        <v>18</v>
      </c>
      <c r="G174" t="s">
        <v>75</v>
      </c>
      <c r="H174">
        <v>2</v>
      </c>
      <c r="I174" s="3">
        <v>1605.57</v>
      </c>
      <c r="J174" s="3">
        <f t="shared" si="2"/>
        <v>3211.14</v>
      </c>
    </row>
    <row r="175" spans="1:10" x14ac:dyDescent="0.3">
      <c r="A175" s="9">
        <v>45176</v>
      </c>
      <c r="B175" t="s">
        <v>51</v>
      </c>
      <c r="C175" t="s">
        <v>49</v>
      </c>
      <c r="D175" t="s">
        <v>24</v>
      </c>
      <c r="E175" t="s">
        <v>25</v>
      </c>
      <c r="F175" t="s">
        <v>68</v>
      </c>
      <c r="G175" t="s">
        <v>84</v>
      </c>
      <c r="H175">
        <v>25</v>
      </c>
      <c r="I175" s="3">
        <v>230.6</v>
      </c>
      <c r="J175" s="3">
        <f t="shared" si="2"/>
        <v>5765</v>
      </c>
    </row>
    <row r="176" spans="1:10" x14ac:dyDescent="0.3">
      <c r="A176" s="9">
        <v>45527</v>
      </c>
      <c r="B176" t="s">
        <v>71</v>
      </c>
      <c r="C176" t="s">
        <v>23</v>
      </c>
      <c r="D176" t="s">
        <v>24</v>
      </c>
      <c r="E176" t="s">
        <v>25</v>
      </c>
      <c r="F176" t="s">
        <v>14</v>
      </c>
      <c r="G176" t="s">
        <v>15</v>
      </c>
      <c r="H176">
        <v>20</v>
      </c>
      <c r="I176" s="3">
        <v>103.12</v>
      </c>
      <c r="J176" s="3">
        <f t="shared" si="2"/>
        <v>2062.4</v>
      </c>
    </row>
    <row r="177" spans="1:10" x14ac:dyDescent="0.3">
      <c r="A177" s="9">
        <v>45075</v>
      </c>
      <c r="B177" t="s">
        <v>51</v>
      </c>
      <c r="C177" t="s">
        <v>61</v>
      </c>
      <c r="D177" t="s">
        <v>37</v>
      </c>
      <c r="E177" t="s">
        <v>25</v>
      </c>
      <c r="F177" t="s">
        <v>55</v>
      </c>
      <c r="G177" t="s">
        <v>74</v>
      </c>
      <c r="H177">
        <v>22</v>
      </c>
      <c r="I177" s="3">
        <v>3059.28</v>
      </c>
      <c r="J177" s="3">
        <f t="shared" si="2"/>
        <v>67304.160000000003</v>
      </c>
    </row>
    <row r="178" spans="1:10" x14ac:dyDescent="0.3">
      <c r="A178" s="9">
        <v>45061</v>
      </c>
      <c r="B178" t="s">
        <v>62</v>
      </c>
      <c r="C178" t="s">
        <v>52</v>
      </c>
      <c r="D178" t="s">
        <v>53</v>
      </c>
      <c r="E178" t="s">
        <v>54</v>
      </c>
      <c r="F178" t="s">
        <v>55</v>
      </c>
      <c r="G178" t="s">
        <v>67</v>
      </c>
      <c r="H178">
        <v>11</v>
      </c>
      <c r="I178" s="3">
        <v>252.08</v>
      </c>
      <c r="J178" s="3">
        <f t="shared" si="2"/>
        <v>2772.88</v>
      </c>
    </row>
    <row r="179" spans="1:10" x14ac:dyDescent="0.3">
      <c r="A179" s="9">
        <v>45198</v>
      </c>
      <c r="B179" t="s">
        <v>39</v>
      </c>
      <c r="C179" t="s">
        <v>57</v>
      </c>
      <c r="D179" t="s">
        <v>58</v>
      </c>
      <c r="E179" t="s">
        <v>46</v>
      </c>
      <c r="F179" t="s">
        <v>26</v>
      </c>
      <c r="G179" t="s">
        <v>27</v>
      </c>
      <c r="H179">
        <v>4</v>
      </c>
      <c r="I179" s="3">
        <v>9329.49</v>
      </c>
      <c r="J179" s="3">
        <f t="shared" si="2"/>
        <v>37317.96</v>
      </c>
    </row>
    <row r="180" spans="1:10" x14ac:dyDescent="0.3">
      <c r="A180" s="9">
        <v>45414</v>
      </c>
      <c r="B180" t="s">
        <v>43</v>
      </c>
      <c r="C180" t="s">
        <v>52</v>
      </c>
      <c r="D180" t="s">
        <v>53</v>
      </c>
      <c r="E180" t="s">
        <v>54</v>
      </c>
      <c r="F180" t="s">
        <v>18</v>
      </c>
      <c r="G180" t="s">
        <v>75</v>
      </c>
      <c r="H180">
        <v>15</v>
      </c>
      <c r="I180" s="3">
        <v>1082.0999999999999</v>
      </c>
      <c r="J180" s="3">
        <f t="shared" si="2"/>
        <v>16231.499999999998</v>
      </c>
    </row>
    <row r="181" spans="1:10" x14ac:dyDescent="0.3">
      <c r="A181" s="9">
        <v>45556</v>
      </c>
      <c r="B181" t="s">
        <v>39</v>
      </c>
      <c r="C181" t="s">
        <v>36</v>
      </c>
      <c r="D181" t="s">
        <v>37</v>
      </c>
      <c r="E181" t="s">
        <v>25</v>
      </c>
      <c r="F181" t="s">
        <v>26</v>
      </c>
      <c r="G181" t="s">
        <v>27</v>
      </c>
      <c r="H181">
        <v>1</v>
      </c>
      <c r="I181" s="3">
        <v>2138.67</v>
      </c>
      <c r="J181" s="3">
        <f t="shared" si="2"/>
        <v>2138.67</v>
      </c>
    </row>
    <row r="182" spans="1:10" x14ac:dyDescent="0.3">
      <c r="A182" s="9">
        <v>45417</v>
      </c>
      <c r="B182" t="s">
        <v>51</v>
      </c>
      <c r="C182" t="s">
        <v>29</v>
      </c>
      <c r="D182" t="s">
        <v>30</v>
      </c>
      <c r="E182" t="s">
        <v>13</v>
      </c>
      <c r="F182" t="s">
        <v>68</v>
      </c>
      <c r="G182" t="s">
        <v>76</v>
      </c>
      <c r="H182">
        <v>23</v>
      </c>
      <c r="I182" s="3">
        <v>365.69</v>
      </c>
      <c r="J182" s="3">
        <f t="shared" si="2"/>
        <v>8410.8700000000008</v>
      </c>
    </row>
    <row r="183" spans="1:10" x14ac:dyDescent="0.3">
      <c r="A183" s="9">
        <v>45002</v>
      </c>
      <c r="B183" t="s">
        <v>35</v>
      </c>
      <c r="C183" t="s">
        <v>65</v>
      </c>
      <c r="D183" t="s">
        <v>66</v>
      </c>
      <c r="E183" t="s">
        <v>54</v>
      </c>
      <c r="F183" t="s">
        <v>18</v>
      </c>
      <c r="G183" t="s">
        <v>21</v>
      </c>
      <c r="H183">
        <v>3</v>
      </c>
      <c r="I183" s="3">
        <v>383.45</v>
      </c>
      <c r="J183" s="3">
        <f t="shared" si="2"/>
        <v>1150.3499999999999</v>
      </c>
    </row>
    <row r="184" spans="1:10" x14ac:dyDescent="0.3">
      <c r="A184" s="9">
        <v>45566</v>
      </c>
      <c r="B184" t="s">
        <v>82</v>
      </c>
      <c r="C184" t="s">
        <v>65</v>
      </c>
      <c r="D184" t="s">
        <v>66</v>
      </c>
      <c r="E184" t="s">
        <v>54</v>
      </c>
      <c r="F184" t="s">
        <v>26</v>
      </c>
      <c r="G184" t="s">
        <v>27</v>
      </c>
      <c r="H184">
        <v>17</v>
      </c>
      <c r="I184" s="3">
        <v>4596.43</v>
      </c>
      <c r="J184" s="3">
        <f t="shared" si="2"/>
        <v>78139.31</v>
      </c>
    </row>
    <row r="185" spans="1:10" x14ac:dyDescent="0.3">
      <c r="A185" s="9">
        <v>45444</v>
      </c>
      <c r="B185" t="s">
        <v>60</v>
      </c>
      <c r="C185" t="s">
        <v>29</v>
      </c>
      <c r="D185" t="s">
        <v>30</v>
      </c>
      <c r="E185" t="s">
        <v>13</v>
      </c>
      <c r="F185" t="s">
        <v>68</v>
      </c>
      <c r="G185" t="s">
        <v>84</v>
      </c>
      <c r="H185">
        <v>23</v>
      </c>
      <c r="I185" s="3">
        <v>63.48</v>
      </c>
      <c r="J185" s="3">
        <f t="shared" si="2"/>
        <v>1460.04</v>
      </c>
    </row>
    <row r="186" spans="1:10" x14ac:dyDescent="0.3">
      <c r="A186" s="9">
        <v>45597</v>
      </c>
      <c r="B186" t="s">
        <v>16</v>
      </c>
      <c r="C186" t="s">
        <v>49</v>
      </c>
      <c r="D186" t="s">
        <v>24</v>
      </c>
      <c r="E186" t="s">
        <v>25</v>
      </c>
      <c r="F186" t="s">
        <v>26</v>
      </c>
      <c r="G186" t="s">
        <v>50</v>
      </c>
      <c r="H186">
        <v>8</v>
      </c>
      <c r="I186" s="3">
        <v>5845.04</v>
      </c>
      <c r="J186" s="3">
        <f t="shared" si="2"/>
        <v>46760.32</v>
      </c>
    </row>
    <row r="187" spans="1:10" x14ac:dyDescent="0.3">
      <c r="A187" s="9">
        <v>45391</v>
      </c>
      <c r="B187" t="s">
        <v>51</v>
      </c>
      <c r="C187" t="s">
        <v>29</v>
      </c>
      <c r="D187" t="s">
        <v>30</v>
      </c>
      <c r="E187" t="s">
        <v>13</v>
      </c>
      <c r="F187" t="s">
        <v>68</v>
      </c>
      <c r="G187" t="s">
        <v>83</v>
      </c>
      <c r="H187">
        <v>14</v>
      </c>
      <c r="I187" s="3">
        <v>138.76</v>
      </c>
      <c r="J187" s="3">
        <f t="shared" si="2"/>
        <v>1942.6399999999999</v>
      </c>
    </row>
    <row r="188" spans="1:10" x14ac:dyDescent="0.3">
      <c r="A188" s="9">
        <v>45188</v>
      </c>
      <c r="B188" t="s">
        <v>81</v>
      </c>
      <c r="C188" t="s">
        <v>57</v>
      </c>
      <c r="D188" t="s">
        <v>58</v>
      </c>
      <c r="E188" t="s">
        <v>46</v>
      </c>
      <c r="F188" t="s">
        <v>26</v>
      </c>
      <c r="G188" t="s">
        <v>32</v>
      </c>
      <c r="H188">
        <v>3</v>
      </c>
      <c r="I188" s="3">
        <v>10233.6</v>
      </c>
      <c r="J188" s="3">
        <f t="shared" si="2"/>
        <v>30700.800000000003</v>
      </c>
    </row>
    <row r="189" spans="1:10" x14ac:dyDescent="0.3">
      <c r="A189" s="9">
        <v>45022</v>
      </c>
      <c r="B189" t="s">
        <v>22</v>
      </c>
      <c r="C189" t="s">
        <v>72</v>
      </c>
      <c r="D189" t="s">
        <v>58</v>
      </c>
      <c r="E189" t="s">
        <v>46</v>
      </c>
      <c r="F189" t="s">
        <v>14</v>
      </c>
      <c r="G189" t="s">
        <v>15</v>
      </c>
      <c r="H189">
        <v>18</v>
      </c>
      <c r="I189" s="3">
        <v>165.98</v>
      </c>
      <c r="J189" s="3">
        <f t="shared" si="2"/>
        <v>2987.64</v>
      </c>
    </row>
    <row r="190" spans="1:10" x14ac:dyDescent="0.3">
      <c r="A190" s="9">
        <v>45502</v>
      </c>
      <c r="B190" t="s">
        <v>16</v>
      </c>
      <c r="C190" t="s">
        <v>65</v>
      </c>
      <c r="D190" t="s">
        <v>66</v>
      </c>
      <c r="E190" t="s">
        <v>54</v>
      </c>
      <c r="F190" t="s">
        <v>68</v>
      </c>
      <c r="G190" t="s">
        <v>76</v>
      </c>
      <c r="H190">
        <v>12</v>
      </c>
      <c r="I190" s="3">
        <v>351.97</v>
      </c>
      <c r="J190" s="3">
        <f t="shared" si="2"/>
        <v>4223.6400000000003</v>
      </c>
    </row>
    <row r="191" spans="1:10" x14ac:dyDescent="0.3">
      <c r="A191" s="9">
        <v>45360</v>
      </c>
      <c r="B191" t="s">
        <v>39</v>
      </c>
      <c r="C191" t="s">
        <v>36</v>
      </c>
      <c r="D191" t="s">
        <v>37</v>
      </c>
      <c r="E191" t="s">
        <v>25</v>
      </c>
      <c r="F191" t="s">
        <v>18</v>
      </c>
      <c r="G191" t="s">
        <v>38</v>
      </c>
      <c r="H191">
        <v>12</v>
      </c>
      <c r="I191" s="3">
        <v>341.66</v>
      </c>
      <c r="J191" s="3">
        <f t="shared" si="2"/>
        <v>4099.92</v>
      </c>
    </row>
    <row r="192" spans="1:10" x14ac:dyDescent="0.3">
      <c r="A192" s="9">
        <v>45446</v>
      </c>
      <c r="B192" t="s">
        <v>71</v>
      </c>
      <c r="C192" t="s">
        <v>57</v>
      </c>
      <c r="D192" t="s">
        <v>58</v>
      </c>
      <c r="E192" t="s">
        <v>46</v>
      </c>
      <c r="F192" t="s">
        <v>26</v>
      </c>
      <c r="G192" t="s">
        <v>32</v>
      </c>
      <c r="H192">
        <v>4</v>
      </c>
      <c r="I192" s="3">
        <v>5176.2</v>
      </c>
      <c r="J192" s="3">
        <f t="shared" si="2"/>
        <v>20704.8</v>
      </c>
    </row>
    <row r="193" spans="1:10" x14ac:dyDescent="0.3">
      <c r="A193" s="9">
        <v>45496</v>
      </c>
      <c r="B193" t="s">
        <v>81</v>
      </c>
      <c r="C193" t="s">
        <v>72</v>
      </c>
      <c r="D193" t="s">
        <v>58</v>
      </c>
      <c r="E193" t="s">
        <v>46</v>
      </c>
      <c r="F193" t="s">
        <v>14</v>
      </c>
      <c r="G193" t="s">
        <v>15</v>
      </c>
      <c r="H193">
        <v>14</v>
      </c>
      <c r="I193" s="3">
        <v>1029.67</v>
      </c>
      <c r="J193" s="3">
        <f t="shared" si="2"/>
        <v>14415.380000000001</v>
      </c>
    </row>
    <row r="194" spans="1:10" x14ac:dyDescent="0.3">
      <c r="A194" s="9">
        <v>45563</v>
      </c>
      <c r="B194" t="s">
        <v>60</v>
      </c>
      <c r="C194" t="s">
        <v>11</v>
      </c>
      <c r="D194" t="s">
        <v>12</v>
      </c>
      <c r="E194" t="s">
        <v>13</v>
      </c>
      <c r="F194" t="s">
        <v>18</v>
      </c>
      <c r="G194" t="s">
        <v>38</v>
      </c>
      <c r="H194">
        <v>1</v>
      </c>
      <c r="I194" s="3">
        <v>483.77</v>
      </c>
      <c r="J194" s="3">
        <f t="shared" si="2"/>
        <v>483.77</v>
      </c>
    </row>
    <row r="195" spans="1:10" x14ac:dyDescent="0.3">
      <c r="A195" s="9">
        <v>45646</v>
      </c>
      <c r="B195" t="s">
        <v>63</v>
      </c>
      <c r="C195" t="s">
        <v>65</v>
      </c>
      <c r="D195" t="s">
        <v>66</v>
      </c>
      <c r="E195" t="s">
        <v>54</v>
      </c>
      <c r="F195" t="s">
        <v>14</v>
      </c>
      <c r="G195" t="s">
        <v>40</v>
      </c>
      <c r="H195">
        <v>6</v>
      </c>
      <c r="I195" s="3">
        <v>1056.8499999999999</v>
      </c>
      <c r="J195" s="3">
        <f t="shared" ref="J195:J258" si="3">H195*I195</f>
        <v>6341.0999999999995</v>
      </c>
    </row>
    <row r="196" spans="1:10" x14ac:dyDescent="0.3">
      <c r="A196" s="9">
        <v>45506</v>
      </c>
      <c r="B196" t="s">
        <v>51</v>
      </c>
      <c r="C196" t="s">
        <v>17</v>
      </c>
      <c r="D196" t="s">
        <v>12</v>
      </c>
      <c r="E196" t="s">
        <v>13</v>
      </c>
      <c r="F196" t="s">
        <v>55</v>
      </c>
      <c r="G196" t="s">
        <v>74</v>
      </c>
      <c r="H196">
        <v>3</v>
      </c>
      <c r="I196" s="3">
        <v>2662.17</v>
      </c>
      <c r="J196" s="3">
        <f t="shared" si="3"/>
        <v>7986.51</v>
      </c>
    </row>
    <row r="197" spans="1:10" x14ac:dyDescent="0.3">
      <c r="A197" s="9">
        <v>45147</v>
      </c>
      <c r="B197" t="s">
        <v>51</v>
      </c>
      <c r="C197" t="s">
        <v>29</v>
      </c>
      <c r="D197" t="s">
        <v>30</v>
      </c>
      <c r="E197" t="s">
        <v>13</v>
      </c>
      <c r="F197" t="s">
        <v>26</v>
      </c>
      <c r="G197" t="s">
        <v>50</v>
      </c>
      <c r="H197">
        <v>6</v>
      </c>
      <c r="I197" s="3">
        <v>5385.56</v>
      </c>
      <c r="J197" s="3">
        <f t="shared" si="3"/>
        <v>32313.360000000001</v>
      </c>
    </row>
    <row r="198" spans="1:10" x14ac:dyDescent="0.3">
      <c r="A198" s="9">
        <v>45259</v>
      </c>
      <c r="B198" t="s">
        <v>82</v>
      </c>
      <c r="C198" t="s">
        <v>17</v>
      </c>
      <c r="D198" t="s">
        <v>12</v>
      </c>
      <c r="E198" t="s">
        <v>13</v>
      </c>
      <c r="F198" t="s">
        <v>68</v>
      </c>
      <c r="G198" t="s">
        <v>86</v>
      </c>
      <c r="H198">
        <v>6</v>
      </c>
      <c r="I198" s="3">
        <v>306.69</v>
      </c>
      <c r="J198" s="3">
        <f t="shared" si="3"/>
        <v>1840.1399999999999</v>
      </c>
    </row>
    <row r="199" spans="1:10" x14ac:dyDescent="0.3">
      <c r="A199" s="9">
        <v>44977</v>
      </c>
      <c r="B199" t="s">
        <v>35</v>
      </c>
      <c r="C199" t="s">
        <v>61</v>
      </c>
      <c r="D199" t="s">
        <v>37</v>
      </c>
      <c r="E199" t="s">
        <v>25</v>
      </c>
      <c r="F199" t="s">
        <v>26</v>
      </c>
      <c r="G199" t="s">
        <v>27</v>
      </c>
      <c r="H199">
        <v>14</v>
      </c>
      <c r="I199" s="3">
        <v>6599.45</v>
      </c>
      <c r="J199" s="3">
        <f t="shared" si="3"/>
        <v>92392.3</v>
      </c>
    </row>
    <row r="200" spans="1:10" x14ac:dyDescent="0.3">
      <c r="A200" s="9">
        <v>45379</v>
      </c>
      <c r="B200" t="s">
        <v>22</v>
      </c>
      <c r="C200" t="s">
        <v>61</v>
      </c>
      <c r="D200" t="s">
        <v>37</v>
      </c>
      <c r="E200" t="s">
        <v>25</v>
      </c>
      <c r="F200" t="s">
        <v>55</v>
      </c>
      <c r="G200" t="s">
        <v>67</v>
      </c>
      <c r="H200">
        <v>4</v>
      </c>
      <c r="I200" s="3">
        <v>1339.07</v>
      </c>
      <c r="J200" s="3">
        <f t="shared" si="3"/>
        <v>5356.28</v>
      </c>
    </row>
    <row r="201" spans="1:10" x14ac:dyDescent="0.3">
      <c r="A201" s="9">
        <v>45040</v>
      </c>
      <c r="B201" t="s">
        <v>63</v>
      </c>
      <c r="C201" t="s">
        <v>79</v>
      </c>
      <c r="D201" t="s">
        <v>80</v>
      </c>
      <c r="E201" t="s">
        <v>13</v>
      </c>
      <c r="F201" t="s">
        <v>18</v>
      </c>
      <c r="G201" t="s">
        <v>38</v>
      </c>
      <c r="H201">
        <v>2</v>
      </c>
      <c r="I201" s="3">
        <v>557.96</v>
      </c>
      <c r="J201" s="3">
        <f t="shared" si="3"/>
        <v>1115.92</v>
      </c>
    </row>
    <row r="202" spans="1:10" x14ac:dyDescent="0.3">
      <c r="A202" s="9">
        <v>45540</v>
      </c>
      <c r="B202" t="s">
        <v>39</v>
      </c>
      <c r="C202" t="s">
        <v>11</v>
      </c>
      <c r="D202" t="s">
        <v>12</v>
      </c>
      <c r="E202" t="s">
        <v>13</v>
      </c>
      <c r="F202" t="s">
        <v>55</v>
      </c>
      <c r="G202" t="s">
        <v>64</v>
      </c>
      <c r="H202">
        <v>7</v>
      </c>
      <c r="I202" s="3">
        <v>2732.25</v>
      </c>
      <c r="J202" s="3">
        <f t="shared" si="3"/>
        <v>19125.75</v>
      </c>
    </row>
    <row r="203" spans="1:10" x14ac:dyDescent="0.3">
      <c r="A203" s="9">
        <v>45188</v>
      </c>
      <c r="B203" t="s">
        <v>63</v>
      </c>
      <c r="C203" t="s">
        <v>65</v>
      </c>
      <c r="D203" t="s">
        <v>66</v>
      </c>
      <c r="E203" t="s">
        <v>54</v>
      </c>
      <c r="F203" t="s">
        <v>68</v>
      </c>
      <c r="G203" t="s">
        <v>73</v>
      </c>
      <c r="H203">
        <v>16</v>
      </c>
      <c r="I203" s="3">
        <v>303.87</v>
      </c>
      <c r="J203" s="3">
        <f t="shared" si="3"/>
        <v>4861.92</v>
      </c>
    </row>
    <row r="204" spans="1:10" x14ac:dyDescent="0.3">
      <c r="A204" s="9">
        <v>45106</v>
      </c>
      <c r="B204" t="s">
        <v>51</v>
      </c>
      <c r="C204" t="s">
        <v>44</v>
      </c>
      <c r="D204" t="s">
        <v>45</v>
      </c>
      <c r="E204" t="s">
        <v>46</v>
      </c>
      <c r="F204" t="s">
        <v>18</v>
      </c>
      <c r="G204" t="s">
        <v>21</v>
      </c>
      <c r="H204">
        <v>17</v>
      </c>
      <c r="I204" s="3">
        <v>1183.6400000000001</v>
      </c>
      <c r="J204" s="3">
        <f t="shared" si="3"/>
        <v>20121.88</v>
      </c>
    </row>
    <row r="205" spans="1:10" x14ac:dyDescent="0.3">
      <c r="A205" s="9">
        <v>45611</v>
      </c>
      <c r="B205" t="s">
        <v>81</v>
      </c>
      <c r="C205" t="s">
        <v>17</v>
      </c>
      <c r="D205" t="s">
        <v>12</v>
      </c>
      <c r="E205" t="s">
        <v>13</v>
      </c>
      <c r="F205" t="s">
        <v>26</v>
      </c>
      <c r="G205" t="s">
        <v>27</v>
      </c>
      <c r="H205">
        <v>2</v>
      </c>
      <c r="I205" s="3">
        <v>6080.31</v>
      </c>
      <c r="J205" s="3">
        <f t="shared" si="3"/>
        <v>12160.62</v>
      </c>
    </row>
    <row r="206" spans="1:10" x14ac:dyDescent="0.3">
      <c r="A206" s="9">
        <v>45397</v>
      </c>
      <c r="B206" t="s">
        <v>35</v>
      </c>
      <c r="C206" t="s">
        <v>65</v>
      </c>
      <c r="D206" t="s">
        <v>66</v>
      </c>
      <c r="E206" t="s">
        <v>54</v>
      </c>
      <c r="F206" t="s">
        <v>18</v>
      </c>
      <c r="G206" t="s">
        <v>19</v>
      </c>
      <c r="H206">
        <v>19</v>
      </c>
      <c r="I206" s="3">
        <v>898.18</v>
      </c>
      <c r="J206" s="3">
        <f t="shared" si="3"/>
        <v>17065.419999999998</v>
      </c>
    </row>
    <row r="207" spans="1:10" x14ac:dyDescent="0.3">
      <c r="A207" s="9">
        <v>45582</v>
      </c>
      <c r="B207" t="s">
        <v>22</v>
      </c>
      <c r="C207" t="s">
        <v>36</v>
      </c>
      <c r="D207" t="s">
        <v>37</v>
      </c>
      <c r="E207" t="s">
        <v>25</v>
      </c>
      <c r="F207" t="s">
        <v>68</v>
      </c>
      <c r="G207" t="s">
        <v>76</v>
      </c>
      <c r="H207">
        <v>1</v>
      </c>
      <c r="I207" s="3">
        <v>387.16</v>
      </c>
      <c r="J207" s="3">
        <f t="shared" si="3"/>
        <v>387.16</v>
      </c>
    </row>
    <row r="208" spans="1:10" x14ac:dyDescent="0.3">
      <c r="A208" s="9">
        <v>45102</v>
      </c>
      <c r="B208" t="s">
        <v>60</v>
      </c>
      <c r="C208" t="s">
        <v>41</v>
      </c>
      <c r="D208" t="s">
        <v>42</v>
      </c>
      <c r="E208" t="s">
        <v>25</v>
      </c>
      <c r="F208" t="s">
        <v>14</v>
      </c>
      <c r="G208" t="s">
        <v>40</v>
      </c>
      <c r="H208">
        <v>14</v>
      </c>
      <c r="I208" s="3">
        <v>1028.93</v>
      </c>
      <c r="J208" s="3">
        <f t="shared" si="3"/>
        <v>14405.02</v>
      </c>
    </row>
    <row r="209" spans="1:10" x14ac:dyDescent="0.3">
      <c r="A209" s="9">
        <v>45176</v>
      </c>
      <c r="B209" t="s">
        <v>22</v>
      </c>
      <c r="C209" t="s">
        <v>44</v>
      </c>
      <c r="D209" t="s">
        <v>45</v>
      </c>
      <c r="E209" t="s">
        <v>46</v>
      </c>
      <c r="F209" t="s">
        <v>18</v>
      </c>
      <c r="G209" t="s">
        <v>75</v>
      </c>
      <c r="H209">
        <v>13</v>
      </c>
      <c r="I209" s="3">
        <v>1760.47</v>
      </c>
      <c r="J209" s="3">
        <f t="shared" si="3"/>
        <v>22886.11</v>
      </c>
    </row>
    <row r="210" spans="1:10" x14ac:dyDescent="0.3">
      <c r="A210" s="9">
        <v>45274</v>
      </c>
      <c r="B210" t="s">
        <v>20</v>
      </c>
      <c r="C210" t="s">
        <v>65</v>
      </c>
      <c r="D210" t="s">
        <v>66</v>
      </c>
      <c r="E210" t="s">
        <v>54</v>
      </c>
      <c r="F210" t="s">
        <v>55</v>
      </c>
      <c r="G210" t="s">
        <v>74</v>
      </c>
      <c r="H210">
        <v>17</v>
      </c>
      <c r="I210" s="3">
        <v>2289.64</v>
      </c>
      <c r="J210" s="3">
        <f t="shared" si="3"/>
        <v>38923.879999999997</v>
      </c>
    </row>
    <row r="211" spans="1:10" x14ac:dyDescent="0.3">
      <c r="A211" s="9">
        <v>45470</v>
      </c>
      <c r="B211" t="s">
        <v>77</v>
      </c>
      <c r="C211" t="s">
        <v>49</v>
      </c>
      <c r="D211" t="s">
        <v>24</v>
      </c>
      <c r="E211" t="s">
        <v>25</v>
      </c>
      <c r="F211" t="s">
        <v>14</v>
      </c>
      <c r="G211" t="s">
        <v>31</v>
      </c>
      <c r="H211">
        <v>24</v>
      </c>
      <c r="I211" s="3">
        <v>1154.05</v>
      </c>
      <c r="J211" s="3">
        <f t="shared" si="3"/>
        <v>27697.199999999997</v>
      </c>
    </row>
    <row r="212" spans="1:10" x14ac:dyDescent="0.3">
      <c r="A212" s="9">
        <v>45587</v>
      </c>
      <c r="B212" t="s">
        <v>51</v>
      </c>
      <c r="C212" t="s">
        <v>23</v>
      </c>
      <c r="D212" t="s">
        <v>24</v>
      </c>
      <c r="E212" t="s">
        <v>25</v>
      </c>
      <c r="F212" t="s">
        <v>68</v>
      </c>
      <c r="G212" t="s">
        <v>86</v>
      </c>
      <c r="H212">
        <v>9</v>
      </c>
      <c r="I212" s="3">
        <v>94.96</v>
      </c>
      <c r="J212" s="3">
        <f t="shared" si="3"/>
        <v>854.64</v>
      </c>
    </row>
    <row r="213" spans="1:10" x14ac:dyDescent="0.3">
      <c r="A213" s="9">
        <v>45543</v>
      </c>
      <c r="B213" t="s">
        <v>51</v>
      </c>
      <c r="C213" t="s">
        <v>17</v>
      </c>
      <c r="D213" t="s">
        <v>12</v>
      </c>
      <c r="E213" t="s">
        <v>13</v>
      </c>
      <c r="F213" t="s">
        <v>55</v>
      </c>
      <c r="G213" t="s">
        <v>59</v>
      </c>
      <c r="H213">
        <v>15</v>
      </c>
      <c r="I213" s="3">
        <v>2689.67</v>
      </c>
      <c r="J213" s="3">
        <f t="shared" si="3"/>
        <v>40345.050000000003</v>
      </c>
    </row>
    <row r="214" spans="1:10" x14ac:dyDescent="0.3">
      <c r="A214" s="9">
        <v>45520</v>
      </c>
      <c r="B214" t="s">
        <v>43</v>
      </c>
      <c r="C214" t="s">
        <v>65</v>
      </c>
      <c r="D214" t="s">
        <v>66</v>
      </c>
      <c r="E214" t="s">
        <v>54</v>
      </c>
      <c r="F214" t="s">
        <v>14</v>
      </c>
      <c r="G214" t="s">
        <v>15</v>
      </c>
      <c r="H214">
        <v>15</v>
      </c>
      <c r="I214" s="3">
        <v>175.11</v>
      </c>
      <c r="J214" s="3">
        <f t="shared" si="3"/>
        <v>2626.65</v>
      </c>
    </row>
    <row r="215" spans="1:10" x14ac:dyDescent="0.3">
      <c r="A215" s="9">
        <v>45379</v>
      </c>
      <c r="B215" t="s">
        <v>63</v>
      </c>
      <c r="C215" t="s">
        <v>61</v>
      </c>
      <c r="D215" t="s">
        <v>37</v>
      </c>
      <c r="E215" t="s">
        <v>25</v>
      </c>
      <c r="F215" t="s">
        <v>18</v>
      </c>
      <c r="G215" t="s">
        <v>75</v>
      </c>
      <c r="H215">
        <v>12</v>
      </c>
      <c r="I215" s="3">
        <v>1088.57</v>
      </c>
      <c r="J215" s="3">
        <f t="shared" si="3"/>
        <v>13062.84</v>
      </c>
    </row>
    <row r="216" spans="1:10" x14ac:dyDescent="0.3">
      <c r="A216" s="9">
        <v>45244</v>
      </c>
      <c r="B216" t="s">
        <v>43</v>
      </c>
      <c r="C216" t="s">
        <v>41</v>
      </c>
      <c r="D216" t="s">
        <v>42</v>
      </c>
      <c r="E216" t="s">
        <v>25</v>
      </c>
      <c r="F216" t="s">
        <v>68</v>
      </c>
      <c r="G216" t="s">
        <v>73</v>
      </c>
      <c r="H216">
        <v>12</v>
      </c>
      <c r="I216" s="3">
        <v>336.04</v>
      </c>
      <c r="J216" s="3">
        <f t="shared" si="3"/>
        <v>4032.4800000000005</v>
      </c>
    </row>
    <row r="217" spans="1:10" x14ac:dyDescent="0.3">
      <c r="A217" s="9">
        <v>45005</v>
      </c>
      <c r="B217" t="s">
        <v>35</v>
      </c>
      <c r="C217" t="s">
        <v>44</v>
      </c>
      <c r="D217" t="s">
        <v>45</v>
      </c>
      <c r="E217" t="s">
        <v>46</v>
      </c>
      <c r="F217" t="s">
        <v>26</v>
      </c>
      <c r="G217" t="s">
        <v>27</v>
      </c>
      <c r="H217">
        <v>18</v>
      </c>
      <c r="I217" s="3">
        <v>11519.43</v>
      </c>
      <c r="J217" s="3">
        <f t="shared" si="3"/>
        <v>207349.74</v>
      </c>
    </row>
    <row r="218" spans="1:10" x14ac:dyDescent="0.3">
      <c r="A218" s="9">
        <v>44969</v>
      </c>
      <c r="B218" t="s">
        <v>43</v>
      </c>
      <c r="C218" t="s">
        <v>49</v>
      </c>
      <c r="D218" t="s">
        <v>24</v>
      </c>
      <c r="E218" t="s">
        <v>25</v>
      </c>
      <c r="F218" t="s">
        <v>14</v>
      </c>
      <c r="G218" t="s">
        <v>47</v>
      </c>
      <c r="H218">
        <v>17</v>
      </c>
      <c r="I218" s="3">
        <v>265.95</v>
      </c>
      <c r="J218" s="3">
        <f t="shared" si="3"/>
        <v>4521.1499999999996</v>
      </c>
    </row>
    <row r="219" spans="1:10" x14ac:dyDescent="0.3">
      <c r="A219" s="9">
        <v>44990</v>
      </c>
      <c r="B219" t="s">
        <v>43</v>
      </c>
      <c r="C219" t="s">
        <v>72</v>
      </c>
      <c r="D219" t="s">
        <v>58</v>
      </c>
      <c r="E219" t="s">
        <v>46</v>
      </c>
      <c r="F219" t="s">
        <v>14</v>
      </c>
      <c r="G219" t="s">
        <v>40</v>
      </c>
      <c r="H219">
        <v>17</v>
      </c>
      <c r="I219" s="3">
        <v>810.74</v>
      </c>
      <c r="J219" s="3">
        <f t="shared" si="3"/>
        <v>13782.58</v>
      </c>
    </row>
    <row r="220" spans="1:10" x14ac:dyDescent="0.3">
      <c r="A220" s="9">
        <v>44967</v>
      </c>
      <c r="B220" t="s">
        <v>20</v>
      </c>
      <c r="C220" t="s">
        <v>41</v>
      </c>
      <c r="D220" t="s">
        <v>42</v>
      </c>
      <c r="E220" t="s">
        <v>25</v>
      </c>
      <c r="F220" t="s">
        <v>26</v>
      </c>
      <c r="G220" t="s">
        <v>27</v>
      </c>
      <c r="H220">
        <v>17</v>
      </c>
      <c r="I220" s="3">
        <v>7902.96</v>
      </c>
      <c r="J220" s="3">
        <f t="shared" si="3"/>
        <v>134350.32</v>
      </c>
    </row>
    <row r="221" spans="1:10" x14ac:dyDescent="0.3">
      <c r="A221" s="9">
        <v>45299</v>
      </c>
      <c r="B221" t="s">
        <v>81</v>
      </c>
      <c r="C221" t="s">
        <v>36</v>
      </c>
      <c r="D221" t="s">
        <v>37</v>
      </c>
      <c r="E221" t="s">
        <v>25</v>
      </c>
      <c r="F221" t="s">
        <v>26</v>
      </c>
      <c r="G221" t="s">
        <v>50</v>
      </c>
      <c r="H221">
        <v>25</v>
      </c>
      <c r="I221" s="3">
        <v>5052.8599999999997</v>
      </c>
      <c r="J221" s="3">
        <f t="shared" si="3"/>
        <v>126321.49999999999</v>
      </c>
    </row>
    <row r="222" spans="1:10" x14ac:dyDescent="0.3">
      <c r="A222" s="9">
        <v>45539</v>
      </c>
      <c r="B222" t="s">
        <v>39</v>
      </c>
      <c r="C222" t="s">
        <v>65</v>
      </c>
      <c r="D222" t="s">
        <v>66</v>
      </c>
      <c r="E222" t="s">
        <v>54</v>
      </c>
      <c r="F222" t="s">
        <v>68</v>
      </c>
      <c r="G222" t="s">
        <v>83</v>
      </c>
      <c r="H222">
        <v>4</v>
      </c>
      <c r="I222" s="3">
        <v>232.03</v>
      </c>
      <c r="J222" s="3">
        <f t="shared" si="3"/>
        <v>928.12</v>
      </c>
    </row>
    <row r="223" spans="1:10" x14ac:dyDescent="0.3">
      <c r="A223" s="9">
        <v>45322</v>
      </c>
      <c r="B223" t="s">
        <v>63</v>
      </c>
      <c r="C223" t="s">
        <v>61</v>
      </c>
      <c r="D223" t="s">
        <v>37</v>
      </c>
      <c r="E223" t="s">
        <v>25</v>
      </c>
      <c r="F223" t="s">
        <v>18</v>
      </c>
      <c r="G223" t="s">
        <v>21</v>
      </c>
      <c r="H223">
        <v>11</v>
      </c>
      <c r="I223" s="3">
        <v>300.77999999999997</v>
      </c>
      <c r="J223" s="3">
        <f t="shared" si="3"/>
        <v>3308.58</v>
      </c>
    </row>
    <row r="224" spans="1:10" x14ac:dyDescent="0.3">
      <c r="A224" s="9">
        <v>45606</v>
      </c>
      <c r="B224" t="s">
        <v>51</v>
      </c>
      <c r="C224" t="s">
        <v>52</v>
      </c>
      <c r="D224" t="s">
        <v>53</v>
      </c>
      <c r="E224" t="s">
        <v>54</v>
      </c>
      <c r="F224" t="s">
        <v>14</v>
      </c>
      <c r="G224" t="s">
        <v>47</v>
      </c>
      <c r="H224">
        <v>5</v>
      </c>
      <c r="I224" s="3">
        <v>754.55</v>
      </c>
      <c r="J224" s="3">
        <f t="shared" si="3"/>
        <v>3772.75</v>
      </c>
    </row>
    <row r="225" spans="1:10" x14ac:dyDescent="0.3">
      <c r="A225" s="9">
        <v>45013</v>
      </c>
      <c r="B225" t="s">
        <v>63</v>
      </c>
      <c r="C225" t="s">
        <v>44</v>
      </c>
      <c r="D225" t="s">
        <v>45</v>
      </c>
      <c r="E225" t="s">
        <v>46</v>
      </c>
      <c r="F225" t="s">
        <v>14</v>
      </c>
      <c r="G225" t="s">
        <v>15</v>
      </c>
      <c r="H225">
        <v>22</v>
      </c>
      <c r="I225" s="3">
        <v>873.11</v>
      </c>
      <c r="J225" s="3">
        <f t="shared" si="3"/>
        <v>19208.420000000002</v>
      </c>
    </row>
    <row r="226" spans="1:10" x14ac:dyDescent="0.3">
      <c r="A226" s="9">
        <v>45628</v>
      </c>
      <c r="B226" t="s">
        <v>77</v>
      </c>
      <c r="C226" t="s">
        <v>17</v>
      </c>
      <c r="D226" t="s">
        <v>12</v>
      </c>
      <c r="E226" t="s">
        <v>13</v>
      </c>
      <c r="F226" t="s">
        <v>26</v>
      </c>
      <c r="G226" t="s">
        <v>27</v>
      </c>
      <c r="H226">
        <v>12</v>
      </c>
      <c r="I226" s="3">
        <v>1691.42</v>
      </c>
      <c r="J226" s="3">
        <f t="shared" si="3"/>
        <v>20297.04</v>
      </c>
    </row>
    <row r="227" spans="1:10" x14ac:dyDescent="0.3">
      <c r="A227" s="9">
        <v>45243</v>
      </c>
      <c r="B227" t="s">
        <v>28</v>
      </c>
      <c r="C227" t="s">
        <v>49</v>
      </c>
      <c r="D227" t="s">
        <v>24</v>
      </c>
      <c r="E227" t="s">
        <v>25</v>
      </c>
      <c r="F227" t="s">
        <v>14</v>
      </c>
      <c r="G227" t="s">
        <v>47</v>
      </c>
      <c r="H227">
        <v>7</v>
      </c>
      <c r="I227" s="3">
        <v>349.2</v>
      </c>
      <c r="J227" s="3">
        <f t="shared" si="3"/>
        <v>2444.4</v>
      </c>
    </row>
    <row r="228" spans="1:10" x14ac:dyDescent="0.3">
      <c r="A228" s="9">
        <v>45067</v>
      </c>
      <c r="B228" t="s">
        <v>51</v>
      </c>
      <c r="C228" t="s">
        <v>17</v>
      </c>
      <c r="D228" t="s">
        <v>12</v>
      </c>
      <c r="E228" t="s">
        <v>13</v>
      </c>
      <c r="F228" t="s">
        <v>14</v>
      </c>
      <c r="G228" t="s">
        <v>40</v>
      </c>
      <c r="H228">
        <v>17</v>
      </c>
      <c r="I228" s="3">
        <v>947.96</v>
      </c>
      <c r="J228" s="3">
        <f t="shared" si="3"/>
        <v>16115.32</v>
      </c>
    </row>
    <row r="229" spans="1:10" x14ac:dyDescent="0.3">
      <c r="A229" s="9">
        <v>45466</v>
      </c>
      <c r="B229" t="s">
        <v>39</v>
      </c>
      <c r="C229" t="s">
        <v>65</v>
      </c>
      <c r="D229" t="s">
        <v>66</v>
      </c>
      <c r="E229" t="s">
        <v>54</v>
      </c>
      <c r="F229" t="s">
        <v>18</v>
      </c>
      <c r="G229" t="s">
        <v>21</v>
      </c>
      <c r="H229">
        <v>20</v>
      </c>
      <c r="I229" s="3">
        <v>846.93</v>
      </c>
      <c r="J229" s="3">
        <f t="shared" si="3"/>
        <v>16938.599999999999</v>
      </c>
    </row>
    <row r="230" spans="1:10" x14ac:dyDescent="0.3">
      <c r="A230" s="9">
        <v>45093</v>
      </c>
      <c r="B230" t="s">
        <v>28</v>
      </c>
      <c r="C230" t="s">
        <v>78</v>
      </c>
      <c r="D230" t="s">
        <v>58</v>
      </c>
      <c r="E230" t="s">
        <v>46</v>
      </c>
      <c r="F230" t="s">
        <v>26</v>
      </c>
      <c r="G230" t="s">
        <v>32</v>
      </c>
      <c r="H230">
        <v>14</v>
      </c>
      <c r="I230" s="3">
        <v>5325.14</v>
      </c>
      <c r="J230" s="3">
        <f t="shared" si="3"/>
        <v>74551.960000000006</v>
      </c>
    </row>
    <row r="231" spans="1:10" x14ac:dyDescent="0.3">
      <c r="A231" s="9">
        <v>45170</v>
      </c>
      <c r="B231" t="s">
        <v>43</v>
      </c>
      <c r="C231" t="s">
        <v>36</v>
      </c>
      <c r="D231" t="s">
        <v>37</v>
      </c>
      <c r="E231" t="s">
        <v>25</v>
      </c>
      <c r="F231" t="s">
        <v>26</v>
      </c>
      <c r="G231" t="s">
        <v>32</v>
      </c>
      <c r="H231">
        <v>18</v>
      </c>
      <c r="I231" s="3">
        <v>4011.27</v>
      </c>
      <c r="J231" s="3">
        <f t="shared" si="3"/>
        <v>72202.86</v>
      </c>
    </row>
    <row r="232" spans="1:10" x14ac:dyDescent="0.3">
      <c r="A232" s="9">
        <v>45407</v>
      </c>
      <c r="B232" t="s">
        <v>71</v>
      </c>
      <c r="C232" t="s">
        <v>52</v>
      </c>
      <c r="D232" t="s">
        <v>53</v>
      </c>
      <c r="E232" t="s">
        <v>54</v>
      </c>
      <c r="F232" t="s">
        <v>18</v>
      </c>
      <c r="G232" t="s">
        <v>19</v>
      </c>
      <c r="H232">
        <v>15</v>
      </c>
      <c r="I232" s="3">
        <v>1573.46</v>
      </c>
      <c r="J232" s="3">
        <f t="shared" si="3"/>
        <v>23601.9</v>
      </c>
    </row>
    <row r="233" spans="1:10" x14ac:dyDescent="0.3">
      <c r="A233" s="9">
        <v>45318</v>
      </c>
      <c r="B233" t="s">
        <v>77</v>
      </c>
      <c r="C233" t="s">
        <v>29</v>
      </c>
      <c r="D233" t="s">
        <v>30</v>
      </c>
      <c r="E233" t="s">
        <v>13</v>
      </c>
      <c r="F233" t="s">
        <v>55</v>
      </c>
      <c r="G233" t="s">
        <v>56</v>
      </c>
      <c r="H233">
        <v>20</v>
      </c>
      <c r="I233" s="3">
        <v>656.72</v>
      </c>
      <c r="J233" s="3">
        <f t="shared" si="3"/>
        <v>13134.400000000001</v>
      </c>
    </row>
    <row r="234" spans="1:10" x14ac:dyDescent="0.3">
      <c r="A234" s="9">
        <v>45183</v>
      </c>
      <c r="B234" t="s">
        <v>39</v>
      </c>
      <c r="C234" t="s">
        <v>79</v>
      </c>
      <c r="D234" t="s">
        <v>80</v>
      </c>
      <c r="E234" t="s">
        <v>13</v>
      </c>
      <c r="F234" t="s">
        <v>14</v>
      </c>
      <c r="G234" t="s">
        <v>40</v>
      </c>
      <c r="H234">
        <v>23</v>
      </c>
      <c r="I234" s="3">
        <v>1030.48</v>
      </c>
      <c r="J234" s="3">
        <f t="shared" si="3"/>
        <v>23701.040000000001</v>
      </c>
    </row>
    <row r="235" spans="1:10" x14ac:dyDescent="0.3">
      <c r="A235" s="9">
        <v>45054</v>
      </c>
      <c r="B235" t="s">
        <v>63</v>
      </c>
      <c r="C235" t="s">
        <v>17</v>
      </c>
      <c r="D235" t="s">
        <v>12</v>
      </c>
      <c r="E235" t="s">
        <v>13</v>
      </c>
      <c r="F235" t="s">
        <v>55</v>
      </c>
      <c r="G235" t="s">
        <v>64</v>
      </c>
      <c r="H235">
        <v>15</v>
      </c>
      <c r="I235" s="3">
        <v>3187.51</v>
      </c>
      <c r="J235" s="3">
        <f t="shared" si="3"/>
        <v>47812.65</v>
      </c>
    </row>
    <row r="236" spans="1:10" x14ac:dyDescent="0.3">
      <c r="A236" s="9">
        <v>45077</v>
      </c>
      <c r="B236" t="s">
        <v>22</v>
      </c>
      <c r="C236" t="s">
        <v>17</v>
      </c>
      <c r="D236" t="s">
        <v>12</v>
      </c>
      <c r="E236" t="s">
        <v>13</v>
      </c>
      <c r="F236" t="s">
        <v>55</v>
      </c>
      <c r="G236" t="s">
        <v>59</v>
      </c>
      <c r="H236">
        <v>12</v>
      </c>
      <c r="I236" s="3">
        <v>3270.56</v>
      </c>
      <c r="J236" s="3">
        <f t="shared" si="3"/>
        <v>39246.720000000001</v>
      </c>
    </row>
    <row r="237" spans="1:10" x14ac:dyDescent="0.3">
      <c r="A237" s="9">
        <v>45351</v>
      </c>
      <c r="B237" t="s">
        <v>39</v>
      </c>
      <c r="C237" t="s">
        <v>44</v>
      </c>
      <c r="D237" t="s">
        <v>45</v>
      </c>
      <c r="E237" t="s">
        <v>46</v>
      </c>
      <c r="F237" t="s">
        <v>18</v>
      </c>
      <c r="G237" t="s">
        <v>38</v>
      </c>
      <c r="H237">
        <v>8</v>
      </c>
      <c r="I237" s="3">
        <v>864.41</v>
      </c>
      <c r="J237" s="3">
        <f t="shared" si="3"/>
        <v>6915.28</v>
      </c>
    </row>
    <row r="238" spans="1:10" x14ac:dyDescent="0.3">
      <c r="A238" s="9">
        <v>45010</v>
      </c>
      <c r="B238" t="s">
        <v>81</v>
      </c>
      <c r="C238" t="s">
        <v>23</v>
      </c>
      <c r="D238" t="s">
        <v>24</v>
      </c>
      <c r="E238" t="s">
        <v>25</v>
      </c>
      <c r="F238" t="s">
        <v>68</v>
      </c>
      <c r="G238" t="s">
        <v>83</v>
      </c>
      <c r="H238">
        <v>4</v>
      </c>
      <c r="I238" s="3">
        <v>338.89</v>
      </c>
      <c r="J238" s="3">
        <f t="shared" si="3"/>
        <v>1355.56</v>
      </c>
    </row>
    <row r="239" spans="1:10" x14ac:dyDescent="0.3">
      <c r="A239" s="9">
        <v>45592</v>
      </c>
      <c r="B239" t="s">
        <v>48</v>
      </c>
      <c r="C239" t="s">
        <v>57</v>
      </c>
      <c r="D239" t="s">
        <v>58</v>
      </c>
      <c r="E239" t="s">
        <v>46</v>
      </c>
      <c r="F239" t="s">
        <v>55</v>
      </c>
      <c r="G239" t="s">
        <v>74</v>
      </c>
      <c r="H239">
        <v>10</v>
      </c>
      <c r="I239" s="3">
        <v>3227.41</v>
      </c>
      <c r="J239" s="3">
        <f t="shared" si="3"/>
        <v>32274.1</v>
      </c>
    </row>
    <row r="240" spans="1:10" x14ac:dyDescent="0.3">
      <c r="A240" s="9">
        <v>45410</v>
      </c>
      <c r="B240" t="s">
        <v>51</v>
      </c>
      <c r="C240" t="s">
        <v>79</v>
      </c>
      <c r="D240" t="s">
        <v>80</v>
      </c>
      <c r="E240" t="s">
        <v>13</v>
      </c>
      <c r="F240" t="s">
        <v>26</v>
      </c>
      <c r="G240" t="s">
        <v>27</v>
      </c>
      <c r="H240">
        <v>1</v>
      </c>
      <c r="I240" s="3">
        <v>11011.5</v>
      </c>
      <c r="J240" s="3">
        <f t="shared" si="3"/>
        <v>11011.5</v>
      </c>
    </row>
    <row r="241" spans="1:10" x14ac:dyDescent="0.3">
      <c r="A241" s="9">
        <v>44946</v>
      </c>
      <c r="B241" t="s">
        <v>33</v>
      </c>
      <c r="C241" t="s">
        <v>49</v>
      </c>
      <c r="D241" t="s">
        <v>24</v>
      </c>
      <c r="E241" t="s">
        <v>25</v>
      </c>
      <c r="F241" t="s">
        <v>55</v>
      </c>
      <c r="G241" t="s">
        <v>67</v>
      </c>
      <c r="H241">
        <v>24</v>
      </c>
      <c r="I241" s="3">
        <v>2209.3000000000002</v>
      </c>
      <c r="J241" s="3">
        <f t="shared" si="3"/>
        <v>53023.200000000004</v>
      </c>
    </row>
    <row r="242" spans="1:10" x14ac:dyDescent="0.3">
      <c r="A242" s="9">
        <v>45360</v>
      </c>
      <c r="B242" t="s">
        <v>10</v>
      </c>
      <c r="C242" t="s">
        <v>36</v>
      </c>
      <c r="D242" t="s">
        <v>37</v>
      </c>
      <c r="E242" t="s">
        <v>25</v>
      </c>
      <c r="F242" t="s">
        <v>55</v>
      </c>
      <c r="G242" t="s">
        <v>64</v>
      </c>
      <c r="H242">
        <v>4</v>
      </c>
      <c r="I242" s="3">
        <v>357.57</v>
      </c>
      <c r="J242" s="3">
        <f t="shared" si="3"/>
        <v>1430.28</v>
      </c>
    </row>
    <row r="243" spans="1:10" x14ac:dyDescent="0.3">
      <c r="A243" s="9">
        <v>45356</v>
      </c>
      <c r="B243" t="s">
        <v>60</v>
      </c>
      <c r="C243" t="s">
        <v>41</v>
      </c>
      <c r="D243" t="s">
        <v>42</v>
      </c>
      <c r="E243" t="s">
        <v>25</v>
      </c>
      <c r="F243" t="s">
        <v>68</v>
      </c>
      <c r="G243" t="s">
        <v>73</v>
      </c>
      <c r="H243">
        <v>16</v>
      </c>
      <c r="I243" s="3">
        <v>246.76</v>
      </c>
      <c r="J243" s="3">
        <f t="shared" si="3"/>
        <v>3948.16</v>
      </c>
    </row>
    <row r="244" spans="1:10" x14ac:dyDescent="0.3">
      <c r="A244" s="9">
        <v>44943</v>
      </c>
      <c r="B244" t="s">
        <v>77</v>
      </c>
      <c r="C244" t="s">
        <v>23</v>
      </c>
      <c r="D244" t="s">
        <v>24</v>
      </c>
      <c r="E244" t="s">
        <v>25</v>
      </c>
      <c r="F244" t="s">
        <v>55</v>
      </c>
      <c r="G244" t="s">
        <v>64</v>
      </c>
      <c r="H244">
        <v>14</v>
      </c>
      <c r="I244" s="3">
        <v>205.16</v>
      </c>
      <c r="J244" s="3">
        <f t="shared" si="3"/>
        <v>2872.24</v>
      </c>
    </row>
    <row r="245" spans="1:10" x14ac:dyDescent="0.3">
      <c r="A245" s="9">
        <v>45288</v>
      </c>
      <c r="B245" t="s">
        <v>20</v>
      </c>
      <c r="C245" t="s">
        <v>29</v>
      </c>
      <c r="D245" t="s">
        <v>30</v>
      </c>
      <c r="E245" t="s">
        <v>13</v>
      </c>
      <c r="F245" t="s">
        <v>55</v>
      </c>
      <c r="G245" t="s">
        <v>74</v>
      </c>
      <c r="H245">
        <v>17</v>
      </c>
      <c r="I245" s="3">
        <v>3416.36</v>
      </c>
      <c r="J245" s="3">
        <f t="shared" si="3"/>
        <v>58078.12</v>
      </c>
    </row>
    <row r="246" spans="1:10" x14ac:dyDescent="0.3">
      <c r="A246" s="9">
        <v>44996</v>
      </c>
      <c r="B246" t="s">
        <v>77</v>
      </c>
      <c r="C246" t="s">
        <v>11</v>
      </c>
      <c r="D246" t="s">
        <v>12</v>
      </c>
      <c r="E246" t="s">
        <v>13</v>
      </c>
      <c r="F246" t="s">
        <v>26</v>
      </c>
      <c r="G246" t="s">
        <v>50</v>
      </c>
      <c r="H246">
        <v>2</v>
      </c>
      <c r="I246" s="3">
        <v>8174.54</v>
      </c>
      <c r="J246" s="3">
        <f t="shared" si="3"/>
        <v>16349.08</v>
      </c>
    </row>
    <row r="247" spans="1:10" x14ac:dyDescent="0.3">
      <c r="A247" s="9">
        <v>45309</v>
      </c>
      <c r="B247" t="s">
        <v>33</v>
      </c>
      <c r="C247" t="s">
        <v>11</v>
      </c>
      <c r="D247" t="s">
        <v>12</v>
      </c>
      <c r="E247" t="s">
        <v>13</v>
      </c>
      <c r="F247" t="s">
        <v>14</v>
      </c>
      <c r="G247" t="s">
        <v>40</v>
      </c>
      <c r="H247">
        <v>12</v>
      </c>
      <c r="I247" s="3">
        <v>365.24</v>
      </c>
      <c r="J247" s="3">
        <f t="shared" si="3"/>
        <v>4382.88</v>
      </c>
    </row>
    <row r="248" spans="1:10" x14ac:dyDescent="0.3">
      <c r="A248" s="9">
        <v>45599</v>
      </c>
      <c r="B248" t="s">
        <v>10</v>
      </c>
      <c r="C248" t="s">
        <v>65</v>
      </c>
      <c r="D248" t="s">
        <v>66</v>
      </c>
      <c r="E248" t="s">
        <v>54</v>
      </c>
      <c r="F248" t="s">
        <v>55</v>
      </c>
      <c r="G248" t="s">
        <v>74</v>
      </c>
      <c r="H248">
        <v>12</v>
      </c>
      <c r="I248" s="3">
        <v>2001.85</v>
      </c>
      <c r="J248" s="3">
        <f t="shared" si="3"/>
        <v>24022.199999999997</v>
      </c>
    </row>
    <row r="249" spans="1:10" x14ac:dyDescent="0.3">
      <c r="A249" s="9">
        <v>45585</v>
      </c>
      <c r="B249" t="s">
        <v>28</v>
      </c>
      <c r="C249" t="s">
        <v>41</v>
      </c>
      <c r="D249" t="s">
        <v>42</v>
      </c>
      <c r="E249" t="s">
        <v>25</v>
      </c>
      <c r="F249" t="s">
        <v>26</v>
      </c>
      <c r="G249" t="s">
        <v>27</v>
      </c>
      <c r="H249">
        <v>6</v>
      </c>
      <c r="I249" s="3">
        <v>10020.73</v>
      </c>
      <c r="J249" s="3">
        <f t="shared" si="3"/>
        <v>60124.38</v>
      </c>
    </row>
    <row r="250" spans="1:10" x14ac:dyDescent="0.3">
      <c r="A250" s="9">
        <v>44991</v>
      </c>
      <c r="B250" t="s">
        <v>43</v>
      </c>
      <c r="C250" t="s">
        <v>34</v>
      </c>
      <c r="D250" t="s">
        <v>12</v>
      </c>
      <c r="E250" t="s">
        <v>13</v>
      </c>
      <c r="F250" t="s">
        <v>14</v>
      </c>
      <c r="G250" t="s">
        <v>15</v>
      </c>
      <c r="H250">
        <v>2</v>
      </c>
      <c r="I250" s="3">
        <v>970.22</v>
      </c>
      <c r="J250" s="3">
        <f t="shared" si="3"/>
        <v>1940.44</v>
      </c>
    </row>
    <row r="251" spans="1:10" x14ac:dyDescent="0.3">
      <c r="A251" s="9">
        <v>44969</v>
      </c>
      <c r="B251" t="s">
        <v>48</v>
      </c>
      <c r="C251" t="s">
        <v>36</v>
      </c>
      <c r="D251" t="s">
        <v>37</v>
      </c>
      <c r="E251" t="s">
        <v>25</v>
      </c>
      <c r="F251" t="s">
        <v>18</v>
      </c>
      <c r="G251" t="s">
        <v>19</v>
      </c>
      <c r="H251">
        <v>18</v>
      </c>
      <c r="I251" s="3">
        <v>1025.79</v>
      </c>
      <c r="J251" s="3">
        <f t="shared" si="3"/>
        <v>18464.22</v>
      </c>
    </row>
    <row r="252" spans="1:10" x14ac:dyDescent="0.3">
      <c r="A252" s="9">
        <v>44964</v>
      </c>
      <c r="B252" t="s">
        <v>71</v>
      </c>
      <c r="C252" t="s">
        <v>36</v>
      </c>
      <c r="D252" t="s">
        <v>37</v>
      </c>
      <c r="E252" t="s">
        <v>25</v>
      </c>
      <c r="F252" t="s">
        <v>14</v>
      </c>
      <c r="G252" t="s">
        <v>40</v>
      </c>
      <c r="H252">
        <v>21</v>
      </c>
      <c r="I252" s="3">
        <v>465.12</v>
      </c>
      <c r="J252" s="3">
        <f t="shared" si="3"/>
        <v>9767.52</v>
      </c>
    </row>
    <row r="253" spans="1:10" x14ac:dyDescent="0.3">
      <c r="A253" s="9">
        <v>45054</v>
      </c>
      <c r="B253" t="s">
        <v>81</v>
      </c>
      <c r="C253" t="s">
        <v>29</v>
      </c>
      <c r="D253" t="s">
        <v>30</v>
      </c>
      <c r="E253" t="s">
        <v>13</v>
      </c>
      <c r="F253" t="s">
        <v>26</v>
      </c>
      <c r="G253" t="s">
        <v>27</v>
      </c>
      <c r="H253">
        <v>15</v>
      </c>
      <c r="I253" s="3">
        <v>10893.69</v>
      </c>
      <c r="J253" s="3">
        <f t="shared" si="3"/>
        <v>163405.35</v>
      </c>
    </row>
    <row r="254" spans="1:10" x14ac:dyDescent="0.3">
      <c r="A254" s="9">
        <v>45322</v>
      </c>
      <c r="B254" t="s">
        <v>48</v>
      </c>
      <c r="C254" t="s">
        <v>78</v>
      </c>
      <c r="D254" t="s">
        <v>58</v>
      </c>
      <c r="E254" t="s">
        <v>46</v>
      </c>
      <c r="F254" t="s">
        <v>26</v>
      </c>
      <c r="G254" t="s">
        <v>27</v>
      </c>
      <c r="H254">
        <v>16</v>
      </c>
      <c r="I254" s="3">
        <v>5357.14</v>
      </c>
      <c r="J254" s="3">
        <f t="shared" si="3"/>
        <v>85714.240000000005</v>
      </c>
    </row>
    <row r="255" spans="1:10" x14ac:dyDescent="0.3">
      <c r="A255" s="9">
        <v>45458</v>
      </c>
      <c r="B255" t="s">
        <v>33</v>
      </c>
      <c r="C255" t="s">
        <v>17</v>
      </c>
      <c r="D255" t="s">
        <v>12</v>
      </c>
      <c r="E255" t="s">
        <v>13</v>
      </c>
      <c r="F255" t="s">
        <v>26</v>
      </c>
      <c r="G255" t="s">
        <v>32</v>
      </c>
      <c r="H255">
        <v>14</v>
      </c>
      <c r="I255" s="3">
        <v>7825.76</v>
      </c>
      <c r="J255" s="3">
        <f t="shared" si="3"/>
        <v>109560.64</v>
      </c>
    </row>
    <row r="256" spans="1:10" x14ac:dyDescent="0.3">
      <c r="A256" s="9">
        <v>45111</v>
      </c>
      <c r="B256" t="s">
        <v>16</v>
      </c>
      <c r="C256" t="s">
        <v>36</v>
      </c>
      <c r="D256" t="s">
        <v>37</v>
      </c>
      <c r="E256" t="s">
        <v>25</v>
      </c>
      <c r="F256" t="s">
        <v>14</v>
      </c>
      <c r="G256" t="s">
        <v>40</v>
      </c>
      <c r="H256">
        <v>3</v>
      </c>
      <c r="I256" s="3">
        <v>460.71</v>
      </c>
      <c r="J256" s="3">
        <f t="shared" si="3"/>
        <v>1382.1299999999999</v>
      </c>
    </row>
    <row r="257" spans="1:10" x14ac:dyDescent="0.3">
      <c r="A257" s="9">
        <v>45229</v>
      </c>
      <c r="B257" t="s">
        <v>63</v>
      </c>
      <c r="C257" t="s">
        <v>41</v>
      </c>
      <c r="D257" t="s">
        <v>42</v>
      </c>
      <c r="E257" t="s">
        <v>25</v>
      </c>
      <c r="F257" t="s">
        <v>18</v>
      </c>
      <c r="G257" t="s">
        <v>19</v>
      </c>
      <c r="H257">
        <v>6</v>
      </c>
      <c r="I257" s="3">
        <v>1426.06</v>
      </c>
      <c r="J257" s="3">
        <f t="shared" si="3"/>
        <v>8556.36</v>
      </c>
    </row>
    <row r="258" spans="1:10" x14ac:dyDescent="0.3">
      <c r="A258" s="9">
        <v>45286</v>
      </c>
      <c r="B258" t="s">
        <v>43</v>
      </c>
      <c r="C258" t="s">
        <v>34</v>
      </c>
      <c r="D258" t="s">
        <v>12</v>
      </c>
      <c r="E258" t="s">
        <v>13</v>
      </c>
      <c r="F258" t="s">
        <v>14</v>
      </c>
      <c r="G258" t="s">
        <v>47</v>
      </c>
      <c r="H258">
        <v>9</v>
      </c>
      <c r="I258" s="3">
        <v>803.42</v>
      </c>
      <c r="J258" s="3">
        <f t="shared" si="3"/>
        <v>7230.78</v>
      </c>
    </row>
    <row r="259" spans="1:10" x14ac:dyDescent="0.3">
      <c r="A259" s="9">
        <v>44985</v>
      </c>
      <c r="B259" t="s">
        <v>35</v>
      </c>
      <c r="C259" t="s">
        <v>44</v>
      </c>
      <c r="D259" t="s">
        <v>45</v>
      </c>
      <c r="E259" t="s">
        <v>46</v>
      </c>
      <c r="F259" t="s">
        <v>14</v>
      </c>
      <c r="G259" t="s">
        <v>15</v>
      </c>
      <c r="H259">
        <v>1</v>
      </c>
      <c r="I259" s="3">
        <v>257.06</v>
      </c>
      <c r="J259" s="3">
        <f t="shared" ref="J259:J322" si="4">H259*I259</f>
        <v>257.06</v>
      </c>
    </row>
    <row r="260" spans="1:10" x14ac:dyDescent="0.3">
      <c r="A260" s="9">
        <v>45549</v>
      </c>
      <c r="B260" t="s">
        <v>43</v>
      </c>
      <c r="C260" t="s">
        <v>34</v>
      </c>
      <c r="D260" t="s">
        <v>12</v>
      </c>
      <c r="E260" t="s">
        <v>13</v>
      </c>
      <c r="F260" t="s">
        <v>55</v>
      </c>
      <c r="G260" t="s">
        <v>74</v>
      </c>
      <c r="H260">
        <v>8</v>
      </c>
      <c r="I260" s="3">
        <v>2769.1</v>
      </c>
      <c r="J260" s="3">
        <f t="shared" si="4"/>
        <v>22152.799999999999</v>
      </c>
    </row>
    <row r="261" spans="1:10" x14ac:dyDescent="0.3">
      <c r="A261" s="9">
        <v>45302</v>
      </c>
      <c r="B261" t="s">
        <v>81</v>
      </c>
      <c r="C261" t="s">
        <v>44</v>
      </c>
      <c r="D261" t="s">
        <v>45</v>
      </c>
      <c r="E261" t="s">
        <v>46</v>
      </c>
      <c r="F261" t="s">
        <v>18</v>
      </c>
      <c r="G261" t="s">
        <v>75</v>
      </c>
      <c r="H261">
        <v>20</v>
      </c>
      <c r="I261" s="3">
        <v>433.86</v>
      </c>
      <c r="J261" s="3">
        <f t="shared" si="4"/>
        <v>8677.2000000000007</v>
      </c>
    </row>
    <row r="262" spans="1:10" x14ac:dyDescent="0.3">
      <c r="A262" s="9">
        <v>45387</v>
      </c>
      <c r="B262" t="s">
        <v>81</v>
      </c>
      <c r="C262" t="s">
        <v>52</v>
      </c>
      <c r="D262" t="s">
        <v>53</v>
      </c>
      <c r="E262" t="s">
        <v>54</v>
      </c>
      <c r="F262" t="s">
        <v>26</v>
      </c>
      <c r="G262" t="s">
        <v>32</v>
      </c>
      <c r="H262">
        <v>19</v>
      </c>
      <c r="I262" s="3">
        <v>2945.8</v>
      </c>
      <c r="J262" s="3">
        <f t="shared" si="4"/>
        <v>55970.200000000004</v>
      </c>
    </row>
    <row r="263" spans="1:10" x14ac:dyDescent="0.3">
      <c r="A263" s="9">
        <v>45302</v>
      </c>
      <c r="B263" t="s">
        <v>51</v>
      </c>
      <c r="C263" t="s">
        <v>65</v>
      </c>
      <c r="D263" t="s">
        <v>66</v>
      </c>
      <c r="E263" t="s">
        <v>54</v>
      </c>
      <c r="F263" t="s">
        <v>14</v>
      </c>
      <c r="G263" t="s">
        <v>15</v>
      </c>
      <c r="H263">
        <v>4</v>
      </c>
      <c r="I263" s="3">
        <v>128.5</v>
      </c>
      <c r="J263" s="3">
        <f t="shared" si="4"/>
        <v>514</v>
      </c>
    </row>
    <row r="264" spans="1:10" x14ac:dyDescent="0.3">
      <c r="A264" s="9">
        <v>45117</v>
      </c>
      <c r="B264" t="s">
        <v>85</v>
      </c>
      <c r="C264" t="s">
        <v>44</v>
      </c>
      <c r="D264" t="s">
        <v>45</v>
      </c>
      <c r="E264" t="s">
        <v>46</v>
      </c>
      <c r="F264" t="s">
        <v>18</v>
      </c>
      <c r="G264" t="s">
        <v>75</v>
      </c>
      <c r="H264">
        <v>9</v>
      </c>
      <c r="I264" s="3">
        <v>1583.68</v>
      </c>
      <c r="J264" s="3">
        <f t="shared" si="4"/>
        <v>14253.12</v>
      </c>
    </row>
    <row r="265" spans="1:10" x14ac:dyDescent="0.3">
      <c r="A265" s="9">
        <v>45647</v>
      </c>
      <c r="B265" t="s">
        <v>43</v>
      </c>
      <c r="C265" t="s">
        <v>49</v>
      </c>
      <c r="D265" t="s">
        <v>24</v>
      </c>
      <c r="E265" t="s">
        <v>25</v>
      </c>
      <c r="F265" t="s">
        <v>18</v>
      </c>
      <c r="G265" t="s">
        <v>38</v>
      </c>
      <c r="H265">
        <v>23</v>
      </c>
      <c r="I265" s="3">
        <v>1845.49</v>
      </c>
      <c r="J265" s="3">
        <f t="shared" si="4"/>
        <v>42446.27</v>
      </c>
    </row>
    <row r="266" spans="1:10" x14ac:dyDescent="0.3">
      <c r="A266" s="9">
        <v>45429</v>
      </c>
      <c r="B266" t="s">
        <v>71</v>
      </c>
      <c r="C266" t="s">
        <v>72</v>
      </c>
      <c r="D266" t="s">
        <v>58</v>
      </c>
      <c r="E266" t="s">
        <v>46</v>
      </c>
      <c r="F266" t="s">
        <v>55</v>
      </c>
      <c r="G266" t="s">
        <v>74</v>
      </c>
      <c r="H266">
        <v>15</v>
      </c>
      <c r="I266" s="3">
        <v>769.77</v>
      </c>
      <c r="J266" s="3">
        <f t="shared" si="4"/>
        <v>11546.55</v>
      </c>
    </row>
    <row r="267" spans="1:10" x14ac:dyDescent="0.3">
      <c r="A267" s="9">
        <v>45657</v>
      </c>
      <c r="B267" t="s">
        <v>43</v>
      </c>
      <c r="C267" t="s">
        <v>17</v>
      </c>
      <c r="D267" t="s">
        <v>12</v>
      </c>
      <c r="E267" t="s">
        <v>13</v>
      </c>
      <c r="F267" t="s">
        <v>14</v>
      </c>
      <c r="G267" t="s">
        <v>31</v>
      </c>
      <c r="H267">
        <v>23</v>
      </c>
      <c r="I267" s="3">
        <v>171.43</v>
      </c>
      <c r="J267" s="3">
        <f t="shared" si="4"/>
        <v>3942.8900000000003</v>
      </c>
    </row>
    <row r="268" spans="1:10" x14ac:dyDescent="0.3">
      <c r="A268" s="9">
        <v>45482</v>
      </c>
      <c r="B268" t="s">
        <v>63</v>
      </c>
      <c r="C268" t="s">
        <v>36</v>
      </c>
      <c r="D268" t="s">
        <v>37</v>
      </c>
      <c r="E268" t="s">
        <v>25</v>
      </c>
      <c r="F268" t="s">
        <v>55</v>
      </c>
      <c r="G268" t="s">
        <v>56</v>
      </c>
      <c r="H268">
        <v>12</v>
      </c>
      <c r="I268" s="3">
        <v>1878.89</v>
      </c>
      <c r="J268" s="3">
        <f t="shared" si="4"/>
        <v>22546.68</v>
      </c>
    </row>
    <row r="269" spans="1:10" x14ac:dyDescent="0.3">
      <c r="A269" s="9">
        <v>45051</v>
      </c>
      <c r="B269" t="s">
        <v>71</v>
      </c>
      <c r="C269" t="s">
        <v>57</v>
      </c>
      <c r="D269" t="s">
        <v>58</v>
      </c>
      <c r="E269" t="s">
        <v>46</v>
      </c>
      <c r="F269" t="s">
        <v>55</v>
      </c>
      <c r="G269" t="s">
        <v>59</v>
      </c>
      <c r="H269">
        <v>1</v>
      </c>
      <c r="I269" s="3">
        <v>1390.96</v>
      </c>
      <c r="J269" s="3">
        <f t="shared" si="4"/>
        <v>1390.96</v>
      </c>
    </row>
    <row r="270" spans="1:10" x14ac:dyDescent="0.3">
      <c r="A270" s="9">
        <v>45513</v>
      </c>
      <c r="B270" t="s">
        <v>81</v>
      </c>
      <c r="C270" t="s">
        <v>41</v>
      </c>
      <c r="D270" t="s">
        <v>42</v>
      </c>
      <c r="E270" t="s">
        <v>25</v>
      </c>
      <c r="F270" t="s">
        <v>18</v>
      </c>
      <c r="G270" t="s">
        <v>21</v>
      </c>
      <c r="H270">
        <v>20</v>
      </c>
      <c r="I270" s="3">
        <v>1785.86</v>
      </c>
      <c r="J270" s="3">
        <f t="shared" si="4"/>
        <v>35717.199999999997</v>
      </c>
    </row>
    <row r="271" spans="1:10" x14ac:dyDescent="0.3">
      <c r="A271" s="9">
        <v>44994</v>
      </c>
      <c r="B271" t="s">
        <v>63</v>
      </c>
      <c r="C271" t="s">
        <v>44</v>
      </c>
      <c r="D271" t="s">
        <v>45</v>
      </c>
      <c r="E271" t="s">
        <v>46</v>
      </c>
      <c r="F271" t="s">
        <v>26</v>
      </c>
      <c r="G271" t="s">
        <v>27</v>
      </c>
      <c r="H271">
        <v>14</v>
      </c>
      <c r="I271" s="3">
        <v>9576.23</v>
      </c>
      <c r="J271" s="3">
        <f t="shared" si="4"/>
        <v>134067.22</v>
      </c>
    </row>
    <row r="272" spans="1:10" x14ac:dyDescent="0.3">
      <c r="A272" s="9">
        <v>45515</v>
      </c>
      <c r="B272" t="s">
        <v>35</v>
      </c>
      <c r="C272" t="s">
        <v>57</v>
      </c>
      <c r="D272" t="s">
        <v>58</v>
      </c>
      <c r="E272" t="s">
        <v>46</v>
      </c>
      <c r="F272" t="s">
        <v>14</v>
      </c>
      <c r="G272" t="s">
        <v>40</v>
      </c>
      <c r="H272">
        <v>15</v>
      </c>
      <c r="I272" s="3">
        <v>612.41999999999996</v>
      </c>
      <c r="J272" s="3">
        <f t="shared" si="4"/>
        <v>9186.2999999999993</v>
      </c>
    </row>
    <row r="273" spans="1:10" x14ac:dyDescent="0.3">
      <c r="A273" s="9">
        <v>45456</v>
      </c>
      <c r="B273" t="s">
        <v>81</v>
      </c>
      <c r="C273" t="s">
        <v>57</v>
      </c>
      <c r="D273" t="s">
        <v>58</v>
      </c>
      <c r="E273" t="s">
        <v>46</v>
      </c>
      <c r="F273" t="s">
        <v>18</v>
      </c>
      <c r="G273" t="s">
        <v>21</v>
      </c>
      <c r="H273">
        <v>25</v>
      </c>
      <c r="I273" s="3">
        <v>1937.59</v>
      </c>
      <c r="J273" s="3">
        <f t="shared" si="4"/>
        <v>48439.75</v>
      </c>
    </row>
    <row r="274" spans="1:10" x14ac:dyDescent="0.3">
      <c r="A274" s="9">
        <v>45370</v>
      </c>
      <c r="B274" t="s">
        <v>77</v>
      </c>
      <c r="C274" t="s">
        <v>34</v>
      </c>
      <c r="D274" t="s">
        <v>12</v>
      </c>
      <c r="E274" t="s">
        <v>13</v>
      </c>
      <c r="F274" t="s">
        <v>68</v>
      </c>
      <c r="G274" t="s">
        <v>70</v>
      </c>
      <c r="H274">
        <v>5</v>
      </c>
      <c r="I274" s="3">
        <v>135.57</v>
      </c>
      <c r="J274" s="3">
        <f t="shared" si="4"/>
        <v>677.84999999999991</v>
      </c>
    </row>
    <row r="275" spans="1:10" x14ac:dyDescent="0.3">
      <c r="A275" s="9">
        <v>45092</v>
      </c>
      <c r="B275" t="s">
        <v>48</v>
      </c>
      <c r="C275" t="s">
        <v>23</v>
      </c>
      <c r="D275" t="s">
        <v>24</v>
      </c>
      <c r="E275" t="s">
        <v>25</v>
      </c>
      <c r="F275" t="s">
        <v>14</v>
      </c>
      <c r="G275" t="s">
        <v>31</v>
      </c>
      <c r="H275">
        <v>3</v>
      </c>
      <c r="I275" s="3">
        <v>375.67</v>
      </c>
      <c r="J275" s="3">
        <f t="shared" si="4"/>
        <v>1127.01</v>
      </c>
    </row>
    <row r="276" spans="1:10" x14ac:dyDescent="0.3">
      <c r="A276" s="9">
        <v>45577</v>
      </c>
      <c r="B276" t="s">
        <v>16</v>
      </c>
      <c r="C276" t="s">
        <v>61</v>
      </c>
      <c r="D276" t="s">
        <v>37</v>
      </c>
      <c r="E276" t="s">
        <v>25</v>
      </c>
      <c r="F276" t="s">
        <v>55</v>
      </c>
      <c r="G276" t="s">
        <v>64</v>
      </c>
      <c r="H276">
        <v>20</v>
      </c>
      <c r="I276" s="3">
        <v>1960.48</v>
      </c>
      <c r="J276" s="3">
        <f t="shared" si="4"/>
        <v>39209.599999999999</v>
      </c>
    </row>
    <row r="277" spans="1:10" x14ac:dyDescent="0.3">
      <c r="A277" s="9">
        <v>45441</v>
      </c>
      <c r="B277" t="s">
        <v>28</v>
      </c>
      <c r="C277" t="s">
        <v>57</v>
      </c>
      <c r="D277" t="s">
        <v>58</v>
      </c>
      <c r="E277" t="s">
        <v>46</v>
      </c>
      <c r="F277" t="s">
        <v>55</v>
      </c>
      <c r="G277" t="s">
        <v>67</v>
      </c>
      <c r="H277">
        <v>24</v>
      </c>
      <c r="I277" s="3">
        <v>3176.6</v>
      </c>
      <c r="J277" s="3">
        <f t="shared" si="4"/>
        <v>76238.399999999994</v>
      </c>
    </row>
    <row r="278" spans="1:10" x14ac:dyDescent="0.3">
      <c r="A278" s="9">
        <v>45272</v>
      </c>
      <c r="B278" t="s">
        <v>82</v>
      </c>
      <c r="C278" t="s">
        <v>34</v>
      </c>
      <c r="D278" t="s">
        <v>12</v>
      </c>
      <c r="E278" t="s">
        <v>13</v>
      </c>
      <c r="F278" t="s">
        <v>68</v>
      </c>
      <c r="G278" t="s">
        <v>73</v>
      </c>
      <c r="H278">
        <v>2</v>
      </c>
      <c r="I278" s="3">
        <v>380.45</v>
      </c>
      <c r="J278" s="3">
        <f t="shared" si="4"/>
        <v>760.9</v>
      </c>
    </row>
    <row r="279" spans="1:10" x14ac:dyDescent="0.3">
      <c r="A279" s="9">
        <v>45517</v>
      </c>
      <c r="B279" t="s">
        <v>33</v>
      </c>
      <c r="C279" t="s">
        <v>49</v>
      </c>
      <c r="D279" t="s">
        <v>24</v>
      </c>
      <c r="E279" t="s">
        <v>25</v>
      </c>
      <c r="F279" t="s">
        <v>18</v>
      </c>
      <c r="G279" t="s">
        <v>19</v>
      </c>
      <c r="H279">
        <v>20</v>
      </c>
      <c r="I279" s="3">
        <v>1332.13</v>
      </c>
      <c r="J279" s="3">
        <f t="shared" si="4"/>
        <v>26642.600000000002</v>
      </c>
    </row>
    <row r="280" spans="1:10" x14ac:dyDescent="0.3">
      <c r="A280" s="9">
        <v>45436</v>
      </c>
      <c r="B280" t="s">
        <v>16</v>
      </c>
      <c r="C280" t="s">
        <v>36</v>
      </c>
      <c r="D280" t="s">
        <v>37</v>
      </c>
      <c r="E280" t="s">
        <v>25</v>
      </c>
      <c r="F280" t="s">
        <v>14</v>
      </c>
      <c r="G280" t="s">
        <v>47</v>
      </c>
      <c r="H280">
        <v>8</v>
      </c>
      <c r="I280" s="3">
        <v>985.16</v>
      </c>
      <c r="J280" s="3">
        <f t="shared" si="4"/>
        <v>7881.28</v>
      </c>
    </row>
    <row r="281" spans="1:10" x14ac:dyDescent="0.3">
      <c r="A281" s="9">
        <v>45628</v>
      </c>
      <c r="B281" t="s">
        <v>51</v>
      </c>
      <c r="C281" t="s">
        <v>36</v>
      </c>
      <c r="D281" t="s">
        <v>37</v>
      </c>
      <c r="E281" t="s">
        <v>25</v>
      </c>
      <c r="F281" t="s">
        <v>26</v>
      </c>
      <c r="G281" t="s">
        <v>32</v>
      </c>
      <c r="H281">
        <v>23</v>
      </c>
      <c r="I281" s="3">
        <v>2129.09</v>
      </c>
      <c r="J281" s="3">
        <f t="shared" si="4"/>
        <v>48969.070000000007</v>
      </c>
    </row>
    <row r="282" spans="1:10" x14ac:dyDescent="0.3">
      <c r="A282" s="9">
        <v>45377</v>
      </c>
      <c r="B282" t="s">
        <v>22</v>
      </c>
      <c r="C282" t="s">
        <v>79</v>
      </c>
      <c r="D282" t="s">
        <v>80</v>
      </c>
      <c r="E282" t="s">
        <v>13</v>
      </c>
      <c r="F282" t="s">
        <v>26</v>
      </c>
      <c r="G282" t="s">
        <v>32</v>
      </c>
      <c r="H282">
        <v>11</v>
      </c>
      <c r="I282" s="3">
        <v>7869.93</v>
      </c>
      <c r="J282" s="3">
        <f t="shared" si="4"/>
        <v>86569.23000000001</v>
      </c>
    </row>
    <row r="283" spans="1:10" x14ac:dyDescent="0.3">
      <c r="A283" s="9">
        <v>45247</v>
      </c>
      <c r="B283" t="s">
        <v>48</v>
      </c>
      <c r="C283" t="s">
        <v>52</v>
      </c>
      <c r="D283" t="s">
        <v>53</v>
      </c>
      <c r="E283" t="s">
        <v>54</v>
      </c>
      <c r="F283" t="s">
        <v>26</v>
      </c>
      <c r="G283" t="s">
        <v>32</v>
      </c>
      <c r="H283">
        <v>25</v>
      </c>
      <c r="I283" s="3">
        <v>5390.67</v>
      </c>
      <c r="J283" s="3">
        <f t="shared" si="4"/>
        <v>134766.75</v>
      </c>
    </row>
    <row r="284" spans="1:10" x14ac:dyDescent="0.3">
      <c r="A284" s="9">
        <v>45502</v>
      </c>
      <c r="B284" t="s">
        <v>10</v>
      </c>
      <c r="C284" t="s">
        <v>65</v>
      </c>
      <c r="D284" t="s">
        <v>66</v>
      </c>
      <c r="E284" t="s">
        <v>54</v>
      </c>
      <c r="F284" t="s">
        <v>55</v>
      </c>
      <c r="G284" t="s">
        <v>59</v>
      </c>
      <c r="H284">
        <v>4</v>
      </c>
      <c r="I284" s="3">
        <v>1082.6600000000001</v>
      </c>
      <c r="J284" s="3">
        <f t="shared" si="4"/>
        <v>4330.6400000000003</v>
      </c>
    </row>
    <row r="285" spans="1:10" x14ac:dyDescent="0.3">
      <c r="A285" s="9">
        <v>45180</v>
      </c>
      <c r="B285" t="s">
        <v>51</v>
      </c>
      <c r="C285" t="s">
        <v>72</v>
      </c>
      <c r="D285" t="s">
        <v>58</v>
      </c>
      <c r="E285" t="s">
        <v>46</v>
      </c>
      <c r="F285" t="s">
        <v>68</v>
      </c>
      <c r="G285" t="s">
        <v>83</v>
      </c>
      <c r="H285">
        <v>13</v>
      </c>
      <c r="I285" s="3">
        <v>348.38</v>
      </c>
      <c r="J285" s="3">
        <f t="shared" si="4"/>
        <v>4528.9399999999996</v>
      </c>
    </row>
    <row r="286" spans="1:10" x14ac:dyDescent="0.3">
      <c r="A286" s="9">
        <v>45355</v>
      </c>
      <c r="B286" t="s">
        <v>20</v>
      </c>
      <c r="C286" t="s">
        <v>78</v>
      </c>
      <c r="D286" t="s">
        <v>58</v>
      </c>
      <c r="E286" t="s">
        <v>46</v>
      </c>
      <c r="F286" t="s">
        <v>14</v>
      </c>
      <c r="G286" t="s">
        <v>31</v>
      </c>
      <c r="H286">
        <v>7</v>
      </c>
      <c r="I286" s="3">
        <v>939.43</v>
      </c>
      <c r="J286" s="3">
        <f t="shared" si="4"/>
        <v>6576.0099999999993</v>
      </c>
    </row>
    <row r="287" spans="1:10" x14ac:dyDescent="0.3">
      <c r="A287" s="9">
        <v>45437</v>
      </c>
      <c r="B287" t="s">
        <v>77</v>
      </c>
      <c r="C287" t="s">
        <v>41</v>
      </c>
      <c r="D287" t="s">
        <v>42</v>
      </c>
      <c r="E287" t="s">
        <v>25</v>
      </c>
      <c r="F287" t="s">
        <v>26</v>
      </c>
      <c r="G287" t="s">
        <v>50</v>
      </c>
      <c r="H287">
        <v>16</v>
      </c>
      <c r="I287" s="3">
        <v>1743.35</v>
      </c>
      <c r="J287" s="3">
        <f t="shared" si="4"/>
        <v>27893.599999999999</v>
      </c>
    </row>
    <row r="288" spans="1:10" x14ac:dyDescent="0.3">
      <c r="A288" s="9">
        <v>45329</v>
      </c>
      <c r="B288" t="s">
        <v>77</v>
      </c>
      <c r="C288" t="s">
        <v>41</v>
      </c>
      <c r="D288" t="s">
        <v>42</v>
      </c>
      <c r="E288" t="s">
        <v>25</v>
      </c>
      <c r="F288" t="s">
        <v>55</v>
      </c>
      <c r="G288" t="s">
        <v>56</v>
      </c>
      <c r="H288">
        <v>19</v>
      </c>
      <c r="I288" s="3">
        <v>1364.55</v>
      </c>
      <c r="J288" s="3">
        <f t="shared" si="4"/>
        <v>25926.45</v>
      </c>
    </row>
    <row r="289" spans="1:10" x14ac:dyDescent="0.3">
      <c r="A289" s="9">
        <v>44978</v>
      </c>
      <c r="B289" t="s">
        <v>63</v>
      </c>
      <c r="C289" t="s">
        <v>79</v>
      </c>
      <c r="D289" t="s">
        <v>80</v>
      </c>
      <c r="E289" t="s">
        <v>13</v>
      </c>
      <c r="F289" t="s">
        <v>18</v>
      </c>
      <c r="G289" t="s">
        <v>19</v>
      </c>
      <c r="H289">
        <v>10</v>
      </c>
      <c r="I289" s="3">
        <v>1142.8800000000001</v>
      </c>
      <c r="J289" s="3">
        <f t="shared" si="4"/>
        <v>11428.800000000001</v>
      </c>
    </row>
    <row r="290" spans="1:10" x14ac:dyDescent="0.3">
      <c r="A290" s="9">
        <v>45037</v>
      </c>
      <c r="B290" t="s">
        <v>22</v>
      </c>
      <c r="C290" t="s">
        <v>57</v>
      </c>
      <c r="D290" t="s">
        <v>58</v>
      </c>
      <c r="E290" t="s">
        <v>46</v>
      </c>
      <c r="F290" t="s">
        <v>14</v>
      </c>
      <c r="G290" t="s">
        <v>31</v>
      </c>
      <c r="H290">
        <v>25</v>
      </c>
      <c r="I290" s="3">
        <v>543.58000000000004</v>
      </c>
      <c r="J290" s="3">
        <f t="shared" si="4"/>
        <v>13589.500000000002</v>
      </c>
    </row>
    <row r="291" spans="1:10" x14ac:dyDescent="0.3">
      <c r="A291" s="9">
        <v>44973</v>
      </c>
      <c r="B291" t="s">
        <v>51</v>
      </c>
      <c r="C291" t="s">
        <v>34</v>
      </c>
      <c r="D291" t="s">
        <v>12</v>
      </c>
      <c r="E291" t="s">
        <v>13</v>
      </c>
      <c r="F291" t="s">
        <v>18</v>
      </c>
      <c r="G291" t="s">
        <v>21</v>
      </c>
      <c r="H291">
        <v>12</v>
      </c>
      <c r="I291" s="3">
        <v>1173.46</v>
      </c>
      <c r="J291" s="3">
        <f t="shared" si="4"/>
        <v>14081.52</v>
      </c>
    </row>
    <row r="292" spans="1:10" x14ac:dyDescent="0.3">
      <c r="A292" s="9">
        <v>45002</v>
      </c>
      <c r="B292" t="s">
        <v>51</v>
      </c>
      <c r="C292" t="s">
        <v>41</v>
      </c>
      <c r="D292" t="s">
        <v>42</v>
      </c>
      <c r="E292" t="s">
        <v>25</v>
      </c>
      <c r="F292" t="s">
        <v>18</v>
      </c>
      <c r="G292" t="s">
        <v>38</v>
      </c>
      <c r="H292">
        <v>20</v>
      </c>
      <c r="I292" s="3">
        <v>1408.74</v>
      </c>
      <c r="J292" s="3">
        <f t="shared" si="4"/>
        <v>28174.799999999999</v>
      </c>
    </row>
    <row r="293" spans="1:10" x14ac:dyDescent="0.3">
      <c r="A293" s="9">
        <v>45048</v>
      </c>
      <c r="B293" t="s">
        <v>51</v>
      </c>
      <c r="C293" t="s">
        <v>72</v>
      </c>
      <c r="D293" t="s">
        <v>58</v>
      </c>
      <c r="E293" t="s">
        <v>46</v>
      </c>
      <c r="F293" t="s">
        <v>26</v>
      </c>
      <c r="G293" t="s">
        <v>50</v>
      </c>
      <c r="H293">
        <v>11</v>
      </c>
      <c r="I293" s="3">
        <v>7357.23</v>
      </c>
      <c r="J293" s="3">
        <f t="shared" si="4"/>
        <v>80929.53</v>
      </c>
    </row>
    <row r="294" spans="1:10" x14ac:dyDescent="0.3">
      <c r="A294" s="9">
        <v>45301</v>
      </c>
      <c r="B294" t="s">
        <v>51</v>
      </c>
      <c r="C294" t="s">
        <v>49</v>
      </c>
      <c r="D294" t="s">
        <v>24</v>
      </c>
      <c r="E294" t="s">
        <v>25</v>
      </c>
      <c r="F294" t="s">
        <v>18</v>
      </c>
      <c r="G294" t="s">
        <v>19</v>
      </c>
      <c r="H294">
        <v>17</v>
      </c>
      <c r="I294" s="3">
        <v>224.47</v>
      </c>
      <c r="J294" s="3">
        <f t="shared" si="4"/>
        <v>3815.99</v>
      </c>
    </row>
    <row r="295" spans="1:10" x14ac:dyDescent="0.3">
      <c r="A295" s="9">
        <v>44966</v>
      </c>
      <c r="B295" t="s">
        <v>51</v>
      </c>
      <c r="C295" t="s">
        <v>65</v>
      </c>
      <c r="D295" t="s">
        <v>66</v>
      </c>
      <c r="E295" t="s">
        <v>54</v>
      </c>
      <c r="F295" t="s">
        <v>26</v>
      </c>
      <c r="G295" t="s">
        <v>27</v>
      </c>
      <c r="H295">
        <v>15</v>
      </c>
      <c r="I295" s="3">
        <v>3063.88</v>
      </c>
      <c r="J295" s="3">
        <f t="shared" si="4"/>
        <v>45958.200000000004</v>
      </c>
    </row>
    <row r="296" spans="1:10" x14ac:dyDescent="0.3">
      <c r="A296" s="9">
        <v>45454</v>
      </c>
      <c r="B296" t="s">
        <v>51</v>
      </c>
      <c r="C296" t="s">
        <v>65</v>
      </c>
      <c r="D296" t="s">
        <v>66</v>
      </c>
      <c r="E296" t="s">
        <v>54</v>
      </c>
      <c r="F296" t="s">
        <v>18</v>
      </c>
      <c r="G296" t="s">
        <v>38</v>
      </c>
      <c r="H296">
        <v>6</v>
      </c>
      <c r="I296" s="3">
        <v>876.97</v>
      </c>
      <c r="J296" s="3">
        <f t="shared" si="4"/>
        <v>5261.82</v>
      </c>
    </row>
    <row r="297" spans="1:10" x14ac:dyDescent="0.3">
      <c r="A297" s="9">
        <v>45558</v>
      </c>
      <c r="B297" t="s">
        <v>63</v>
      </c>
      <c r="C297" t="s">
        <v>65</v>
      </c>
      <c r="D297" t="s">
        <v>66</v>
      </c>
      <c r="E297" t="s">
        <v>54</v>
      </c>
      <c r="F297" t="s">
        <v>18</v>
      </c>
      <c r="G297" t="s">
        <v>19</v>
      </c>
      <c r="H297">
        <v>23</v>
      </c>
      <c r="I297" s="3">
        <v>1191.4100000000001</v>
      </c>
      <c r="J297" s="3">
        <f t="shared" si="4"/>
        <v>27402.43</v>
      </c>
    </row>
    <row r="298" spans="1:10" x14ac:dyDescent="0.3">
      <c r="A298" s="9">
        <v>45413</v>
      </c>
      <c r="B298" t="s">
        <v>62</v>
      </c>
      <c r="C298" t="s">
        <v>52</v>
      </c>
      <c r="D298" t="s">
        <v>53</v>
      </c>
      <c r="E298" t="s">
        <v>54</v>
      </c>
      <c r="F298" t="s">
        <v>14</v>
      </c>
      <c r="G298" t="s">
        <v>40</v>
      </c>
      <c r="H298">
        <v>14</v>
      </c>
      <c r="I298" s="3">
        <v>742.07</v>
      </c>
      <c r="J298" s="3">
        <f t="shared" si="4"/>
        <v>10388.980000000001</v>
      </c>
    </row>
    <row r="299" spans="1:10" x14ac:dyDescent="0.3">
      <c r="A299" s="9">
        <v>45631</v>
      </c>
      <c r="B299" t="s">
        <v>62</v>
      </c>
      <c r="C299" t="s">
        <v>79</v>
      </c>
      <c r="D299" t="s">
        <v>80</v>
      </c>
      <c r="E299" t="s">
        <v>13</v>
      </c>
      <c r="F299" t="s">
        <v>14</v>
      </c>
      <c r="G299" t="s">
        <v>15</v>
      </c>
      <c r="H299">
        <v>24</v>
      </c>
      <c r="I299" s="3">
        <v>156.49</v>
      </c>
      <c r="J299" s="3">
        <f t="shared" si="4"/>
        <v>3755.76</v>
      </c>
    </row>
    <row r="300" spans="1:10" x14ac:dyDescent="0.3">
      <c r="A300" s="9">
        <v>45418</v>
      </c>
      <c r="B300" t="s">
        <v>28</v>
      </c>
      <c r="C300" t="s">
        <v>44</v>
      </c>
      <c r="D300" t="s">
        <v>45</v>
      </c>
      <c r="E300" t="s">
        <v>46</v>
      </c>
      <c r="F300" t="s">
        <v>55</v>
      </c>
      <c r="G300" t="s">
        <v>56</v>
      </c>
      <c r="H300">
        <v>2</v>
      </c>
      <c r="I300" s="3">
        <v>2089.48</v>
      </c>
      <c r="J300" s="3">
        <f t="shared" si="4"/>
        <v>4178.96</v>
      </c>
    </row>
    <row r="301" spans="1:10" x14ac:dyDescent="0.3">
      <c r="A301" s="9">
        <v>45644</v>
      </c>
      <c r="B301" t="s">
        <v>10</v>
      </c>
      <c r="C301" t="s">
        <v>49</v>
      </c>
      <c r="D301" t="s">
        <v>24</v>
      </c>
      <c r="E301" t="s">
        <v>25</v>
      </c>
      <c r="F301" t="s">
        <v>68</v>
      </c>
      <c r="G301" t="s">
        <v>76</v>
      </c>
      <c r="H301">
        <v>11</v>
      </c>
      <c r="I301" s="3">
        <v>179.14</v>
      </c>
      <c r="J301" s="3">
        <f t="shared" si="4"/>
        <v>1970.54</v>
      </c>
    </row>
    <row r="302" spans="1:10" x14ac:dyDescent="0.3">
      <c r="A302" s="9">
        <v>45349</v>
      </c>
      <c r="B302" t="s">
        <v>71</v>
      </c>
      <c r="C302" t="s">
        <v>29</v>
      </c>
      <c r="D302" t="s">
        <v>30</v>
      </c>
      <c r="E302" t="s">
        <v>13</v>
      </c>
      <c r="F302" t="s">
        <v>18</v>
      </c>
      <c r="G302" t="s">
        <v>19</v>
      </c>
      <c r="H302">
        <v>24</v>
      </c>
      <c r="I302" s="3">
        <v>1495.69</v>
      </c>
      <c r="J302" s="3">
        <f t="shared" si="4"/>
        <v>35896.559999999998</v>
      </c>
    </row>
    <row r="303" spans="1:10" x14ac:dyDescent="0.3">
      <c r="A303" s="9">
        <v>45649</v>
      </c>
      <c r="B303" t="s">
        <v>51</v>
      </c>
      <c r="C303" t="s">
        <v>49</v>
      </c>
      <c r="D303" t="s">
        <v>24</v>
      </c>
      <c r="E303" t="s">
        <v>25</v>
      </c>
      <c r="F303" t="s">
        <v>18</v>
      </c>
      <c r="G303" t="s">
        <v>38</v>
      </c>
      <c r="H303">
        <v>22</v>
      </c>
      <c r="I303" s="3">
        <v>1034.99</v>
      </c>
      <c r="J303" s="3">
        <f t="shared" si="4"/>
        <v>22769.78</v>
      </c>
    </row>
    <row r="304" spans="1:10" x14ac:dyDescent="0.3">
      <c r="A304" s="9">
        <v>45312</v>
      </c>
      <c r="B304" t="s">
        <v>48</v>
      </c>
      <c r="C304" t="s">
        <v>78</v>
      </c>
      <c r="D304" t="s">
        <v>58</v>
      </c>
      <c r="E304" t="s">
        <v>46</v>
      </c>
      <c r="F304" t="s">
        <v>26</v>
      </c>
      <c r="G304" t="s">
        <v>27</v>
      </c>
      <c r="H304">
        <v>11</v>
      </c>
      <c r="I304" s="3">
        <v>7235.87</v>
      </c>
      <c r="J304" s="3">
        <f t="shared" si="4"/>
        <v>79594.569999999992</v>
      </c>
    </row>
    <row r="305" spans="1:10" x14ac:dyDescent="0.3">
      <c r="A305" s="9">
        <v>45619</v>
      </c>
      <c r="B305" t="s">
        <v>33</v>
      </c>
      <c r="C305" t="s">
        <v>79</v>
      </c>
      <c r="D305" t="s">
        <v>80</v>
      </c>
      <c r="E305" t="s">
        <v>13</v>
      </c>
      <c r="F305" t="s">
        <v>55</v>
      </c>
      <c r="G305" t="s">
        <v>56</v>
      </c>
      <c r="H305">
        <v>9</v>
      </c>
      <c r="I305" s="3">
        <v>2041.69</v>
      </c>
      <c r="J305" s="3">
        <f t="shared" si="4"/>
        <v>18375.21</v>
      </c>
    </row>
    <row r="306" spans="1:10" x14ac:dyDescent="0.3">
      <c r="A306" s="9">
        <v>45157</v>
      </c>
      <c r="B306" t="s">
        <v>63</v>
      </c>
      <c r="C306" t="s">
        <v>36</v>
      </c>
      <c r="D306" t="s">
        <v>37</v>
      </c>
      <c r="E306" t="s">
        <v>25</v>
      </c>
      <c r="F306" t="s">
        <v>55</v>
      </c>
      <c r="G306" t="s">
        <v>59</v>
      </c>
      <c r="H306">
        <v>11</v>
      </c>
      <c r="I306" s="3">
        <v>1783.35</v>
      </c>
      <c r="J306" s="3">
        <f t="shared" si="4"/>
        <v>19616.849999999999</v>
      </c>
    </row>
    <row r="307" spans="1:10" x14ac:dyDescent="0.3">
      <c r="A307" s="9">
        <v>45500</v>
      </c>
      <c r="B307" t="s">
        <v>33</v>
      </c>
      <c r="C307" t="s">
        <v>36</v>
      </c>
      <c r="D307" t="s">
        <v>37</v>
      </c>
      <c r="E307" t="s">
        <v>25</v>
      </c>
      <c r="F307" t="s">
        <v>68</v>
      </c>
      <c r="G307" t="s">
        <v>70</v>
      </c>
      <c r="H307">
        <v>22</v>
      </c>
      <c r="I307" s="3">
        <v>226.41</v>
      </c>
      <c r="J307" s="3">
        <f t="shared" si="4"/>
        <v>4981.0199999999995</v>
      </c>
    </row>
    <row r="308" spans="1:10" x14ac:dyDescent="0.3">
      <c r="A308" s="9">
        <v>45331</v>
      </c>
      <c r="B308" t="s">
        <v>81</v>
      </c>
      <c r="C308" t="s">
        <v>57</v>
      </c>
      <c r="D308" t="s">
        <v>58</v>
      </c>
      <c r="E308" t="s">
        <v>46</v>
      </c>
      <c r="F308" t="s">
        <v>14</v>
      </c>
      <c r="G308" t="s">
        <v>40</v>
      </c>
      <c r="H308">
        <v>10</v>
      </c>
      <c r="I308" s="3">
        <v>1150.8499999999999</v>
      </c>
      <c r="J308" s="3">
        <f t="shared" si="4"/>
        <v>11508.5</v>
      </c>
    </row>
    <row r="309" spans="1:10" x14ac:dyDescent="0.3">
      <c r="A309" s="9">
        <v>45007</v>
      </c>
      <c r="B309" t="s">
        <v>81</v>
      </c>
      <c r="C309" t="s">
        <v>41</v>
      </c>
      <c r="D309" t="s">
        <v>42</v>
      </c>
      <c r="E309" t="s">
        <v>25</v>
      </c>
      <c r="F309" t="s">
        <v>14</v>
      </c>
      <c r="G309" t="s">
        <v>47</v>
      </c>
      <c r="H309">
        <v>7</v>
      </c>
      <c r="I309" s="3">
        <v>322.27</v>
      </c>
      <c r="J309" s="3">
        <f t="shared" si="4"/>
        <v>2255.89</v>
      </c>
    </row>
    <row r="310" spans="1:10" x14ac:dyDescent="0.3">
      <c r="A310" s="9">
        <v>45478</v>
      </c>
      <c r="B310" t="s">
        <v>33</v>
      </c>
      <c r="C310" t="s">
        <v>61</v>
      </c>
      <c r="D310" t="s">
        <v>37</v>
      </c>
      <c r="E310" t="s">
        <v>25</v>
      </c>
      <c r="F310" t="s">
        <v>55</v>
      </c>
      <c r="G310" t="s">
        <v>74</v>
      </c>
      <c r="H310">
        <v>20</v>
      </c>
      <c r="I310" s="3">
        <v>2644.94</v>
      </c>
      <c r="J310" s="3">
        <f t="shared" si="4"/>
        <v>52898.8</v>
      </c>
    </row>
    <row r="311" spans="1:10" x14ac:dyDescent="0.3">
      <c r="A311" s="9">
        <v>45172</v>
      </c>
      <c r="B311" t="s">
        <v>20</v>
      </c>
      <c r="C311" t="s">
        <v>34</v>
      </c>
      <c r="D311" t="s">
        <v>12</v>
      </c>
      <c r="E311" t="s">
        <v>13</v>
      </c>
      <c r="F311" t="s">
        <v>18</v>
      </c>
      <c r="G311" t="s">
        <v>21</v>
      </c>
      <c r="H311">
        <v>21</v>
      </c>
      <c r="I311" s="3">
        <v>580.75</v>
      </c>
      <c r="J311" s="3">
        <f t="shared" si="4"/>
        <v>12195.75</v>
      </c>
    </row>
    <row r="312" spans="1:10" x14ac:dyDescent="0.3">
      <c r="A312" s="9">
        <v>45029</v>
      </c>
      <c r="B312" t="s">
        <v>22</v>
      </c>
      <c r="C312" t="s">
        <v>65</v>
      </c>
      <c r="D312" t="s">
        <v>66</v>
      </c>
      <c r="E312" t="s">
        <v>54</v>
      </c>
      <c r="F312" t="s">
        <v>26</v>
      </c>
      <c r="G312" t="s">
        <v>32</v>
      </c>
      <c r="H312">
        <v>22</v>
      </c>
      <c r="I312" s="3">
        <v>9593.0400000000009</v>
      </c>
      <c r="J312" s="3">
        <f t="shared" si="4"/>
        <v>211046.88</v>
      </c>
    </row>
    <row r="313" spans="1:10" x14ac:dyDescent="0.3">
      <c r="A313" s="9">
        <v>44932</v>
      </c>
      <c r="B313" t="s">
        <v>16</v>
      </c>
      <c r="C313" t="s">
        <v>78</v>
      </c>
      <c r="D313" t="s">
        <v>58</v>
      </c>
      <c r="E313" t="s">
        <v>46</v>
      </c>
      <c r="F313" t="s">
        <v>26</v>
      </c>
      <c r="G313" t="s">
        <v>27</v>
      </c>
      <c r="H313">
        <v>16</v>
      </c>
      <c r="I313" s="3">
        <v>6513.21</v>
      </c>
      <c r="J313" s="3">
        <f t="shared" si="4"/>
        <v>104211.36</v>
      </c>
    </row>
    <row r="314" spans="1:10" x14ac:dyDescent="0.3">
      <c r="A314" s="9">
        <v>45131</v>
      </c>
      <c r="B314" t="s">
        <v>63</v>
      </c>
      <c r="C314" t="s">
        <v>65</v>
      </c>
      <c r="D314" t="s">
        <v>66</v>
      </c>
      <c r="E314" t="s">
        <v>54</v>
      </c>
      <c r="F314" t="s">
        <v>14</v>
      </c>
      <c r="G314" t="s">
        <v>40</v>
      </c>
      <c r="H314">
        <v>25</v>
      </c>
      <c r="I314" s="3">
        <v>198.41</v>
      </c>
      <c r="J314" s="3">
        <f t="shared" si="4"/>
        <v>4960.25</v>
      </c>
    </row>
    <row r="315" spans="1:10" x14ac:dyDescent="0.3">
      <c r="A315" s="9">
        <v>45514</v>
      </c>
      <c r="B315" t="s">
        <v>20</v>
      </c>
      <c r="C315" t="s">
        <v>34</v>
      </c>
      <c r="D315" t="s">
        <v>12</v>
      </c>
      <c r="E315" t="s">
        <v>13</v>
      </c>
      <c r="F315" t="s">
        <v>55</v>
      </c>
      <c r="G315" t="s">
        <v>59</v>
      </c>
      <c r="H315">
        <v>6</v>
      </c>
      <c r="I315" s="3">
        <v>3281.94</v>
      </c>
      <c r="J315" s="3">
        <f t="shared" si="4"/>
        <v>19691.64</v>
      </c>
    </row>
    <row r="316" spans="1:10" x14ac:dyDescent="0.3">
      <c r="A316" s="9">
        <v>44964</v>
      </c>
      <c r="B316" t="s">
        <v>51</v>
      </c>
      <c r="C316" t="s">
        <v>79</v>
      </c>
      <c r="D316" t="s">
        <v>80</v>
      </c>
      <c r="E316" t="s">
        <v>13</v>
      </c>
      <c r="F316" t="s">
        <v>55</v>
      </c>
      <c r="G316" t="s">
        <v>64</v>
      </c>
      <c r="H316">
        <v>2</v>
      </c>
      <c r="I316" s="3">
        <v>230.58</v>
      </c>
      <c r="J316" s="3">
        <f t="shared" si="4"/>
        <v>461.16</v>
      </c>
    </row>
    <row r="317" spans="1:10" x14ac:dyDescent="0.3">
      <c r="A317" s="9">
        <v>45508</v>
      </c>
      <c r="B317" t="s">
        <v>60</v>
      </c>
      <c r="C317" t="s">
        <v>72</v>
      </c>
      <c r="D317" t="s">
        <v>58</v>
      </c>
      <c r="E317" t="s">
        <v>46</v>
      </c>
      <c r="F317" t="s">
        <v>14</v>
      </c>
      <c r="G317" t="s">
        <v>31</v>
      </c>
      <c r="H317">
        <v>15</v>
      </c>
      <c r="I317" s="3">
        <v>1188.01</v>
      </c>
      <c r="J317" s="3">
        <f t="shared" si="4"/>
        <v>17820.150000000001</v>
      </c>
    </row>
    <row r="318" spans="1:10" x14ac:dyDescent="0.3">
      <c r="A318" s="9">
        <v>45483</v>
      </c>
      <c r="B318" t="s">
        <v>77</v>
      </c>
      <c r="C318" t="s">
        <v>79</v>
      </c>
      <c r="D318" t="s">
        <v>80</v>
      </c>
      <c r="E318" t="s">
        <v>13</v>
      </c>
      <c r="F318" t="s">
        <v>55</v>
      </c>
      <c r="G318" t="s">
        <v>67</v>
      </c>
      <c r="H318">
        <v>15</v>
      </c>
      <c r="I318" s="3">
        <v>1100.3599999999999</v>
      </c>
      <c r="J318" s="3">
        <f t="shared" si="4"/>
        <v>16505.399999999998</v>
      </c>
    </row>
    <row r="319" spans="1:10" x14ac:dyDescent="0.3">
      <c r="A319" s="9">
        <v>45042</v>
      </c>
      <c r="B319" t="s">
        <v>48</v>
      </c>
      <c r="C319" t="s">
        <v>78</v>
      </c>
      <c r="D319" t="s">
        <v>58</v>
      </c>
      <c r="E319" t="s">
        <v>46</v>
      </c>
      <c r="F319" t="s">
        <v>26</v>
      </c>
      <c r="G319" t="s">
        <v>27</v>
      </c>
      <c r="H319">
        <v>9</v>
      </c>
      <c r="I319" s="3">
        <v>9045.2800000000007</v>
      </c>
      <c r="J319" s="3">
        <f t="shared" si="4"/>
        <v>81407.520000000004</v>
      </c>
    </row>
    <row r="320" spans="1:10" x14ac:dyDescent="0.3">
      <c r="A320" s="9">
        <v>44941</v>
      </c>
      <c r="B320" t="s">
        <v>48</v>
      </c>
      <c r="C320" t="s">
        <v>36</v>
      </c>
      <c r="D320" t="s">
        <v>37</v>
      </c>
      <c r="E320" t="s">
        <v>25</v>
      </c>
      <c r="F320" t="s">
        <v>18</v>
      </c>
      <c r="G320" t="s">
        <v>21</v>
      </c>
      <c r="H320">
        <v>6</v>
      </c>
      <c r="I320" s="3">
        <v>1280.27</v>
      </c>
      <c r="J320" s="3">
        <f t="shared" si="4"/>
        <v>7681.62</v>
      </c>
    </row>
    <row r="321" spans="1:10" x14ac:dyDescent="0.3">
      <c r="A321" s="9">
        <v>45581</v>
      </c>
      <c r="B321" t="s">
        <v>51</v>
      </c>
      <c r="C321" t="s">
        <v>29</v>
      </c>
      <c r="D321" t="s">
        <v>30</v>
      </c>
      <c r="E321" t="s">
        <v>13</v>
      </c>
      <c r="F321" t="s">
        <v>18</v>
      </c>
      <c r="G321" t="s">
        <v>38</v>
      </c>
      <c r="H321">
        <v>3</v>
      </c>
      <c r="I321" s="3">
        <v>891.54</v>
      </c>
      <c r="J321" s="3">
        <f t="shared" si="4"/>
        <v>2674.62</v>
      </c>
    </row>
    <row r="322" spans="1:10" x14ac:dyDescent="0.3">
      <c r="A322" s="9">
        <v>45024</v>
      </c>
      <c r="B322" t="s">
        <v>28</v>
      </c>
      <c r="C322" t="s">
        <v>57</v>
      </c>
      <c r="D322" t="s">
        <v>58</v>
      </c>
      <c r="E322" t="s">
        <v>46</v>
      </c>
      <c r="F322" t="s">
        <v>26</v>
      </c>
      <c r="G322" t="s">
        <v>50</v>
      </c>
      <c r="H322">
        <v>8</v>
      </c>
      <c r="I322" s="3">
        <v>1571.72</v>
      </c>
      <c r="J322" s="3">
        <f t="shared" si="4"/>
        <v>12573.76</v>
      </c>
    </row>
    <row r="323" spans="1:10" x14ac:dyDescent="0.3">
      <c r="A323" s="9">
        <v>45319</v>
      </c>
      <c r="B323" t="s">
        <v>20</v>
      </c>
      <c r="C323" t="s">
        <v>41</v>
      </c>
      <c r="D323" t="s">
        <v>42</v>
      </c>
      <c r="E323" t="s">
        <v>25</v>
      </c>
      <c r="F323" t="s">
        <v>14</v>
      </c>
      <c r="G323" t="s">
        <v>31</v>
      </c>
      <c r="H323">
        <v>10</v>
      </c>
      <c r="I323" s="3">
        <v>740.71</v>
      </c>
      <c r="J323" s="3">
        <f t="shared" ref="J323:J386" si="5">H323*I323</f>
        <v>7407.1</v>
      </c>
    </row>
    <row r="324" spans="1:10" x14ac:dyDescent="0.3">
      <c r="A324" s="9">
        <v>45513</v>
      </c>
      <c r="B324" t="s">
        <v>62</v>
      </c>
      <c r="C324" t="s">
        <v>61</v>
      </c>
      <c r="D324" t="s">
        <v>37</v>
      </c>
      <c r="E324" t="s">
        <v>25</v>
      </c>
      <c r="F324" t="s">
        <v>14</v>
      </c>
      <c r="G324" t="s">
        <v>15</v>
      </c>
      <c r="H324">
        <v>2</v>
      </c>
      <c r="I324" s="3">
        <v>834.56</v>
      </c>
      <c r="J324" s="3">
        <f t="shared" si="5"/>
        <v>1669.12</v>
      </c>
    </row>
    <row r="325" spans="1:10" x14ac:dyDescent="0.3">
      <c r="A325" s="9">
        <v>45403</v>
      </c>
      <c r="B325" t="s">
        <v>63</v>
      </c>
      <c r="C325" t="s">
        <v>78</v>
      </c>
      <c r="D325" t="s">
        <v>58</v>
      </c>
      <c r="E325" t="s">
        <v>46</v>
      </c>
      <c r="F325" t="s">
        <v>26</v>
      </c>
      <c r="G325" t="s">
        <v>27</v>
      </c>
      <c r="H325">
        <v>17</v>
      </c>
      <c r="I325" s="3">
        <v>11192.61</v>
      </c>
      <c r="J325" s="3">
        <f t="shared" si="5"/>
        <v>190274.37</v>
      </c>
    </row>
    <row r="326" spans="1:10" x14ac:dyDescent="0.3">
      <c r="A326" s="9">
        <v>45647</v>
      </c>
      <c r="B326" t="s">
        <v>63</v>
      </c>
      <c r="C326" t="s">
        <v>72</v>
      </c>
      <c r="D326" t="s">
        <v>58</v>
      </c>
      <c r="E326" t="s">
        <v>46</v>
      </c>
      <c r="F326" t="s">
        <v>14</v>
      </c>
      <c r="G326" t="s">
        <v>31</v>
      </c>
      <c r="H326">
        <v>20</v>
      </c>
      <c r="I326" s="3">
        <v>342.93</v>
      </c>
      <c r="J326" s="3">
        <f t="shared" si="5"/>
        <v>6858.6</v>
      </c>
    </row>
    <row r="327" spans="1:10" x14ac:dyDescent="0.3">
      <c r="A327" s="9">
        <v>45063</v>
      </c>
      <c r="B327" t="s">
        <v>85</v>
      </c>
      <c r="C327" t="s">
        <v>57</v>
      </c>
      <c r="D327" t="s">
        <v>58</v>
      </c>
      <c r="E327" t="s">
        <v>46</v>
      </c>
      <c r="F327" t="s">
        <v>26</v>
      </c>
      <c r="G327" t="s">
        <v>27</v>
      </c>
      <c r="H327">
        <v>20</v>
      </c>
      <c r="I327" s="3">
        <v>5423.06</v>
      </c>
      <c r="J327" s="3">
        <f t="shared" si="5"/>
        <v>108461.20000000001</v>
      </c>
    </row>
    <row r="328" spans="1:10" x14ac:dyDescent="0.3">
      <c r="A328" s="9">
        <v>45645</v>
      </c>
      <c r="B328" t="s">
        <v>16</v>
      </c>
      <c r="C328" t="s">
        <v>79</v>
      </c>
      <c r="D328" t="s">
        <v>80</v>
      </c>
      <c r="E328" t="s">
        <v>13</v>
      </c>
      <c r="F328" t="s">
        <v>18</v>
      </c>
      <c r="G328" t="s">
        <v>21</v>
      </c>
      <c r="H328">
        <v>25</v>
      </c>
      <c r="I328" s="3">
        <v>607.80999999999995</v>
      </c>
      <c r="J328" s="3">
        <f t="shared" si="5"/>
        <v>15195.249999999998</v>
      </c>
    </row>
    <row r="329" spans="1:10" x14ac:dyDescent="0.3">
      <c r="A329" s="9">
        <v>45537</v>
      </c>
      <c r="B329" t="s">
        <v>35</v>
      </c>
      <c r="C329" t="s">
        <v>41</v>
      </c>
      <c r="D329" t="s">
        <v>42</v>
      </c>
      <c r="E329" t="s">
        <v>25</v>
      </c>
      <c r="F329" t="s">
        <v>18</v>
      </c>
      <c r="G329" t="s">
        <v>38</v>
      </c>
      <c r="H329">
        <v>3</v>
      </c>
      <c r="I329" s="3">
        <v>1846.9</v>
      </c>
      <c r="J329" s="3">
        <f t="shared" si="5"/>
        <v>5540.7000000000007</v>
      </c>
    </row>
    <row r="330" spans="1:10" x14ac:dyDescent="0.3">
      <c r="A330" s="9">
        <v>45041</v>
      </c>
      <c r="B330" t="s">
        <v>39</v>
      </c>
      <c r="C330" t="s">
        <v>49</v>
      </c>
      <c r="D330" t="s">
        <v>24</v>
      </c>
      <c r="E330" t="s">
        <v>25</v>
      </c>
      <c r="F330" t="s">
        <v>18</v>
      </c>
      <c r="G330" t="s">
        <v>21</v>
      </c>
      <c r="H330">
        <v>6</v>
      </c>
      <c r="I330" s="3">
        <v>757.02</v>
      </c>
      <c r="J330" s="3">
        <f t="shared" si="5"/>
        <v>4542.12</v>
      </c>
    </row>
    <row r="331" spans="1:10" x14ac:dyDescent="0.3">
      <c r="A331" s="9">
        <v>45459</v>
      </c>
      <c r="B331" t="s">
        <v>43</v>
      </c>
      <c r="C331" t="s">
        <v>72</v>
      </c>
      <c r="D331" t="s">
        <v>58</v>
      </c>
      <c r="E331" t="s">
        <v>46</v>
      </c>
      <c r="F331" t="s">
        <v>55</v>
      </c>
      <c r="G331" t="s">
        <v>67</v>
      </c>
      <c r="H331">
        <v>16</v>
      </c>
      <c r="I331" s="3">
        <v>500.11</v>
      </c>
      <c r="J331" s="3">
        <f t="shared" si="5"/>
        <v>8001.76</v>
      </c>
    </row>
    <row r="332" spans="1:10" x14ac:dyDescent="0.3">
      <c r="A332" s="9">
        <v>45449</v>
      </c>
      <c r="B332" t="s">
        <v>43</v>
      </c>
      <c r="C332" t="s">
        <v>34</v>
      </c>
      <c r="D332" t="s">
        <v>12</v>
      </c>
      <c r="E332" t="s">
        <v>13</v>
      </c>
      <c r="F332" t="s">
        <v>26</v>
      </c>
      <c r="G332" t="s">
        <v>32</v>
      </c>
      <c r="H332">
        <v>17</v>
      </c>
      <c r="I332" s="3">
        <v>5861.96</v>
      </c>
      <c r="J332" s="3">
        <f t="shared" si="5"/>
        <v>99653.32</v>
      </c>
    </row>
    <row r="333" spans="1:10" x14ac:dyDescent="0.3">
      <c r="A333" s="9">
        <v>45504</v>
      </c>
      <c r="B333" t="s">
        <v>39</v>
      </c>
      <c r="C333" t="s">
        <v>41</v>
      </c>
      <c r="D333" t="s">
        <v>42</v>
      </c>
      <c r="E333" t="s">
        <v>25</v>
      </c>
      <c r="F333" t="s">
        <v>14</v>
      </c>
      <c r="G333" t="s">
        <v>40</v>
      </c>
      <c r="H333">
        <v>13</v>
      </c>
      <c r="I333" s="3">
        <v>379.9</v>
      </c>
      <c r="J333" s="3">
        <f t="shared" si="5"/>
        <v>4938.7</v>
      </c>
    </row>
    <row r="334" spans="1:10" x14ac:dyDescent="0.3">
      <c r="A334" s="9">
        <v>44930</v>
      </c>
      <c r="B334" t="s">
        <v>71</v>
      </c>
      <c r="C334" t="s">
        <v>17</v>
      </c>
      <c r="D334" t="s">
        <v>12</v>
      </c>
      <c r="E334" t="s">
        <v>13</v>
      </c>
      <c r="F334" t="s">
        <v>68</v>
      </c>
      <c r="G334" t="s">
        <v>76</v>
      </c>
      <c r="H334">
        <v>12</v>
      </c>
      <c r="I334" s="3">
        <v>286.14999999999998</v>
      </c>
      <c r="J334" s="3">
        <f t="shared" si="5"/>
        <v>3433.7999999999997</v>
      </c>
    </row>
    <row r="335" spans="1:10" x14ac:dyDescent="0.3">
      <c r="A335" s="9">
        <v>45481</v>
      </c>
      <c r="B335" t="s">
        <v>39</v>
      </c>
      <c r="C335" t="s">
        <v>17</v>
      </c>
      <c r="D335" t="s">
        <v>12</v>
      </c>
      <c r="E335" t="s">
        <v>13</v>
      </c>
      <c r="F335" t="s">
        <v>26</v>
      </c>
      <c r="G335" t="s">
        <v>32</v>
      </c>
      <c r="H335">
        <v>10</v>
      </c>
      <c r="I335" s="3">
        <v>5793.1</v>
      </c>
      <c r="J335" s="3">
        <f t="shared" si="5"/>
        <v>57931</v>
      </c>
    </row>
    <row r="336" spans="1:10" x14ac:dyDescent="0.3">
      <c r="A336" s="9">
        <v>45065</v>
      </c>
      <c r="B336" t="s">
        <v>22</v>
      </c>
      <c r="C336" t="s">
        <v>52</v>
      </c>
      <c r="D336" t="s">
        <v>53</v>
      </c>
      <c r="E336" t="s">
        <v>54</v>
      </c>
      <c r="F336" t="s">
        <v>26</v>
      </c>
      <c r="G336" t="s">
        <v>50</v>
      </c>
      <c r="H336">
        <v>13</v>
      </c>
      <c r="I336" s="3">
        <v>5444.28</v>
      </c>
      <c r="J336" s="3">
        <f t="shared" si="5"/>
        <v>70775.64</v>
      </c>
    </row>
    <row r="337" spans="1:10" x14ac:dyDescent="0.3">
      <c r="A337" s="9">
        <v>45626</v>
      </c>
      <c r="B337" t="s">
        <v>16</v>
      </c>
      <c r="C337" t="s">
        <v>57</v>
      </c>
      <c r="D337" t="s">
        <v>58</v>
      </c>
      <c r="E337" t="s">
        <v>46</v>
      </c>
      <c r="F337" t="s">
        <v>14</v>
      </c>
      <c r="G337" t="s">
        <v>40</v>
      </c>
      <c r="H337">
        <v>6</v>
      </c>
      <c r="I337" s="3">
        <v>1192.1300000000001</v>
      </c>
      <c r="J337" s="3">
        <f t="shared" si="5"/>
        <v>7152.7800000000007</v>
      </c>
    </row>
    <row r="338" spans="1:10" x14ac:dyDescent="0.3">
      <c r="A338" s="9">
        <v>45329</v>
      </c>
      <c r="B338" t="s">
        <v>77</v>
      </c>
      <c r="C338" t="s">
        <v>57</v>
      </c>
      <c r="D338" t="s">
        <v>58</v>
      </c>
      <c r="E338" t="s">
        <v>46</v>
      </c>
      <c r="F338" t="s">
        <v>55</v>
      </c>
      <c r="G338" t="s">
        <v>74</v>
      </c>
      <c r="H338">
        <v>25</v>
      </c>
      <c r="I338" s="3">
        <v>275.02999999999997</v>
      </c>
      <c r="J338" s="3">
        <f t="shared" si="5"/>
        <v>6875.7499999999991</v>
      </c>
    </row>
    <row r="339" spans="1:10" x14ac:dyDescent="0.3">
      <c r="A339" s="9">
        <v>45232</v>
      </c>
      <c r="B339" t="s">
        <v>43</v>
      </c>
      <c r="C339" t="s">
        <v>29</v>
      </c>
      <c r="D339" t="s">
        <v>30</v>
      </c>
      <c r="E339" t="s">
        <v>13</v>
      </c>
      <c r="F339" t="s">
        <v>18</v>
      </c>
      <c r="G339" t="s">
        <v>19</v>
      </c>
      <c r="H339">
        <v>8</v>
      </c>
      <c r="I339" s="3">
        <v>607.9</v>
      </c>
      <c r="J339" s="3">
        <f t="shared" si="5"/>
        <v>4863.2</v>
      </c>
    </row>
    <row r="340" spans="1:10" x14ac:dyDescent="0.3">
      <c r="A340" s="9">
        <v>45281</v>
      </c>
      <c r="B340" t="s">
        <v>51</v>
      </c>
      <c r="C340" t="s">
        <v>61</v>
      </c>
      <c r="D340" t="s">
        <v>37</v>
      </c>
      <c r="E340" t="s">
        <v>25</v>
      </c>
      <c r="F340" t="s">
        <v>55</v>
      </c>
      <c r="G340" t="s">
        <v>74</v>
      </c>
      <c r="H340">
        <v>2</v>
      </c>
      <c r="I340" s="3">
        <v>2871.28</v>
      </c>
      <c r="J340" s="3">
        <f t="shared" si="5"/>
        <v>5742.56</v>
      </c>
    </row>
    <row r="341" spans="1:10" x14ac:dyDescent="0.3">
      <c r="A341" s="9">
        <v>45356</v>
      </c>
      <c r="B341" t="s">
        <v>60</v>
      </c>
      <c r="C341" t="s">
        <v>11</v>
      </c>
      <c r="D341" t="s">
        <v>12</v>
      </c>
      <c r="E341" t="s">
        <v>13</v>
      </c>
      <c r="F341" t="s">
        <v>55</v>
      </c>
      <c r="G341" t="s">
        <v>56</v>
      </c>
      <c r="H341">
        <v>3</v>
      </c>
      <c r="I341" s="3">
        <v>532.96</v>
      </c>
      <c r="J341" s="3">
        <f t="shared" si="5"/>
        <v>1598.88</v>
      </c>
    </row>
    <row r="342" spans="1:10" x14ac:dyDescent="0.3">
      <c r="A342" s="9">
        <v>44961</v>
      </c>
      <c r="B342" t="s">
        <v>43</v>
      </c>
      <c r="C342" t="s">
        <v>34</v>
      </c>
      <c r="D342" t="s">
        <v>12</v>
      </c>
      <c r="E342" t="s">
        <v>13</v>
      </c>
      <c r="F342" t="s">
        <v>55</v>
      </c>
      <c r="G342" t="s">
        <v>74</v>
      </c>
      <c r="H342">
        <v>13</v>
      </c>
      <c r="I342" s="3">
        <v>1648.58</v>
      </c>
      <c r="J342" s="3">
        <f t="shared" si="5"/>
        <v>21431.54</v>
      </c>
    </row>
    <row r="343" spans="1:10" x14ac:dyDescent="0.3">
      <c r="A343" s="9">
        <v>45479</v>
      </c>
      <c r="B343" t="s">
        <v>71</v>
      </c>
      <c r="C343" t="s">
        <v>34</v>
      </c>
      <c r="D343" t="s">
        <v>12</v>
      </c>
      <c r="E343" t="s">
        <v>13</v>
      </c>
      <c r="F343" t="s">
        <v>55</v>
      </c>
      <c r="G343" t="s">
        <v>67</v>
      </c>
      <c r="H343">
        <v>10</v>
      </c>
      <c r="I343" s="3">
        <v>972.73</v>
      </c>
      <c r="J343" s="3">
        <f t="shared" si="5"/>
        <v>9727.2999999999993</v>
      </c>
    </row>
    <row r="344" spans="1:10" x14ac:dyDescent="0.3">
      <c r="A344" s="9">
        <v>45516</v>
      </c>
      <c r="B344" t="s">
        <v>48</v>
      </c>
      <c r="C344" t="s">
        <v>65</v>
      </c>
      <c r="D344" t="s">
        <v>66</v>
      </c>
      <c r="E344" t="s">
        <v>54</v>
      </c>
      <c r="F344" t="s">
        <v>55</v>
      </c>
      <c r="G344" t="s">
        <v>64</v>
      </c>
      <c r="H344">
        <v>5</v>
      </c>
      <c r="I344" s="3">
        <v>3452.8</v>
      </c>
      <c r="J344" s="3">
        <f t="shared" si="5"/>
        <v>17264</v>
      </c>
    </row>
    <row r="345" spans="1:10" x14ac:dyDescent="0.3">
      <c r="A345" s="9">
        <v>45460</v>
      </c>
      <c r="B345" t="s">
        <v>20</v>
      </c>
      <c r="C345" t="s">
        <v>29</v>
      </c>
      <c r="D345" t="s">
        <v>30</v>
      </c>
      <c r="E345" t="s">
        <v>13</v>
      </c>
      <c r="F345" t="s">
        <v>14</v>
      </c>
      <c r="G345" t="s">
        <v>31</v>
      </c>
      <c r="H345">
        <v>2</v>
      </c>
      <c r="I345" s="3">
        <v>712.39</v>
      </c>
      <c r="J345" s="3">
        <f t="shared" si="5"/>
        <v>1424.78</v>
      </c>
    </row>
    <row r="346" spans="1:10" x14ac:dyDescent="0.3">
      <c r="A346" s="9">
        <v>45532</v>
      </c>
      <c r="B346" t="s">
        <v>28</v>
      </c>
      <c r="C346" t="s">
        <v>29</v>
      </c>
      <c r="D346" t="s">
        <v>30</v>
      </c>
      <c r="E346" t="s">
        <v>13</v>
      </c>
      <c r="F346" t="s">
        <v>18</v>
      </c>
      <c r="G346" t="s">
        <v>19</v>
      </c>
      <c r="H346">
        <v>2</v>
      </c>
      <c r="I346" s="3">
        <v>1948.74</v>
      </c>
      <c r="J346" s="3">
        <f t="shared" si="5"/>
        <v>3897.48</v>
      </c>
    </row>
    <row r="347" spans="1:10" x14ac:dyDescent="0.3">
      <c r="A347" s="9">
        <v>45585</v>
      </c>
      <c r="B347" t="s">
        <v>51</v>
      </c>
      <c r="C347" t="s">
        <v>65</v>
      </c>
      <c r="D347" t="s">
        <v>66</v>
      </c>
      <c r="E347" t="s">
        <v>54</v>
      </c>
      <c r="F347" t="s">
        <v>26</v>
      </c>
      <c r="G347" t="s">
        <v>50</v>
      </c>
      <c r="H347">
        <v>5</v>
      </c>
      <c r="I347" s="3">
        <v>4648.83</v>
      </c>
      <c r="J347" s="3">
        <f t="shared" si="5"/>
        <v>23244.15</v>
      </c>
    </row>
    <row r="348" spans="1:10" x14ac:dyDescent="0.3">
      <c r="A348" s="9">
        <v>45115</v>
      </c>
      <c r="B348" t="s">
        <v>16</v>
      </c>
      <c r="C348" t="s">
        <v>79</v>
      </c>
      <c r="D348" t="s">
        <v>80</v>
      </c>
      <c r="E348" t="s">
        <v>13</v>
      </c>
      <c r="F348" t="s">
        <v>55</v>
      </c>
      <c r="G348" t="s">
        <v>56</v>
      </c>
      <c r="H348">
        <v>10</v>
      </c>
      <c r="I348" s="3">
        <v>3029.89</v>
      </c>
      <c r="J348" s="3">
        <f t="shared" si="5"/>
        <v>30298.899999999998</v>
      </c>
    </row>
    <row r="349" spans="1:10" x14ac:dyDescent="0.3">
      <c r="A349" s="9">
        <v>45074</v>
      </c>
      <c r="B349" t="s">
        <v>43</v>
      </c>
      <c r="C349" t="s">
        <v>34</v>
      </c>
      <c r="D349" t="s">
        <v>12</v>
      </c>
      <c r="E349" t="s">
        <v>13</v>
      </c>
      <c r="F349" t="s">
        <v>18</v>
      </c>
      <c r="G349" t="s">
        <v>19</v>
      </c>
      <c r="H349">
        <v>14</v>
      </c>
      <c r="I349" s="3">
        <v>1180.98</v>
      </c>
      <c r="J349" s="3">
        <f t="shared" si="5"/>
        <v>16533.72</v>
      </c>
    </row>
    <row r="350" spans="1:10" x14ac:dyDescent="0.3">
      <c r="A350" s="9">
        <v>45064</v>
      </c>
      <c r="B350" t="s">
        <v>51</v>
      </c>
      <c r="C350" t="s">
        <v>23</v>
      </c>
      <c r="D350" t="s">
        <v>24</v>
      </c>
      <c r="E350" t="s">
        <v>25</v>
      </c>
      <c r="F350" t="s">
        <v>14</v>
      </c>
      <c r="G350" t="s">
        <v>15</v>
      </c>
      <c r="H350">
        <v>11</v>
      </c>
      <c r="I350" s="3">
        <v>811.38</v>
      </c>
      <c r="J350" s="3">
        <f t="shared" si="5"/>
        <v>8925.18</v>
      </c>
    </row>
    <row r="351" spans="1:10" x14ac:dyDescent="0.3">
      <c r="A351" s="9">
        <v>45387</v>
      </c>
      <c r="B351" t="s">
        <v>81</v>
      </c>
      <c r="C351" t="s">
        <v>17</v>
      </c>
      <c r="D351" t="s">
        <v>12</v>
      </c>
      <c r="E351" t="s">
        <v>13</v>
      </c>
      <c r="F351" t="s">
        <v>18</v>
      </c>
      <c r="G351" t="s">
        <v>21</v>
      </c>
      <c r="H351">
        <v>2</v>
      </c>
      <c r="I351" s="3">
        <v>646.65</v>
      </c>
      <c r="J351" s="3">
        <f t="shared" si="5"/>
        <v>1293.3</v>
      </c>
    </row>
    <row r="352" spans="1:10" x14ac:dyDescent="0.3">
      <c r="A352" s="9">
        <v>45616</v>
      </c>
      <c r="B352" t="s">
        <v>60</v>
      </c>
      <c r="C352" t="s">
        <v>34</v>
      </c>
      <c r="D352" t="s">
        <v>12</v>
      </c>
      <c r="E352" t="s">
        <v>13</v>
      </c>
      <c r="F352" t="s">
        <v>68</v>
      </c>
      <c r="G352" t="s">
        <v>86</v>
      </c>
      <c r="H352">
        <v>25</v>
      </c>
      <c r="I352" s="3">
        <v>243.28</v>
      </c>
      <c r="J352" s="3">
        <f t="shared" si="5"/>
        <v>6082</v>
      </c>
    </row>
    <row r="353" spans="1:10" x14ac:dyDescent="0.3">
      <c r="A353" s="9">
        <v>45614</v>
      </c>
      <c r="B353" t="s">
        <v>16</v>
      </c>
      <c r="C353" t="s">
        <v>49</v>
      </c>
      <c r="D353" t="s">
        <v>24</v>
      </c>
      <c r="E353" t="s">
        <v>25</v>
      </c>
      <c r="F353" t="s">
        <v>26</v>
      </c>
      <c r="G353" t="s">
        <v>32</v>
      </c>
      <c r="H353">
        <v>11</v>
      </c>
      <c r="I353" s="3">
        <v>4683.47</v>
      </c>
      <c r="J353" s="3">
        <f t="shared" si="5"/>
        <v>51518.170000000006</v>
      </c>
    </row>
    <row r="354" spans="1:10" x14ac:dyDescent="0.3">
      <c r="A354" s="9">
        <v>44942</v>
      </c>
      <c r="B354" t="s">
        <v>71</v>
      </c>
      <c r="C354" t="s">
        <v>49</v>
      </c>
      <c r="D354" t="s">
        <v>24</v>
      </c>
      <c r="E354" t="s">
        <v>25</v>
      </c>
      <c r="F354" t="s">
        <v>68</v>
      </c>
      <c r="G354" t="s">
        <v>69</v>
      </c>
      <c r="H354">
        <v>25</v>
      </c>
      <c r="I354" s="3">
        <v>201.99</v>
      </c>
      <c r="J354" s="3">
        <f t="shared" si="5"/>
        <v>5049.75</v>
      </c>
    </row>
    <row r="355" spans="1:10" x14ac:dyDescent="0.3">
      <c r="A355" s="9">
        <v>45175</v>
      </c>
      <c r="B355" t="s">
        <v>60</v>
      </c>
      <c r="C355" t="s">
        <v>49</v>
      </c>
      <c r="D355" t="s">
        <v>24</v>
      </c>
      <c r="E355" t="s">
        <v>25</v>
      </c>
      <c r="F355" t="s">
        <v>26</v>
      </c>
      <c r="G355" t="s">
        <v>32</v>
      </c>
      <c r="H355">
        <v>18</v>
      </c>
      <c r="I355" s="3">
        <v>4876.96</v>
      </c>
      <c r="J355" s="3">
        <f t="shared" si="5"/>
        <v>87785.279999999999</v>
      </c>
    </row>
    <row r="356" spans="1:10" x14ac:dyDescent="0.3">
      <c r="A356" s="9">
        <v>45216</v>
      </c>
      <c r="B356" t="s">
        <v>51</v>
      </c>
      <c r="C356" t="s">
        <v>41</v>
      </c>
      <c r="D356" t="s">
        <v>42</v>
      </c>
      <c r="E356" t="s">
        <v>25</v>
      </c>
      <c r="F356" t="s">
        <v>18</v>
      </c>
      <c r="G356" t="s">
        <v>38</v>
      </c>
      <c r="H356">
        <v>10</v>
      </c>
      <c r="I356" s="3">
        <v>633.89</v>
      </c>
      <c r="J356" s="3">
        <f t="shared" si="5"/>
        <v>6338.9</v>
      </c>
    </row>
    <row r="357" spans="1:10" x14ac:dyDescent="0.3">
      <c r="A357" s="9">
        <v>45452</v>
      </c>
      <c r="B357" t="s">
        <v>85</v>
      </c>
      <c r="C357" t="s">
        <v>41</v>
      </c>
      <c r="D357" t="s">
        <v>42</v>
      </c>
      <c r="E357" t="s">
        <v>25</v>
      </c>
      <c r="F357" t="s">
        <v>68</v>
      </c>
      <c r="G357" t="s">
        <v>84</v>
      </c>
      <c r="H357">
        <v>24</v>
      </c>
      <c r="I357" s="3">
        <v>198.41</v>
      </c>
      <c r="J357" s="3">
        <f t="shared" si="5"/>
        <v>4761.84</v>
      </c>
    </row>
    <row r="358" spans="1:10" x14ac:dyDescent="0.3">
      <c r="A358" s="9">
        <v>45254</v>
      </c>
      <c r="B358" t="s">
        <v>71</v>
      </c>
      <c r="C358" t="s">
        <v>52</v>
      </c>
      <c r="D358" t="s">
        <v>53</v>
      </c>
      <c r="E358" t="s">
        <v>54</v>
      </c>
      <c r="F358" t="s">
        <v>14</v>
      </c>
      <c r="G358" t="s">
        <v>47</v>
      </c>
      <c r="H358">
        <v>2</v>
      </c>
      <c r="I358" s="3">
        <v>718.78</v>
      </c>
      <c r="J358" s="3">
        <f t="shared" si="5"/>
        <v>1437.56</v>
      </c>
    </row>
    <row r="359" spans="1:10" x14ac:dyDescent="0.3">
      <c r="A359" s="9">
        <v>45153</v>
      </c>
      <c r="B359" t="s">
        <v>51</v>
      </c>
      <c r="C359" t="s">
        <v>11</v>
      </c>
      <c r="D359" t="s">
        <v>12</v>
      </c>
      <c r="E359" t="s">
        <v>13</v>
      </c>
      <c r="F359" t="s">
        <v>14</v>
      </c>
      <c r="G359" t="s">
        <v>47</v>
      </c>
      <c r="H359">
        <v>10</v>
      </c>
      <c r="I359" s="3">
        <v>267.64999999999998</v>
      </c>
      <c r="J359" s="3">
        <f t="shared" si="5"/>
        <v>2676.5</v>
      </c>
    </row>
    <row r="360" spans="1:10" x14ac:dyDescent="0.3">
      <c r="A360" s="9">
        <v>45264</v>
      </c>
      <c r="B360" t="s">
        <v>20</v>
      </c>
      <c r="C360" t="s">
        <v>44</v>
      </c>
      <c r="D360" t="s">
        <v>45</v>
      </c>
      <c r="E360" t="s">
        <v>46</v>
      </c>
      <c r="F360" t="s">
        <v>18</v>
      </c>
      <c r="G360" t="s">
        <v>21</v>
      </c>
      <c r="H360">
        <v>16</v>
      </c>
      <c r="I360" s="3">
        <v>1168.69</v>
      </c>
      <c r="J360" s="3">
        <f t="shared" si="5"/>
        <v>18699.04</v>
      </c>
    </row>
    <row r="361" spans="1:10" x14ac:dyDescent="0.3">
      <c r="A361" s="9">
        <v>45628</v>
      </c>
      <c r="B361" t="s">
        <v>48</v>
      </c>
      <c r="C361" t="s">
        <v>61</v>
      </c>
      <c r="D361" t="s">
        <v>37</v>
      </c>
      <c r="E361" t="s">
        <v>25</v>
      </c>
      <c r="F361" t="s">
        <v>26</v>
      </c>
      <c r="G361" t="s">
        <v>27</v>
      </c>
      <c r="H361">
        <v>21</v>
      </c>
      <c r="I361" s="3">
        <v>9265.74</v>
      </c>
      <c r="J361" s="3">
        <f t="shared" si="5"/>
        <v>194580.54</v>
      </c>
    </row>
    <row r="362" spans="1:10" x14ac:dyDescent="0.3">
      <c r="A362" s="9">
        <v>45398</v>
      </c>
      <c r="B362" t="s">
        <v>28</v>
      </c>
      <c r="C362" t="s">
        <v>52</v>
      </c>
      <c r="D362" t="s">
        <v>53</v>
      </c>
      <c r="E362" t="s">
        <v>54</v>
      </c>
      <c r="F362" t="s">
        <v>55</v>
      </c>
      <c r="G362" t="s">
        <v>56</v>
      </c>
      <c r="H362">
        <v>24</v>
      </c>
      <c r="I362" s="3">
        <v>2003.6</v>
      </c>
      <c r="J362" s="3">
        <f t="shared" si="5"/>
        <v>48086.399999999994</v>
      </c>
    </row>
    <row r="363" spans="1:10" x14ac:dyDescent="0.3">
      <c r="A363" s="9">
        <v>45115</v>
      </c>
      <c r="B363" t="s">
        <v>16</v>
      </c>
      <c r="C363" t="s">
        <v>34</v>
      </c>
      <c r="D363" t="s">
        <v>12</v>
      </c>
      <c r="E363" t="s">
        <v>13</v>
      </c>
      <c r="F363" t="s">
        <v>18</v>
      </c>
      <c r="G363" t="s">
        <v>75</v>
      </c>
      <c r="H363">
        <v>3</v>
      </c>
      <c r="I363" s="3">
        <v>1898.6</v>
      </c>
      <c r="J363" s="3">
        <f t="shared" si="5"/>
        <v>5695.7999999999993</v>
      </c>
    </row>
    <row r="364" spans="1:10" x14ac:dyDescent="0.3">
      <c r="A364" s="9">
        <v>45611</v>
      </c>
      <c r="B364" t="s">
        <v>39</v>
      </c>
      <c r="C364" t="s">
        <v>11</v>
      </c>
      <c r="D364" t="s">
        <v>12</v>
      </c>
      <c r="E364" t="s">
        <v>13</v>
      </c>
      <c r="F364" t="s">
        <v>26</v>
      </c>
      <c r="G364" t="s">
        <v>32</v>
      </c>
      <c r="H364">
        <v>21</v>
      </c>
      <c r="I364" s="3">
        <v>3930.05</v>
      </c>
      <c r="J364" s="3">
        <f t="shared" si="5"/>
        <v>82531.05</v>
      </c>
    </row>
    <row r="365" spans="1:10" x14ac:dyDescent="0.3">
      <c r="A365" s="9">
        <v>45651</v>
      </c>
      <c r="B365" t="s">
        <v>51</v>
      </c>
      <c r="C365" t="s">
        <v>11</v>
      </c>
      <c r="D365" t="s">
        <v>12</v>
      </c>
      <c r="E365" t="s">
        <v>13</v>
      </c>
      <c r="F365" t="s">
        <v>55</v>
      </c>
      <c r="G365" t="s">
        <v>67</v>
      </c>
      <c r="H365">
        <v>15</v>
      </c>
      <c r="I365" s="3">
        <v>1431.56</v>
      </c>
      <c r="J365" s="3">
        <f t="shared" si="5"/>
        <v>21473.399999999998</v>
      </c>
    </row>
    <row r="366" spans="1:10" x14ac:dyDescent="0.3">
      <c r="A366" s="9">
        <v>45559</v>
      </c>
      <c r="B366" t="s">
        <v>60</v>
      </c>
      <c r="C366" t="s">
        <v>79</v>
      </c>
      <c r="D366" t="s">
        <v>80</v>
      </c>
      <c r="E366" t="s">
        <v>13</v>
      </c>
      <c r="F366" t="s">
        <v>26</v>
      </c>
      <c r="G366" t="s">
        <v>32</v>
      </c>
      <c r="H366">
        <v>1</v>
      </c>
      <c r="I366" s="3">
        <v>7088.23</v>
      </c>
      <c r="J366" s="3">
        <f t="shared" si="5"/>
        <v>7088.23</v>
      </c>
    </row>
    <row r="367" spans="1:10" x14ac:dyDescent="0.3">
      <c r="A367" s="9">
        <v>45348</v>
      </c>
      <c r="B367" t="s">
        <v>62</v>
      </c>
      <c r="C367" t="s">
        <v>11</v>
      </c>
      <c r="D367" t="s">
        <v>12</v>
      </c>
      <c r="E367" t="s">
        <v>13</v>
      </c>
      <c r="F367" t="s">
        <v>18</v>
      </c>
      <c r="G367" t="s">
        <v>38</v>
      </c>
      <c r="H367">
        <v>18</v>
      </c>
      <c r="I367" s="3">
        <v>1958.34</v>
      </c>
      <c r="J367" s="3">
        <f t="shared" si="5"/>
        <v>35250.119999999995</v>
      </c>
    </row>
    <row r="368" spans="1:10" x14ac:dyDescent="0.3">
      <c r="A368" s="9">
        <v>44944</v>
      </c>
      <c r="B368" t="s">
        <v>77</v>
      </c>
      <c r="C368" t="s">
        <v>29</v>
      </c>
      <c r="D368" t="s">
        <v>30</v>
      </c>
      <c r="E368" t="s">
        <v>13</v>
      </c>
      <c r="F368" t="s">
        <v>55</v>
      </c>
      <c r="G368" t="s">
        <v>74</v>
      </c>
      <c r="H368">
        <v>4</v>
      </c>
      <c r="I368" s="3">
        <v>1930.47</v>
      </c>
      <c r="J368" s="3">
        <f t="shared" si="5"/>
        <v>7721.88</v>
      </c>
    </row>
    <row r="369" spans="1:10" x14ac:dyDescent="0.3">
      <c r="A369" s="9">
        <v>45173</v>
      </c>
      <c r="B369" t="s">
        <v>71</v>
      </c>
      <c r="C369" t="s">
        <v>61</v>
      </c>
      <c r="D369" t="s">
        <v>37</v>
      </c>
      <c r="E369" t="s">
        <v>25</v>
      </c>
      <c r="F369" t="s">
        <v>14</v>
      </c>
      <c r="G369" t="s">
        <v>31</v>
      </c>
      <c r="H369">
        <v>13</v>
      </c>
      <c r="I369" s="3">
        <v>186.92</v>
      </c>
      <c r="J369" s="3">
        <f t="shared" si="5"/>
        <v>2429.96</v>
      </c>
    </row>
    <row r="370" spans="1:10" x14ac:dyDescent="0.3">
      <c r="A370" s="9">
        <v>45342</v>
      </c>
      <c r="B370" t="s">
        <v>43</v>
      </c>
      <c r="C370" t="s">
        <v>23</v>
      </c>
      <c r="D370" t="s">
        <v>24</v>
      </c>
      <c r="E370" t="s">
        <v>25</v>
      </c>
      <c r="F370" t="s">
        <v>55</v>
      </c>
      <c r="G370" t="s">
        <v>64</v>
      </c>
      <c r="H370">
        <v>22</v>
      </c>
      <c r="I370" s="3">
        <v>2932.6</v>
      </c>
      <c r="J370" s="3">
        <f t="shared" si="5"/>
        <v>64517.2</v>
      </c>
    </row>
    <row r="371" spans="1:10" x14ac:dyDescent="0.3">
      <c r="A371" s="9">
        <v>45009</v>
      </c>
      <c r="B371" t="s">
        <v>39</v>
      </c>
      <c r="C371" t="s">
        <v>17</v>
      </c>
      <c r="D371" t="s">
        <v>12</v>
      </c>
      <c r="E371" t="s">
        <v>13</v>
      </c>
      <c r="F371" t="s">
        <v>26</v>
      </c>
      <c r="G371" t="s">
        <v>50</v>
      </c>
      <c r="H371">
        <v>13</v>
      </c>
      <c r="I371" s="3">
        <v>7303.37</v>
      </c>
      <c r="J371" s="3">
        <f t="shared" si="5"/>
        <v>94943.81</v>
      </c>
    </row>
    <row r="372" spans="1:10" x14ac:dyDescent="0.3">
      <c r="A372" s="9">
        <v>44984</v>
      </c>
      <c r="B372" t="s">
        <v>62</v>
      </c>
      <c r="C372" t="s">
        <v>78</v>
      </c>
      <c r="D372" t="s">
        <v>58</v>
      </c>
      <c r="E372" t="s">
        <v>46</v>
      </c>
      <c r="F372" t="s">
        <v>68</v>
      </c>
      <c r="G372" t="s">
        <v>76</v>
      </c>
      <c r="H372">
        <v>14</v>
      </c>
      <c r="I372" s="3">
        <v>265.06</v>
      </c>
      <c r="J372" s="3">
        <f t="shared" si="5"/>
        <v>3710.84</v>
      </c>
    </row>
    <row r="373" spans="1:10" x14ac:dyDescent="0.3">
      <c r="A373" s="9">
        <v>45266</v>
      </c>
      <c r="B373" t="s">
        <v>82</v>
      </c>
      <c r="C373" t="s">
        <v>72</v>
      </c>
      <c r="D373" t="s">
        <v>58</v>
      </c>
      <c r="E373" t="s">
        <v>46</v>
      </c>
      <c r="F373" t="s">
        <v>18</v>
      </c>
      <c r="G373" t="s">
        <v>75</v>
      </c>
      <c r="H373">
        <v>8</v>
      </c>
      <c r="I373" s="3">
        <v>541.12</v>
      </c>
      <c r="J373" s="3">
        <f t="shared" si="5"/>
        <v>4328.96</v>
      </c>
    </row>
    <row r="374" spans="1:10" x14ac:dyDescent="0.3">
      <c r="A374" s="9">
        <v>45635</v>
      </c>
      <c r="B374" t="s">
        <v>82</v>
      </c>
      <c r="C374" t="s">
        <v>79</v>
      </c>
      <c r="D374" t="s">
        <v>80</v>
      </c>
      <c r="E374" t="s">
        <v>13</v>
      </c>
      <c r="F374" t="s">
        <v>14</v>
      </c>
      <c r="G374" t="s">
        <v>40</v>
      </c>
      <c r="H374">
        <v>3</v>
      </c>
      <c r="I374" s="3">
        <v>852.87</v>
      </c>
      <c r="J374" s="3">
        <f t="shared" si="5"/>
        <v>2558.61</v>
      </c>
    </row>
    <row r="375" spans="1:10" x14ac:dyDescent="0.3">
      <c r="A375" s="9">
        <v>45214</v>
      </c>
      <c r="B375" t="s">
        <v>16</v>
      </c>
      <c r="C375" t="s">
        <v>34</v>
      </c>
      <c r="D375" t="s">
        <v>12</v>
      </c>
      <c r="E375" t="s">
        <v>13</v>
      </c>
      <c r="F375" t="s">
        <v>55</v>
      </c>
      <c r="G375" t="s">
        <v>64</v>
      </c>
      <c r="H375">
        <v>1</v>
      </c>
      <c r="I375" s="3">
        <v>3372.85</v>
      </c>
      <c r="J375" s="3">
        <f t="shared" si="5"/>
        <v>3372.85</v>
      </c>
    </row>
    <row r="376" spans="1:10" x14ac:dyDescent="0.3">
      <c r="A376" s="9">
        <v>45528</v>
      </c>
      <c r="B376" t="s">
        <v>51</v>
      </c>
      <c r="C376" t="s">
        <v>44</v>
      </c>
      <c r="D376" t="s">
        <v>45</v>
      </c>
      <c r="E376" t="s">
        <v>46</v>
      </c>
      <c r="F376" t="s">
        <v>68</v>
      </c>
      <c r="G376" t="s">
        <v>83</v>
      </c>
      <c r="H376">
        <v>6</v>
      </c>
      <c r="I376" s="3">
        <v>234.3</v>
      </c>
      <c r="J376" s="3">
        <f t="shared" si="5"/>
        <v>1405.8000000000002</v>
      </c>
    </row>
    <row r="377" spans="1:10" x14ac:dyDescent="0.3">
      <c r="A377" s="9">
        <v>45507</v>
      </c>
      <c r="B377" t="s">
        <v>51</v>
      </c>
      <c r="C377" t="s">
        <v>65</v>
      </c>
      <c r="D377" t="s">
        <v>66</v>
      </c>
      <c r="E377" t="s">
        <v>54</v>
      </c>
      <c r="F377" t="s">
        <v>26</v>
      </c>
      <c r="G377" t="s">
        <v>27</v>
      </c>
      <c r="H377">
        <v>5</v>
      </c>
      <c r="I377" s="3">
        <v>9800.23</v>
      </c>
      <c r="J377" s="3">
        <f t="shared" si="5"/>
        <v>49001.149999999994</v>
      </c>
    </row>
    <row r="378" spans="1:10" x14ac:dyDescent="0.3">
      <c r="A378" s="9">
        <v>45632</v>
      </c>
      <c r="B378" t="s">
        <v>35</v>
      </c>
      <c r="C378" t="s">
        <v>52</v>
      </c>
      <c r="D378" t="s">
        <v>53</v>
      </c>
      <c r="E378" t="s">
        <v>54</v>
      </c>
      <c r="F378" t="s">
        <v>68</v>
      </c>
      <c r="G378" t="s">
        <v>73</v>
      </c>
      <c r="H378">
        <v>14</v>
      </c>
      <c r="I378" s="3">
        <v>108.21</v>
      </c>
      <c r="J378" s="3">
        <f t="shared" si="5"/>
        <v>1514.9399999999998</v>
      </c>
    </row>
    <row r="379" spans="1:10" x14ac:dyDescent="0.3">
      <c r="A379" s="9">
        <v>45004</v>
      </c>
      <c r="B379" t="s">
        <v>48</v>
      </c>
      <c r="C379" t="s">
        <v>44</v>
      </c>
      <c r="D379" t="s">
        <v>45</v>
      </c>
      <c r="E379" t="s">
        <v>46</v>
      </c>
      <c r="F379" t="s">
        <v>14</v>
      </c>
      <c r="G379" t="s">
        <v>40</v>
      </c>
      <c r="H379">
        <v>21</v>
      </c>
      <c r="I379" s="3">
        <v>400.66</v>
      </c>
      <c r="J379" s="3">
        <f t="shared" si="5"/>
        <v>8413.86</v>
      </c>
    </row>
    <row r="380" spans="1:10" x14ac:dyDescent="0.3">
      <c r="A380" s="9">
        <v>45388</v>
      </c>
      <c r="B380" t="s">
        <v>85</v>
      </c>
      <c r="C380" t="s">
        <v>23</v>
      </c>
      <c r="D380" t="s">
        <v>24</v>
      </c>
      <c r="E380" t="s">
        <v>25</v>
      </c>
      <c r="F380" t="s">
        <v>14</v>
      </c>
      <c r="G380" t="s">
        <v>47</v>
      </c>
      <c r="H380">
        <v>14</v>
      </c>
      <c r="I380" s="3">
        <v>304.31</v>
      </c>
      <c r="J380" s="3">
        <f t="shared" si="5"/>
        <v>4260.34</v>
      </c>
    </row>
    <row r="381" spans="1:10" x14ac:dyDescent="0.3">
      <c r="A381" s="9">
        <v>45526</v>
      </c>
      <c r="B381" t="s">
        <v>51</v>
      </c>
      <c r="C381" t="s">
        <v>17</v>
      </c>
      <c r="D381" t="s">
        <v>12</v>
      </c>
      <c r="E381" t="s">
        <v>13</v>
      </c>
      <c r="F381" t="s">
        <v>18</v>
      </c>
      <c r="G381" t="s">
        <v>38</v>
      </c>
      <c r="H381">
        <v>8</v>
      </c>
      <c r="I381" s="3">
        <v>1469.25</v>
      </c>
      <c r="J381" s="3">
        <f t="shared" si="5"/>
        <v>11754</v>
      </c>
    </row>
    <row r="382" spans="1:10" x14ac:dyDescent="0.3">
      <c r="A382" s="9">
        <v>45011</v>
      </c>
      <c r="B382" t="s">
        <v>33</v>
      </c>
      <c r="C382" t="s">
        <v>57</v>
      </c>
      <c r="D382" t="s">
        <v>58</v>
      </c>
      <c r="E382" t="s">
        <v>46</v>
      </c>
      <c r="F382" t="s">
        <v>26</v>
      </c>
      <c r="G382" t="s">
        <v>27</v>
      </c>
      <c r="H382">
        <v>21</v>
      </c>
      <c r="I382" s="3">
        <v>3119.91</v>
      </c>
      <c r="J382" s="3">
        <f t="shared" si="5"/>
        <v>65518.11</v>
      </c>
    </row>
    <row r="383" spans="1:10" x14ac:dyDescent="0.3">
      <c r="A383" s="9">
        <v>45325</v>
      </c>
      <c r="B383" t="s">
        <v>48</v>
      </c>
      <c r="C383" t="s">
        <v>52</v>
      </c>
      <c r="D383" t="s">
        <v>53</v>
      </c>
      <c r="E383" t="s">
        <v>54</v>
      </c>
      <c r="F383" t="s">
        <v>68</v>
      </c>
      <c r="G383" t="s">
        <v>73</v>
      </c>
      <c r="H383">
        <v>1</v>
      </c>
      <c r="I383" s="3">
        <v>378.32</v>
      </c>
      <c r="J383" s="3">
        <f t="shared" si="5"/>
        <v>378.32</v>
      </c>
    </row>
    <row r="384" spans="1:10" x14ac:dyDescent="0.3">
      <c r="A384" s="9">
        <v>45382</v>
      </c>
      <c r="B384" t="s">
        <v>81</v>
      </c>
      <c r="C384" t="s">
        <v>61</v>
      </c>
      <c r="D384" t="s">
        <v>37</v>
      </c>
      <c r="E384" t="s">
        <v>25</v>
      </c>
      <c r="F384" t="s">
        <v>68</v>
      </c>
      <c r="G384" t="s">
        <v>86</v>
      </c>
      <c r="H384">
        <v>3</v>
      </c>
      <c r="I384" s="3">
        <v>91.21</v>
      </c>
      <c r="J384" s="3">
        <f t="shared" si="5"/>
        <v>273.63</v>
      </c>
    </row>
    <row r="385" spans="1:10" x14ac:dyDescent="0.3">
      <c r="A385" s="9">
        <v>45386</v>
      </c>
      <c r="B385" t="s">
        <v>16</v>
      </c>
      <c r="C385" t="s">
        <v>29</v>
      </c>
      <c r="D385" t="s">
        <v>30</v>
      </c>
      <c r="E385" t="s">
        <v>13</v>
      </c>
      <c r="F385" t="s">
        <v>68</v>
      </c>
      <c r="G385" t="s">
        <v>73</v>
      </c>
      <c r="H385">
        <v>3</v>
      </c>
      <c r="I385" s="3">
        <v>154.49</v>
      </c>
      <c r="J385" s="3">
        <f t="shared" si="5"/>
        <v>463.47</v>
      </c>
    </row>
    <row r="386" spans="1:10" x14ac:dyDescent="0.3">
      <c r="A386" s="9">
        <v>45022</v>
      </c>
      <c r="B386" t="s">
        <v>60</v>
      </c>
      <c r="C386" t="s">
        <v>65</v>
      </c>
      <c r="D386" t="s">
        <v>66</v>
      </c>
      <c r="E386" t="s">
        <v>54</v>
      </c>
      <c r="F386" t="s">
        <v>26</v>
      </c>
      <c r="G386" t="s">
        <v>32</v>
      </c>
      <c r="H386">
        <v>10</v>
      </c>
      <c r="I386" s="3">
        <v>5845.01</v>
      </c>
      <c r="J386" s="3">
        <f t="shared" si="5"/>
        <v>58450.100000000006</v>
      </c>
    </row>
    <row r="387" spans="1:10" x14ac:dyDescent="0.3">
      <c r="A387" s="9">
        <v>45013</v>
      </c>
      <c r="B387" t="s">
        <v>16</v>
      </c>
      <c r="C387" t="s">
        <v>23</v>
      </c>
      <c r="D387" t="s">
        <v>24</v>
      </c>
      <c r="E387" t="s">
        <v>25</v>
      </c>
      <c r="F387" t="s">
        <v>18</v>
      </c>
      <c r="G387" t="s">
        <v>21</v>
      </c>
      <c r="H387">
        <v>22</v>
      </c>
      <c r="I387" s="3">
        <v>854.35</v>
      </c>
      <c r="J387" s="3">
        <f t="shared" ref="J387:J450" si="6">H387*I387</f>
        <v>18795.7</v>
      </c>
    </row>
    <row r="388" spans="1:10" x14ac:dyDescent="0.3">
      <c r="A388" s="9">
        <v>45069</v>
      </c>
      <c r="B388" t="s">
        <v>33</v>
      </c>
      <c r="C388" t="s">
        <v>36</v>
      </c>
      <c r="D388" t="s">
        <v>37</v>
      </c>
      <c r="E388" t="s">
        <v>25</v>
      </c>
      <c r="F388" t="s">
        <v>14</v>
      </c>
      <c r="G388" t="s">
        <v>47</v>
      </c>
      <c r="H388">
        <v>5</v>
      </c>
      <c r="I388" s="3">
        <v>169.59</v>
      </c>
      <c r="J388" s="3">
        <f t="shared" si="6"/>
        <v>847.95</v>
      </c>
    </row>
    <row r="389" spans="1:10" x14ac:dyDescent="0.3">
      <c r="A389" s="9">
        <v>45372</v>
      </c>
      <c r="B389" t="s">
        <v>33</v>
      </c>
      <c r="C389" t="s">
        <v>29</v>
      </c>
      <c r="D389" t="s">
        <v>30</v>
      </c>
      <c r="E389" t="s">
        <v>13</v>
      </c>
      <c r="F389" t="s">
        <v>14</v>
      </c>
      <c r="G389" t="s">
        <v>47</v>
      </c>
      <c r="H389">
        <v>3</v>
      </c>
      <c r="I389" s="3">
        <v>497.24</v>
      </c>
      <c r="J389" s="3">
        <f t="shared" si="6"/>
        <v>1491.72</v>
      </c>
    </row>
    <row r="390" spans="1:10" x14ac:dyDescent="0.3">
      <c r="A390" s="9">
        <v>45179</v>
      </c>
      <c r="B390" t="s">
        <v>85</v>
      </c>
      <c r="C390" t="s">
        <v>49</v>
      </c>
      <c r="D390" t="s">
        <v>24</v>
      </c>
      <c r="E390" t="s">
        <v>25</v>
      </c>
      <c r="F390" t="s">
        <v>26</v>
      </c>
      <c r="G390" t="s">
        <v>32</v>
      </c>
      <c r="H390">
        <v>5</v>
      </c>
      <c r="I390" s="3">
        <v>4698.91</v>
      </c>
      <c r="J390" s="3">
        <f t="shared" si="6"/>
        <v>23494.55</v>
      </c>
    </row>
    <row r="391" spans="1:10" x14ac:dyDescent="0.3">
      <c r="A391" s="9">
        <v>45332</v>
      </c>
      <c r="B391" t="s">
        <v>48</v>
      </c>
      <c r="C391" t="s">
        <v>44</v>
      </c>
      <c r="D391" t="s">
        <v>45</v>
      </c>
      <c r="E391" t="s">
        <v>46</v>
      </c>
      <c r="F391" t="s">
        <v>14</v>
      </c>
      <c r="G391" t="s">
        <v>47</v>
      </c>
      <c r="H391">
        <v>11</v>
      </c>
      <c r="I391" s="3">
        <v>573.67999999999995</v>
      </c>
      <c r="J391" s="3">
        <f t="shared" si="6"/>
        <v>6310.48</v>
      </c>
    </row>
    <row r="392" spans="1:10" x14ac:dyDescent="0.3">
      <c r="A392" s="9">
        <v>45593</v>
      </c>
      <c r="B392" t="s">
        <v>60</v>
      </c>
      <c r="C392" t="s">
        <v>57</v>
      </c>
      <c r="D392" t="s">
        <v>58</v>
      </c>
      <c r="E392" t="s">
        <v>46</v>
      </c>
      <c r="F392" t="s">
        <v>14</v>
      </c>
      <c r="G392" t="s">
        <v>31</v>
      </c>
      <c r="H392">
        <v>20</v>
      </c>
      <c r="I392" s="3">
        <v>1142.01</v>
      </c>
      <c r="J392" s="3">
        <f t="shared" si="6"/>
        <v>22840.2</v>
      </c>
    </row>
    <row r="393" spans="1:10" x14ac:dyDescent="0.3">
      <c r="A393" s="9">
        <v>45132</v>
      </c>
      <c r="B393" t="s">
        <v>85</v>
      </c>
      <c r="C393" t="s">
        <v>65</v>
      </c>
      <c r="D393" t="s">
        <v>66</v>
      </c>
      <c r="E393" t="s">
        <v>54</v>
      </c>
      <c r="F393" t="s">
        <v>55</v>
      </c>
      <c r="G393" t="s">
        <v>59</v>
      </c>
      <c r="H393">
        <v>11</v>
      </c>
      <c r="I393" s="3">
        <v>1161.78</v>
      </c>
      <c r="J393" s="3">
        <f t="shared" si="6"/>
        <v>12779.58</v>
      </c>
    </row>
    <row r="394" spans="1:10" x14ac:dyDescent="0.3">
      <c r="A394" s="9">
        <v>45638</v>
      </c>
      <c r="B394" t="s">
        <v>85</v>
      </c>
      <c r="C394" t="s">
        <v>23</v>
      </c>
      <c r="D394" t="s">
        <v>24</v>
      </c>
      <c r="E394" t="s">
        <v>25</v>
      </c>
      <c r="F394" t="s">
        <v>14</v>
      </c>
      <c r="G394" t="s">
        <v>47</v>
      </c>
      <c r="H394">
        <v>9</v>
      </c>
      <c r="I394" s="3">
        <v>998.14</v>
      </c>
      <c r="J394" s="3">
        <f t="shared" si="6"/>
        <v>8983.26</v>
      </c>
    </row>
    <row r="395" spans="1:10" x14ac:dyDescent="0.3">
      <c r="A395" s="9">
        <v>45329</v>
      </c>
      <c r="B395" t="s">
        <v>81</v>
      </c>
      <c r="C395" t="s">
        <v>72</v>
      </c>
      <c r="D395" t="s">
        <v>58</v>
      </c>
      <c r="E395" t="s">
        <v>46</v>
      </c>
      <c r="F395" t="s">
        <v>18</v>
      </c>
      <c r="G395" t="s">
        <v>21</v>
      </c>
      <c r="H395">
        <v>19</v>
      </c>
      <c r="I395" s="3">
        <v>1994.94</v>
      </c>
      <c r="J395" s="3">
        <f t="shared" si="6"/>
        <v>37903.86</v>
      </c>
    </row>
    <row r="396" spans="1:10" x14ac:dyDescent="0.3">
      <c r="A396" s="9">
        <v>45111</v>
      </c>
      <c r="B396" t="s">
        <v>16</v>
      </c>
      <c r="C396" t="s">
        <v>11</v>
      </c>
      <c r="D396" t="s">
        <v>12</v>
      </c>
      <c r="E396" t="s">
        <v>13</v>
      </c>
      <c r="F396" t="s">
        <v>26</v>
      </c>
      <c r="G396" t="s">
        <v>27</v>
      </c>
      <c r="H396">
        <v>7</v>
      </c>
      <c r="I396" s="3">
        <v>6103.78</v>
      </c>
      <c r="J396" s="3">
        <f t="shared" si="6"/>
        <v>42726.46</v>
      </c>
    </row>
    <row r="397" spans="1:10" x14ac:dyDescent="0.3">
      <c r="A397" s="9">
        <v>45225</v>
      </c>
      <c r="B397" t="s">
        <v>35</v>
      </c>
      <c r="C397" t="s">
        <v>29</v>
      </c>
      <c r="D397" t="s">
        <v>30</v>
      </c>
      <c r="E397" t="s">
        <v>13</v>
      </c>
      <c r="F397" t="s">
        <v>26</v>
      </c>
      <c r="G397" t="s">
        <v>32</v>
      </c>
      <c r="H397">
        <v>21</v>
      </c>
      <c r="I397" s="3">
        <v>4679.74</v>
      </c>
      <c r="J397" s="3">
        <f t="shared" si="6"/>
        <v>98274.54</v>
      </c>
    </row>
    <row r="398" spans="1:10" x14ac:dyDescent="0.3">
      <c r="A398" s="9">
        <v>45185</v>
      </c>
      <c r="B398" t="s">
        <v>51</v>
      </c>
      <c r="C398" t="s">
        <v>29</v>
      </c>
      <c r="D398" t="s">
        <v>30</v>
      </c>
      <c r="E398" t="s">
        <v>13</v>
      </c>
      <c r="F398" t="s">
        <v>26</v>
      </c>
      <c r="G398" t="s">
        <v>32</v>
      </c>
      <c r="H398">
        <v>15</v>
      </c>
      <c r="I398" s="3">
        <v>11902.36</v>
      </c>
      <c r="J398" s="3">
        <f t="shared" si="6"/>
        <v>178535.40000000002</v>
      </c>
    </row>
    <row r="399" spans="1:10" x14ac:dyDescent="0.3">
      <c r="A399" s="9">
        <v>45417</v>
      </c>
      <c r="B399" t="s">
        <v>82</v>
      </c>
      <c r="C399" t="s">
        <v>44</v>
      </c>
      <c r="D399" t="s">
        <v>45</v>
      </c>
      <c r="E399" t="s">
        <v>46</v>
      </c>
      <c r="F399" t="s">
        <v>18</v>
      </c>
      <c r="G399" t="s">
        <v>19</v>
      </c>
      <c r="H399">
        <v>18</v>
      </c>
      <c r="I399" s="3">
        <v>218.02</v>
      </c>
      <c r="J399" s="3">
        <f t="shared" si="6"/>
        <v>3924.36</v>
      </c>
    </row>
    <row r="400" spans="1:10" x14ac:dyDescent="0.3">
      <c r="A400" s="9">
        <v>45295</v>
      </c>
      <c r="B400" t="s">
        <v>16</v>
      </c>
      <c r="C400" t="s">
        <v>17</v>
      </c>
      <c r="D400" t="s">
        <v>12</v>
      </c>
      <c r="E400" t="s">
        <v>13</v>
      </c>
      <c r="F400" t="s">
        <v>68</v>
      </c>
      <c r="G400" t="s">
        <v>84</v>
      </c>
      <c r="H400">
        <v>8</v>
      </c>
      <c r="I400" s="3">
        <v>269.89</v>
      </c>
      <c r="J400" s="3">
        <f t="shared" si="6"/>
        <v>2159.12</v>
      </c>
    </row>
    <row r="401" spans="1:10" x14ac:dyDescent="0.3">
      <c r="A401" s="9">
        <v>45290</v>
      </c>
      <c r="B401" t="s">
        <v>28</v>
      </c>
      <c r="C401" t="s">
        <v>34</v>
      </c>
      <c r="D401" t="s">
        <v>12</v>
      </c>
      <c r="E401" t="s">
        <v>13</v>
      </c>
      <c r="F401" t="s">
        <v>18</v>
      </c>
      <c r="G401" t="s">
        <v>19</v>
      </c>
      <c r="H401">
        <v>25</v>
      </c>
      <c r="I401" s="3">
        <v>763.45</v>
      </c>
      <c r="J401" s="3">
        <f t="shared" si="6"/>
        <v>19086.25</v>
      </c>
    </row>
    <row r="402" spans="1:10" x14ac:dyDescent="0.3">
      <c r="A402" s="9">
        <v>45367</v>
      </c>
      <c r="B402" t="s">
        <v>10</v>
      </c>
      <c r="C402" t="s">
        <v>11</v>
      </c>
      <c r="D402" t="s">
        <v>12</v>
      </c>
      <c r="E402" t="s">
        <v>13</v>
      </c>
      <c r="F402" t="s">
        <v>68</v>
      </c>
      <c r="G402" t="s">
        <v>83</v>
      </c>
      <c r="H402">
        <v>8</v>
      </c>
      <c r="I402" s="3">
        <v>214.06</v>
      </c>
      <c r="J402" s="3">
        <f t="shared" si="6"/>
        <v>1712.48</v>
      </c>
    </row>
    <row r="403" spans="1:10" x14ac:dyDescent="0.3">
      <c r="A403" s="9">
        <v>45458</v>
      </c>
      <c r="B403" t="s">
        <v>16</v>
      </c>
      <c r="C403" t="s">
        <v>23</v>
      </c>
      <c r="D403" t="s">
        <v>24</v>
      </c>
      <c r="E403" t="s">
        <v>25</v>
      </c>
      <c r="F403" t="s">
        <v>26</v>
      </c>
      <c r="G403" t="s">
        <v>50</v>
      </c>
      <c r="H403">
        <v>13</v>
      </c>
      <c r="I403" s="3">
        <v>6362.16</v>
      </c>
      <c r="J403" s="3">
        <f t="shared" si="6"/>
        <v>82708.08</v>
      </c>
    </row>
    <row r="404" spans="1:10" x14ac:dyDescent="0.3">
      <c r="A404" s="9">
        <v>45622</v>
      </c>
      <c r="B404" t="s">
        <v>82</v>
      </c>
      <c r="C404" t="s">
        <v>57</v>
      </c>
      <c r="D404" t="s">
        <v>58</v>
      </c>
      <c r="E404" t="s">
        <v>46</v>
      </c>
      <c r="F404" t="s">
        <v>14</v>
      </c>
      <c r="G404" t="s">
        <v>40</v>
      </c>
      <c r="H404">
        <v>16</v>
      </c>
      <c r="I404" s="3">
        <v>215</v>
      </c>
      <c r="J404" s="3">
        <f t="shared" si="6"/>
        <v>3440</v>
      </c>
    </row>
    <row r="405" spans="1:10" x14ac:dyDescent="0.3">
      <c r="A405" s="9">
        <v>45352</v>
      </c>
      <c r="B405" t="s">
        <v>35</v>
      </c>
      <c r="C405" t="s">
        <v>72</v>
      </c>
      <c r="D405" t="s">
        <v>58</v>
      </c>
      <c r="E405" t="s">
        <v>46</v>
      </c>
      <c r="F405" t="s">
        <v>55</v>
      </c>
      <c r="G405" t="s">
        <v>64</v>
      </c>
      <c r="H405">
        <v>10</v>
      </c>
      <c r="I405" s="3">
        <v>1332.12</v>
      </c>
      <c r="J405" s="3">
        <f t="shared" si="6"/>
        <v>13321.199999999999</v>
      </c>
    </row>
    <row r="406" spans="1:10" x14ac:dyDescent="0.3">
      <c r="A406" s="9">
        <v>45138</v>
      </c>
      <c r="B406" t="s">
        <v>77</v>
      </c>
      <c r="C406" t="s">
        <v>79</v>
      </c>
      <c r="D406" t="s">
        <v>80</v>
      </c>
      <c r="E406" t="s">
        <v>13</v>
      </c>
      <c r="F406" t="s">
        <v>14</v>
      </c>
      <c r="G406" t="s">
        <v>47</v>
      </c>
      <c r="H406">
        <v>4</v>
      </c>
      <c r="I406" s="3">
        <v>581.98</v>
      </c>
      <c r="J406" s="3">
        <f t="shared" si="6"/>
        <v>2327.92</v>
      </c>
    </row>
    <row r="407" spans="1:10" x14ac:dyDescent="0.3">
      <c r="A407" s="9">
        <v>45640</v>
      </c>
      <c r="B407" t="s">
        <v>43</v>
      </c>
      <c r="C407" t="s">
        <v>65</v>
      </c>
      <c r="D407" t="s">
        <v>66</v>
      </c>
      <c r="E407" t="s">
        <v>54</v>
      </c>
      <c r="F407" t="s">
        <v>68</v>
      </c>
      <c r="G407" t="s">
        <v>83</v>
      </c>
      <c r="H407">
        <v>2</v>
      </c>
      <c r="I407" s="3">
        <v>327.87</v>
      </c>
      <c r="J407" s="3">
        <f t="shared" si="6"/>
        <v>655.74</v>
      </c>
    </row>
    <row r="408" spans="1:10" x14ac:dyDescent="0.3">
      <c r="A408" s="9">
        <v>45044</v>
      </c>
      <c r="B408" t="s">
        <v>62</v>
      </c>
      <c r="C408" t="s">
        <v>65</v>
      </c>
      <c r="D408" t="s">
        <v>66</v>
      </c>
      <c r="E408" t="s">
        <v>54</v>
      </c>
      <c r="F408" t="s">
        <v>68</v>
      </c>
      <c r="G408" t="s">
        <v>69</v>
      </c>
      <c r="H408">
        <v>6</v>
      </c>
      <c r="I408" s="3">
        <v>373.37</v>
      </c>
      <c r="J408" s="3">
        <f t="shared" si="6"/>
        <v>2240.2200000000003</v>
      </c>
    </row>
    <row r="409" spans="1:10" x14ac:dyDescent="0.3">
      <c r="A409" s="9">
        <v>45176</v>
      </c>
      <c r="B409" t="s">
        <v>77</v>
      </c>
      <c r="C409" t="s">
        <v>78</v>
      </c>
      <c r="D409" t="s">
        <v>58</v>
      </c>
      <c r="E409" t="s">
        <v>46</v>
      </c>
      <c r="F409" t="s">
        <v>18</v>
      </c>
      <c r="G409" t="s">
        <v>21</v>
      </c>
      <c r="H409">
        <v>11</v>
      </c>
      <c r="I409" s="3">
        <v>1185.72</v>
      </c>
      <c r="J409" s="3">
        <f t="shared" si="6"/>
        <v>13042.92</v>
      </c>
    </row>
    <row r="410" spans="1:10" x14ac:dyDescent="0.3">
      <c r="A410" s="9">
        <v>45400</v>
      </c>
      <c r="B410" t="s">
        <v>20</v>
      </c>
      <c r="C410" t="s">
        <v>44</v>
      </c>
      <c r="D410" t="s">
        <v>45</v>
      </c>
      <c r="E410" t="s">
        <v>46</v>
      </c>
      <c r="F410" t="s">
        <v>55</v>
      </c>
      <c r="G410" t="s">
        <v>56</v>
      </c>
      <c r="H410">
        <v>21</v>
      </c>
      <c r="I410" s="3">
        <v>2369.12</v>
      </c>
      <c r="J410" s="3">
        <f t="shared" si="6"/>
        <v>49751.519999999997</v>
      </c>
    </row>
    <row r="411" spans="1:10" x14ac:dyDescent="0.3">
      <c r="A411" s="9">
        <v>45332</v>
      </c>
      <c r="B411" t="s">
        <v>62</v>
      </c>
      <c r="C411" t="s">
        <v>49</v>
      </c>
      <c r="D411" t="s">
        <v>24</v>
      </c>
      <c r="E411" t="s">
        <v>25</v>
      </c>
      <c r="F411" t="s">
        <v>26</v>
      </c>
      <c r="G411" t="s">
        <v>27</v>
      </c>
      <c r="H411">
        <v>14</v>
      </c>
      <c r="I411" s="3">
        <v>5582.78</v>
      </c>
      <c r="J411" s="3">
        <f t="shared" si="6"/>
        <v>78158.92</v>
      </c>
    </row>
    <row r="412" spans="1:10" x14ac:dyDescent="0.3">
      <c r="A412" s="9">
        <v>45648</v>
      </c>
      <c r="B412" t="s">
        <v>71</v>
      </c>
      <c r="C412" t="s">
        <v>49</v>
      </c>
      <c r="D412" t="s">
        <v>24</v>
      </c>
      <c r="E412" t="s">
        <v>25</v>
      </c>
      <c r="F412" t="s">
        <v>14</v>
      </c>
      <c r="G412" t="s">
        <v>40</v>
      </c>
      <c r="H412">
        <v>19</v>
      </c>
      <c r="I412" s="3">
        <v>211.93</v>
      </c>
      <c r="J412" s="3">
        <f t="shared" si="6"/>
        <v>4026.67</v>
      </c>
    </row>
    <row r="413" spans="1:10" x14ac:dyDescent="0.3">
      <c r="A413" s="9">
        <v>45476</v>
      </c>
      <c r="B413" t="s">
        <v>28</v>
      </c>
      <c r="C413" t="s">
        <v>52</v>
      </c>
      <c r="D413" t="s">
        <v>53</v>
      </c>
      <c r="E413" t="s">
        <v>54</v>
      </c>
      <c r="F413" t="s">
        <v>14</v>
      </c>
      <c r="G413" t="s">
        <v>15</v>
      </c>
      <c r="H413">
        <v>15</v>
      </c>
      <c r="I413" s="3">
        <v>225.35</v>
      </c>
      <c r="J413" s="3">
        <f t="shared" si="6"/>
        <v>3380.25</v>
      </c>
    </row>
    <row r="414" spans="1:10" x14ac:dyDescent="0.3">
      <c r="A414" s="9">
        <v>45613</v>
      </c>
      <c r="B414" t="s">
        <v>85</v>
      </c>
      <c r="C414" t="s">
        <v>65</v>
      </c>
      <c r="D414" t="s">
        <v>66</v>
      </c>
      <c r="E414" t="s">
        <v>54</v>
      </c>
      <c r="F414" t="s">
        <v>18</v>
      </c>
      <c r="G414" t="s">
        <v>19</v>
      </c>
      <c r="H414">
        <v>20</v>
      </c>
      <c r="I414" s="3">
        <v>876.21</v>
      </c>
      <c r="J414" s="3">
        <f t="shared" si="6"/>
        <v>17524.2</v>
      </c>
    </row>
    <row r="415" spans="1:10" x14ac:dyDescent="0.3">
      <c r="A415" s="9">
        <v>45043</v>
      </c>
      <c r="B415" t="s">
        <v>81</v>
      </c>
      <c r="C415" t="s">
        <v>52</v>
      </c>
      <c r="D415" t="s">
        <v>53</v>
      </c>
      <c r="E415" t="s">
        <v>54</v>
      </c>
      <c r="F415" t="s">
        <v>26</v>
      </c>
      <c r="G415" t="s">
        <v>27</v>
      </c>
      <c r="H415">
        <v>6</v>
      </c>
      <c r="I415" s="3">
        <v>10044.25</v>
      </c>
      <c r="J415" s="3">
        <f t="shared" si="6"/>
        <v>60265.5</v>
      </c>
    </row>
    <row r="416" spans="1:10" x14ac:dyDescent="0.3">
      <c r="A416" s="9">
        <v>45649</v>
      </c>
      <c r="B416" t="s">
        <v>63</v>
      </c>
      <c r="C416" t="s">
        <v>17</v>
      </c>
      <c r="D416" t="s">
        <v>12</v>
      </c>
      <c r="E416" t="s">
        <v>13</v>
      </c>
      <c r="F416" t="s">
        <v>55</v>
      </c>
      <c r="G416" t="s">
        <v>64</v>
      </c>
      <c r="H416">
        <v>4</v>
      </c>
      <c r="I416" s="3">
        <v>987.29</v>
      </c>
      <c r="J416" s="3">
        <f t="shared" si="6"/>
        <v>3949.16</v>
      </c>
    </row>
    <row r="417" spans="1:10" x14ac:dyDescent="0.3">
      <c r="A417" s="9">
        <v>45046</v>
      </c>
      <c r="B417" t="s">
        <v>28</v>
      </c>
      <c r="C417" t="s">
        <v>52</v>
      </c>
      <c r="D417" t="s">
        <v>53</v>
      </c>
      <c r="E417" t="s">
        <v>54</v>
      </c>
      <c r="F417" t="s">
        <v>55</v>
      </c>
      <c r="G417" t="s">
        <v>67</v>
      </c>
      <c r="H417">
        <v>13</v>
      </c>
      <c r="I417" s="3">
        <v>1580.19</v>
      </c>
      <c r="J417" s="3">
        <f t="shared" si="6"/>
        <v>20542.47</v>
      </c>
    </row>
    <row r="418" spans="1:10" x14ac:dyDescent="0.3">
      <c r="A418" s="9">
        <v>45068</v>
      </c>
      <c r="B418" t="s">
        <v>82</v>
      </c>
      <c r="C418" t="s">
        <v>44</v>
      </c>
      <c r="D418" t="s">
        <v>45</v>
      </c>
      <c r="E418" t="s">
        <v>46</v>
      </c>
      <c r="F418" t="s">
        <v>26</v>
      </c>
      <c r="G418" t="s">
        <v>32</v>
      </c>
      <c r="H418">
        <v>16</v>
      </c>
      <c r="I418" s="3">
        <v>8172.77</v>
      </c>
      <c r="J418" s="3">
        <f t="shared" si="6"/>
        <v>130764.32</v>
      </c>
    </row>
    <row r="419" spans="1:10" x14ac:dyDescent="0.3">
      <c r="A419" s="9">
        <v>45637</v>
      </c>
      <c r="B419" t="s">
        <v>28</v>
      </c>
      <c r="C419" t="s">
        <v>78</v>
      </c>
      <c r="D419" t="s">
        <v>58</v>
      </c>
      <c r="E419" t="s">
        <v>46</v>
      </c>
      <c r="F419" t="s">
        <v>26</v>
      </c>
      <c r="G419" t="s">
        <v>50</v>
      </c>
      <c r="H419">
        <v>5</v>
      </c>
      <c r="I419" s="3">
        <v>3464.54</v>
      </c>
      <c r="J419" s="3">
        <f t="shared" si="6"/>
        <v>17322.7</v>
      </c>
    </row>
    <row r="420" spans="1:10" x14ac:dyDescent="0.3">
      <c r="A420" s="9">
        <v>45388</v>
      </c>
      <c r="B420" t="s">
        <v>60</v>
      </c>
      <c r="C420" t="s">
        <v>34</v>
      </c>
      <c r="D420" t="s">
        <v>12</v>
      </c>
      <c r="E420" t="s">
        <v>13</v>
      </c>
      <c r="F420" t="s">
        <v>14</v>
      </c>
      <c r="G420" t="s">
        <v>40</v>
      </c>
      <c r="H420">
        <v>16</v>
      </c>
      <c r="I420" s="3">
        <v>250.19</v>
      </c>
      <c r="J420" s="3">
        <f t="shared" si="6"/>
        <v>4003.04</v>
      </c>
    </row>
    <row r="421" spans="1:10" x14ac:dyDescent="0.3">
      <c r="A421" s="9">
        <v>45320</v>
      </c>
      <c r="B421" t="s">
        <v>16</v>
      </c>
      <c r="C421" t="s">
        <v>79</v>
      </c>
      <c r="D421" t="s">
        <v>80</v>
      </c>
      <c r="E421" t="s">
        <v>13</v>
      </c>
      <c r="F421" t="s">
        <v>26</v>
      </c>
      <c r="G421" t="s">
        <v>27</v>
      </c>
      <c r="H421">
        <v>16</v>
      </c>
      <c r="I421" s="3">
        <v>5864.12</v>
      </c>
      <c r="J421" s="3">
        <f t="shared" si="6"/>
        <v>93825.919999999998</v>
      </c>
    </row>
    <row r="422" spans="1:10" x14ac:dyDescent="0.3">
      <c r="A422" s="9">
        <v>45381</v>
      </c>
      <c r="B422" t="s">
        <v>85</v>
      </c>
      <c r="C422" t="s">
        <v>78</v>
      </c>
      <c r="D422" t="s">
        <v>58</v>
      </c>
      <c r="E422" t="s">
        <v>46</v>
      </c>
      <c r="F422" t="s">
        <v>68</v>
      </c>
      <c r="G422" t="s">
        <v>70</v>
      </c>
      <c r="H422">
        <v>1</v>
      </c>
      <c r="I422" s="3">
        <v>322.43</v>
      </c>
      <c r="J422" s="3">
        <f t="shared" si="6"/>
        <v>322.43</v>
      </c>
    </row>
    <row r="423" spans="1:10" x14ac:dyDescent="0.3">
      <c r="A423" s="9">
        <v>45152</v>
      </c>
      <c r="B423" t="s">
        <v>63</v>
      </c>
      <c r="C423" t="s">
        <v>34</v>
      </c>
      <c r="D423" t="s">
        <v>12</v>
      </c>
      <c r="E423" t="s">
        <v>13</v>
      </c>
      <c r="F423" t="s">
        <v>14</v>
      </c>
      <c r="G423" t="s">
        <v>15</v>
      </c>
      <c r="H423">
        <v>18</v>
      </c>
      <c r="I423" s="3">
        <v>417.54</v>
      </c>
      <c r="J423" s="3">
        <f t="shared" si="6"/>
        <v>7515.72</v>
      </c>
    </row>
    <row r="424" spans="1:10" x14ac:dyDescent="0.3">
      <c r="A424" s="9">
        <v>45395</v>
      </c>
      <c r="B424" t="s">
        <v>82</v>
      </c>
      <c r="C424" t="s">
        <v>79</v>
      </c>
      <c r="D424" t="s">
        <v>80</v>
      </c>
      <c r="E424" t="s">
        <v>13</v>
      </c>
      <c r="F424" t="s">
        <v>18</v>
      </c>
      <c r="G424" t="s">
        <v>75</v>
      </c>
      <c r="H424">
        <v>19</v>
      </c>
      <c r="I424" s="3">
        <v>361.28</v>
      </c>
      <c r="J424" s="3">
        <f t="shared" si="6"/>
        <v>6864.32</v>
      </c>
    </row>
    <row r="425" spans="1:10" x14ac:dyDescent="0.3">
      <c r="A425" s="9">
        <v>45483</v>
      </c>
      <c r="B425" t="s">
        <v>81</v>
      </c>
      <c r="C425" t="s">
        <v>34</v>
      </c>
      <c r="D425" t="s">
        <v>12</v>
      </c>
      <c r="E425" t="s">
        <v>13</v>
      </c>
      <c r="F425" t="s">
        <v>26</v>
      </c>
      <c r="G425" t="s">
        <v>27</v>
      </c>
      <c r="H425">
        <v>7</v>
      </c>
      <c r="I425" s="3">
        <v>11892.65</v>
      </c>
      <c r="J425" s="3">
        <f t="shared" si="6"/>
        <v>83248.55</v>
      </c>
    </row>
    <row r="426" spans="1:10" x14ac:dyDescent="0.3">
      <c r="A426" s="9">
        <v>45031</v>
      </c>
      <c r="B426" t="s">
        <v>20</v>
      </c>
      <c r="C426" t="s">
        <v>36</v>
      </c>
      <c r="D426" t="s">
        <v>37</v>
      </c>
      <c r="E426" t="s">
        <v>25</v>
      </c>
      <c r="F426" t="s">
        <v>68</v>
      </c>
      <c r="G426" t="s">
        <v>76</v>
      </c>
      <c r="H426">
        <v>9</v>
      </c>
      <c r="I426" s="3">
        <v>152.46</v>
      </c>
      <c r="J426" s="3">
        <f t="shared" si="6"/>
        <v>1372.14</v>
      </c>
    </row>
    <row r="427" spans="1:10" x14ac:dyDescent="0.3">
      <c r="A427" s="9">
        <v>45016</v>
      </c>
      <c r="B427" t="s">
        <v>43</v>
      </c>
      <c r="C427" t="s">
        <v>72</v>
      </c>
      <c r="D427" t="s">
        <v>58</v>
      </c>
      <c r="E427" t="s">
        <v>46</v>
      </c>
      <c r="F427" t="s">
        <v>55</v>
      </c>
      <c r="G427" t="s">
        <v>56</v>
      </c>
      <c r="H427">
        <v>24</v>
      </c>
      <c r="I427" s="3">
        <v>2140.15</v>
      </c>
      <c r="J427" s="3">
        <f t="shared" si="6"/>
        <v>51363.600000000006</v>
      </c>
    </row>
    <row r="428" spans="1:10" x14ac:dyDescent="0.3">
      <c r="A428" s="9">
        <v>45286</v>
      </c>
      <c r="B428" t="s">
        <v>60</v>
      </c>
      <c r="C428" t="s">
        <v>29</v>
      </c>
      <c r="D428" t="s">
        <v>30</v>
      </c>
      <c r="E428" t="s">
        <v>13</v>
      </c>
      <c r="F428" t="s">
        <v>55</v>
      </c>
      <c r="G428" t="s">
        <v>67</v>
      </c>
      <c r="H428">
        <v>5</v>
      </c>
      <c r="I428" s="3">
        <v>2790</v>
      </c>
      <c r="J428" s="3">
        <f t="shared" si="6"/>
        <v>13950</v>
      </c>
    </row>
    <row r="429" spans="1:10" x14ac:dyDescent="0.3">
      <c r="A429" s="9">
        <v>45138</v>
      </c>
      <c r="B429" t="s">
        <v>39</v>
      </c>
      <c r="C429" t="s">
        <v>52</v>
      </c>
      <c r="D429" t="s">
        <v>53</v>
      </c>
      <c r="E429" t="s">
        <v>54</v>
      </c>
      <c r="F429" t="s">
        <v>18</v>
      </c>
      <c r="G429" t="s">
        <v>38</v>
      </c>
      <c r="H429">
        <v>20</v>
      </c>
      <c r="I429" s="3">
        <v>1146.72</v>
      </c>
      <c r="J429" s="3">
        <f t="shared" si="6"/>
        <v>22934.400000000001</v>
      </c>
    </row>
    <row r="430" spans="1:10" x14ac:dyDescent="0.3">
      <c r="A430" s="9">
        <v>45258</v>
      </c>
      <c r="B430" t="s">
        <v>63</v>
      </c>
      <c r="C430" t="s">
        <v>36</v>
      </c>
      <c r="D430" t="s">
        <v>37</v>
      </c>
      <c r="E430" t="s">
        <v>25</v>
      </c>
      <c r="F430" t="s">
        <v>18</v>
      </c>
      <c r="G430" t="s">
        <v>38</v>
      </c>
      <c r="H430">
        <v>17</v>
      </c>
      <c r="I430" s="3">
        <v>1973.15</v>
      </c>
      <c r="J430" s="3">
        <f t="shared" si="6"/>
        <v>33543.550000000003</v>
      </c>
    </row>
    <row r="431" spans="1:10" x14ac:dyDescent="0.3">
      <c r="A431" s="9">
        <v>45622</v>
      </c>
      <c r="B431" t="s">
        <v>10</v>
      </c>
      <c r="C431" t="s">
        <v>57</v>
      </c>
      <c r="D431" t="s">
        <v>58</v>
      </c>
      <c r="E431" t="s">
        <v>46</v>
      </c>
      <c r="F431" t="s">
        <v>26</v>
      </c>
      <c r="G431" t="s">
        <v>32</v>
      </c>
      <c r="H431">
        <v>9</v>
      </c>
      <c r="I431" s="3">
        <v>10604</v>
      </c>
      <c r="J431" s="3">
        <f t="shared" si="6"/>
        <v>95436</v>
      </c>
    </row>
    <row r="432" spans="1:10" x14ac:dyDescent="0.3">
      <c r="A432" s="9">
        <v>45056</v>
      </c>
      <c r="B432" t="s">
        <v>51</v>
      </c>
      <c r="C432" t="s">
        <v>23</v>
      </c>
      <c r="D432" t="s">
        <v>24</v>
      </c>
      <c r="E432" t="s">
        <v>25</v>
      </c>
      <c r="F432" t="s">
        <v>55</v>
      </c>
      <c r="G432" t="s">
        <v>64</v>
      </c>
      <c r="H432">
        <v>8</v>
      </c>
      <c r="I432" s="3">
        <v>2712.86</v>
      </c>
      <c r="J432" s="3">
        <f t="shared" si="6"/>
        <v>21702.880000000001</v>
      </c>
    </row>
    <row r="433" spans="1:10" x14ac:dyDescent="0.3">
      <c r="A433" s="9">
        <v>45619</v>
      </c>
      <c r="B433" t="s">
        <v>51</v>
      </c>
      <c r="C433" t="s">
        <v>79</v>
      </c>
      <c r="D433" t="s">
        <v>80</v>
      </c>
      <c r="E433" t="s">
        <v>13</v>
      </c>
      <c r="F433" t="s">
        <v>55</v>
      </c>
      <c r="G433" t="s">
        <v>67</v>
      </c>
      <c r="H433">
        <v>21</v>
      </c>
      <c r="I433" s="3">
        <v>1086.77</v>
      </c>
      <c r="J433" s="3">
        <f t="shared" si="6"/>
        <v>22822.17</v>
      </c>
    </row>
    <row r="434" spans="1:10" x14ac:dyDescent="0.3">
      <c r="A434" s="9">
        <v>45351</v>
      </c>
      <c r="B434" t="s">
        <v>51</v>
      </c>
      <c r="C434" t="s">
        <v>41</v>
      </c>
      <c r="D434" t="s">
        <v>42</v>
      </c>
      <c r="E434" t="s">
        <v>25</v>
      </c>
      <c r="F434" t="s">
        <v>68</v>
      </c>
      <c r="G434" t="s">
        <v>69</v>
      </c>
      <c r="H434">
        <v>25</v>
      </c>
      <c r="I434" s="3">
        <v>55.38</v>
      </c>
      <c r="J434" s="3">
        <f t="shared" si="6"/>
        <v>1384.5</v>
      </c>
    </row>
    <row r="435" spans="1:10" x14ac:dyDescent="0.3">
      <c r="A435" s="9">
        <v>45454</v>
      </c>
      <c r="B435" t="s">
        <v>33</v>
      </c>
      <c r="C435" t="s">
        <v>52</v>
      </c>
      <c r="D435" t="s">
        <v>53</v>
      </c>
      <c r="E435" t="s">
        <v>54</v>
      </c>
      <c r="F435" t="s">
        <v>26</v>
      </c>
      <c r="G435" t="s">
        <v>50</v>
      </c>
      <c r="H435">
        <v>11</v>
      </c>
      <c r="I435" s="3">
        <v>7610.53</v>
      </c>
      <c r="J435" s="3">
        <f t="shared" si="6"/>
        <v>83715.83</v>
      </c>
    </row>
    <row r="436" spans="1:10" x14ac:dyDescent="0.3">
      <c r="A436" s="9">
        <v>45022</v>
      </c>
      <c r="B436" t="s">
        <v>43</v>
      </c>
      <c r="C436" t="s">
        <v>52</v>
      </c>
      <c r="D436" t="s">
        <v>53</v>
      </c>
      <c r="E436" t="s">
        <v>54</v>
      </c>
      <c r="F436" t="s">
        <v>68</v>
      </c>
      <c r="G436" t="s">
        <v>84</v>
      </c>
      <c r="H436">
        <v>18</v>
      </c>
      <c r="I436" s="3">
        <v>171.13</v>
      </c>
      <c r="J436" s="3">
        <f t="shared" si="6"/>
        <v>3080.34</v>
      </c>
    </row>
    <row r="437" spans="1:10" x14ac:dyDescent="0.3">
      <c r="A437" s="9">
        <v>45366</v>
      </c>
      <c r="B437" t="s">
        <v>71</v>
      </c>
      <c r="C437" t="s">
        <v>79</v>
      </c>
      <c r="D437" t="s">
        <v>80</v>
      </c>
      <c r="E437" t="s">
        <v>13</v>
      </c>
      <c r="F437" t="s">
        <v>14</v>
      </c>
      <c r="G437" t="s">
        <v>31</v>
      </c>
      <c r="H437">
        <v>10</v>
      </c>
      <c r="I437" s="3">
        <v>471.53</v>
      </c>
      <c r="J437" s="3">
        <f t="shared" si="6"/>
        <v>4715.2999999999993</v>
      </c>
    </row>
    <row r="438" spans="1:10" x14ac:dyDescent="0.3">
      <c r="A438" s="9">
        <v>45518</v>
      </c>
      <c r="B438" t="s">
        <v>51</v>
      </c>
      <c r="C438" t="s">
        <v>79</v>
      </c>
      <c r="D438" t="s">
        <v>80</v>
      </c>
      <c r="E438" t="s">
        <v>13</v>
      </c>
      <c r="F438" t="s">
        <v>14</v>
      </c>
      <c r="G438" t="s">
        <v>40</v>
      </c>
      <c r="H438">
        <v>2</v>
      </c>
      <c r="I438" s="3">
        <v>209.53</v>
      </c>
      <c r="J438" s="3">
        <f t="shared" si="6"/>
        <v>419.06</v>
      </c>
    </row>
    <row r="439" spans="1:10" x14ac:dyDescent="0.3">
      <c r="A439" s="9">
        <v>45397</v>
      </c>
      <c r="B439" t="s">
        <v>62</v>
      </c>
      <c r="C439" t="s">
        <v>72</v>
      </c>
      <c r="D439" t="s">
        <v>58</v>
      </c>
      <c r="E439" t="s">
        <v>46</v>
      </c>
      <c r="F439" t="s">
        <v>55</v>
      </c>
      <c r="G439" t="s">
        <v>59</v>
      </c>
      <c r="H439">
        <v>15</v>
      </c>
      <c r="I439" s="3">
        <v>202.23</v>
      </c>
      <c r="J439" s="3">
        <f t="shared" si="6"/>
        <v>3033.45</v>
      </c>
    </row>
    <row r="440" spans="1:10" x14ac:dyDescent="0.3">
      <c r="A440" s="9">
        <v>45365</v>
      </c>
      <c r="B440" t="s">
        <v>71</v>
      </c>
      <c r="C440" t="s">
        <v>57</v>
      </c>
      <c r="D440" t="s">
        <v>58</v>
      </c>
      <c r="E440" t="s">
        <v>46</v>
      </c>
      <c r="F440" t="s">
        <v>14</v>
      </c>
      <c r="G440" t="s">
        <v>15</v>
      </c>
      <c r="H440">
        <v>9</v>
      </c>
      <c r="I440" s="3">
        <v>202.67</v>
      </c>
      <c r="J440" s="3">
        <f t="shared" si="6"/>
        <v>1824.03</v>
      </c>
    </row>
    <row r="441" spans="1:10" x14ac:dyDescent="0.3">
      <c r="A441" s="9">
        <v>45296</v>
      </c>
      <c r="B441" t="s">
        <v>33</v>
      </c>
      <c r="C441" t="s">
        <v>17</v>
      </c>
      <c r="D441" t="s">
        <v>12</v>
      </c>
      <c r="E441" t="s">
        <v>13</v>
      </c>
      <c r="F441" t="s">
        <v>14</v>
      </c>
      <c r="G441" t="s">
        <v>15</v>
      </c>
      <c r="H441">
        <v>2</v>
      </c>
      <c r="I441" s="3">
        <v>535.98</v>
      </c>
      <c r="J441" s="3">
        <f t="shared" si="6"/>
        <v>1071.96</v>
      </c>
    </row>
    <row r="442" spans="1:10" x14ac:dyDescent="0.3">
      <c r="A442" s="9">
        <v>45239</v>
      </c>
      <c r="B442" t="s">
        <v>20</v>
      </c>
      <c r="C442" t="s">
        <v>29</v>
      </c>
      <c r="D442" t="s">
        <v>30</v>
      </c>
      <c r="E442" t="s">
        <v>13</v>
      </c>
      <c r="F442" t="s">
        <v>68</v>
      </c>
      <c r="G442" t="s">
        <v>69</v>
      </c>
      <c r="H442">
        <v>4</v>
      </c>
      <c r="I442" s="3">
        <v>20.41</v>
      </c>
      <c r="J442" s="3">
        <f t="shared" si="6"/>
        <v>81.64</v>
      </c>
    </row>
    <row r="443" spans="1:10" x14ac:dyDescent="0.3">
      <c r="A443" s="9">
        <v>45415</v>
      </c>
      <c r="B443" t="s">
        <v>35</v>
      </c>
      <c r="C443" t="s">
        <v>57</v>
      </c>
      <c r="D443" t="s">
        <v>58</v>
      </c>
      <c r="E443" t="s">
        <v>46</v>
      </c>
      <c r="F443" t="s">
        <v>18</v>
      </c>
      <c r="G443" t="s">
        <v>21</v>
      </c>
      <c r="H443">
        <v>17</v>
      </c>
      <c r="I443" s="3">
        <v>1407.97</v>
      </c>
      <c r="J443" s="3">
        <f t="shared" si="6"/>
        <v>23935.49</v>
      </c>
    </row>
    <row r="444" spans="1:10" x14ac:dyDescent="0.3">
      <c r="A444" s="9">
        <v>44936</v>
      </c>
      <c r="B444" t="s">
        <v>62</v>
      </c>
      <c r="C444" t="s">
        <v>65</v>
      </c>
      <c r="D444" t="s">
        <v>66</v>
      </c>
      <c r="E444" t="s">
        <v>54</v>
      </c>
      <c r="F444" t="s">
        <v>68</v>
      </c>
      <c r="G444" t="s">
        <v>84</v>
      </c>
      <c r="H444">
        <v>14</v>
      </c>
      <c r="I444" s="3">
        <v>283.73</v>
      </c>
      <c r="J444" s="3">
        <f t="shared" si="6"/>
        <v>3972.2200000000003</v>
      </c>
    </row>
    <row r="445" spans="1:10" x14ac:dyDescent="0.3">
      <c r="A445" s="9">
        <v>45416</v>
      </c>
      <c r="B445" t="s">
        <v>35</v>
      </c>
      <c r="C445" t="s">
        <v>23</v>
      </c>
      <c r="D445" t="s">
        <v>24</v>
      </c>
      <c r="E445" t="s">
        <v>25</v>
      </c>
      <c r="F445" t="s">
        <v>26</v>
      </c>
      <c r="G445" t="s">
        <v>32</v>
      </c>
      <c r="H445">
        <v>24</v>
      </c>
      <c r="I445" s="3">
        <v>9962.5499999999993</v>
      </c>
      <c r="J445" s="3">
        <f t="shared" si="6"/>
        <v>239101.19999999998</v>
      </c>
    </row>
    <row r="446" spans="1:10" x14ac:dyDescent="0.3">
      <c r="A446" s="9">
        <v>45032</v>
      </c>
      <c r="B446" t="s">
        <v>48</v>
      </c>
      <c r="C446" t="s">
        <v>52</v>
      </c>
      <c r="D446" t="s">
        <v>53</v>
      </c>
      <c r="E446" t="s">
        <v>54</v>
      </c>
      <c r="F446" t="s">
        <v>14</v>
      </c>
      <c r="G446" t="s">
        <v>15</v>
      </c>
      <c r="H446">
        <v>13</v>
      </c>
      <c r="I446" s="3">
        <v>950.81</v>
      </c>
      <c r="J446" s="3">
        <f t="shared" si="6"/>
        <v>12360.529999999999</v>
      </c>
    </row>
    <row r="447" spans="1:10" x14ac:dyDescent="0.3">
      <c r="A447" s="9">
        <v>45063</v>
      </c>
      <c r="B447" t="s">
        <v>51</v>
      </c>
      <c r="C447" t="s">
        <v>17</v>
      </c>
      <c r="D447" t="s">
        <v>12</v>
      </c>
      <c r="E447" t="s">
        <v>13</v>
      </c>
      <c r="F447" t="s">
        <v>18</v>
      </c>
      <c r="G447" t="s">
        <v>75</v>
      </c>
      <c r="H447">
        <v>20</v>
      </c>
      <c r="I447" s="3">
        <v>1352.54</v>
      </c>
      <c r="J447" s="3">
        <f t="shared" si="6"/>
        <v>27050.799999999999</v>
      </c>
    </row>
    <row r="448" spans="1:10" x14ac:dyDescent="0.3">
      <c r="A448" s="9">
        <v>45377</v>
      </c>
      <c r="B448" t="s">
        <v>81</v>
      </c>
      <c r="C448" t="s">
        <v>49</v>
      </c>
      <c r="D448" t="s">
        <v>24</v>
      </c>
      <c r="E448" t="s">
        <v>25</v>
      </c>
      <c r="F448" t="s">
        <v>55</v>
      </c>
      <c r="G448" t="s">
        <v>59</v>
      </c>
      <c r="H448">
        <v>20</v>
      </c>
      <c r="I448" s="3">
        <v>2465.67</v>
      </c>
      <c r="J448" s="3">
        <f t="shared" si="6"/>
        <v>49313.4</v>
      </c>
    </row>
    <row r="449" spans="1:10" x14ac:dyDescent="0.3">
      <c r="A449" s="9">
        <v>45149</v>
      </c>
      <c r="B449" t="s">
        <v>35</v>
      </c>
      <c r="C449" t="s">
        <v>72</v>
      </c>
      <c r="D449" t="s">
        <v>58</v>
      </c>
      <c r="E449" t="s">
        <v>46</v>
      </c>
      <c r="F449" t="s">
        <v>55</v>
      </c>
      <c r="G449" t="s">
        <v>74</v>
      </c>
      <c r="H449">
        <v>19</v>
      </c>
      <c r="I449" s="3">
        <v>2609.0300000000002</v>
      </c>
      <c r="J449" s="3">
        <f t="shared" si="6"/>
        <v>49571.570000000007</v>
      </c>
    </row>
    <row r="450" spans="1:10" x14ac:dyDescent="0.3">
      <c r="A450" s="9">
        <v>45286</v>
      </c>
      <c r="B450" t="s">
        <v>22</v>
      </c>
      <c r="C450" t="s">
        <v>65</v>
      </c>
      <c r="D450" t="s">
        <v>66</v>
      </c>
      <c r="E450" t="s">
        <v>54</v>
      </c>
      <c r="F450" t="s">
        <v>55</v>
      </c>
      <c r="G450" t="s">
        <v>56</v>
      </c>
      <c r="H450">
        <v>9</v>
      </c>
      <c r="I450" s="3">
        <v>2327.25</v>
      </c>
      <c r="J450" s="3">
        <f t="shared" si="6"/>
        <v>20945.25</v>
      </c>
    </row>
    <row r="451" spans="1:10" x14ac:dyDescent="0.3">
      <c r="A451" s="9">
        <v>45181</v>
      </c>
      <c r="B451" t="s">
        <v>16</v>
      </c>
      <c r="C451" t="s">
        <v>36</v>
      </c>
      <c r="D451" t="s">
        <v>37</v>
      </c>
      <c r="E451" t="s">
        <v>25</v>
      </c>
      <c r="F451" t="s">
        <v>68</v>
      </c>
      <c r="G451" t="s">
        <v>84</v>
      </c>
      <c r="H451">
        <v>22</v>
      </c>
      <c r="I451" s="3">
        <v>352.81</v>
      </c>
      <c r="J451" s="3">
        <f t="shared" ref="J451:J514" si="7">H451*I451</f>
        <v>7761.82</v>
      </c>
    </row>
    <row r="452" spans="1:10" x14ac:dyDescent="0.3">
      <c r="A452" s="9">
        <v>45137</v>
      </c>
      <c r="B452" t="s">
        <v>77</v>
      </c>
      <c r="C452" t="s">
        <v>49</v>
      </c>
      <c r="D452" t="s">
        <v>24</v>
      </c>
      <c r="E452" t="s">
        <v>25</v>
      </c>
      <c r="F452" t="s">
        <v>26</v>
      </c>
      <c r="G452" t="s">
        <v>50</v>
      </c>
      <c r="H452">
        <v>21</v>
      </c>
      <c r="I452" s="3">
        <v>2072.98</v>
      </c>
      <c r="J452" s="3">
        <f t="shared" si="7"/>
        <v>43532.58</v>
      </c>
    </row>
    <row r="453" spans="1:10" x14ac:dyDescent="0.3">
      <c r="A453" s="9">
        <v>45172</v>
      </c>
      <c r="B453" t="s">
        <v>85</v>
      </c>
      <c r="C453" t="s">
        <v>44</v>
      </c>
      <c r="D453" t="s">
        <v>45</v>
      </c>
      <c r="E453" t="s">
        <v>46</v>
      </c>
      <c r="F453" t="s">
        <v>68</v>
      </c>
      <c r="G453" t="s">
        <v>86</v>
      </c>
      <c r="H453">
        <v>16</v>
      </c>
      <c r="I453" s="3">
        <v>262.47000000000003</v>
      </c>
      <c r="J453" s="3">
        <f t="shared" si="7"/>
        <v>4199.5200000000004</v>
      </c>
    </row>
    <row r="454" spans="1:10" x14ac:dyDescent="0.3">
      <c r="A454" s="9">
        <v>44999</v>
      </c>
      <c r="B454" t="s">
        <v>77</v>
      </c>
      <c r="C454" t="s">
        <v>11</v>
      </c>
      <c r="D454" t="s">
        <v>12</v>
      </c>
      <c r="E454" t="s">
        <v>13</v>
      </c>
      <c r="F454" t="s">
        <v>14</v>
      </c>
      <c r="G454" t="s">
        <v>31</v>
      </c>
      <c r="H454">
        <v>5</v>
      </c>
      <c r="I454" s="3">
        <v>525.52</v>
      </c>
      <c r="J454" s="3">
        <f t="shared" si="7"/>
        <v>2627.6</v>
      </c>
    </row>
    <row r="455" spans="1:10" x14ac:dyDescent="0.3">
      <c r="A455" s="9">
        <v>45509</v>
      </c>
      <c r="B455" t="s">
        <v>22</v>
      </c>
      <c r="C455" t="s">
        <v>52</v>
      </c>
      <c r="D455" t="s">
        <v>53</v>
      </c>
      <c r="E455" t="s">
        <v>54</v>
      </c>
      <c r="F455" t="s">
        <v>18</v>
      </c>
      <c r="G455" t="s">
        <v>21</v>
      </c>
      <c r="H455">
        <v>25</v>
      </c>
      <c r="I455" s="3">
        <v>1021.38</v>
      </c>
      <c r="J455" s="3">
        <f t="shared" si="7"/>
        <v>25534.5</v>
      </c>
    </row>
    <row r="456" spans="1:10" x14ac:dyDescent="0.3">
      <c r="A456" s="9">
        <v>45001</v>
      </c>
      <c r="B456" t="s">
        <v>62</v>
      </c>
      <c r="C456" t="s">
        <v>17</v>
      </c>
      <c r="D456" t="s">
        <v>12</v>
      </c>
      <c r="E456" t="s">
        <v>13</v>
      </c>
      <c r="F456" t="s">
        <v>68</v>
      </c>
      <c r="G456" t="s">
        <v>83</v>
      </c>
      <c r="H456">
        <v>7</v>
      </c>
      <c r="I456" s="3">
        <v>35.130000000000003</v>
      </c>
      <c r="J456" s="3">
        <f t="shared" si="7"/>
        <v>245.91000000000003</v>
      </c>
    </row>
    <row r="457" spans="1:10" x14ac:dyDescent="0.3">
      <c r="A457" s="9">
        <v>44988</v>
      </c>
      <c r="B457" t="s">
        <v>51</v>
      </c>
      <c r="C457" t="s">
        <v>36</v>
      </c>
      <c r="D457" t="s">
        <v>37</v>
      </c>
      <c r="E457" t="s">
        <v>25</v>
      </c>
      <c r="F457" t="s">
        <v>18</v>
      </c>
      <c r="G457" t="s">
        <v>19</v>
      </c>
      <c r="H457">
        <v>14</v>
      </c>
      <c r="I457" s="3">
        <v>1448.35</v>
      </c>
      <c r="J457" s="3">
        <f t="shared" si="7"/>
        <v>20276.899999999998</v>
      </c>
    </row>
    <row r="458" spans="1:10" x14ac:dyDescent="0.3">
      <c r="A458" s="9">
        <v>45011</v>
      </c>
      <c r="B458" t="s">
        <v>16</v>
      </c>
      <c r="C458" t="s">
        <v>57</v>
      </c>
      <c r="D458" t="s">
        <v>58</v>
      </c>
      <c r="E458" t="s">
        <v>46</v>
      </c>
      <c r="F458" t="s">
        <v>14</v>
      </c>
      <c r="G458" t="s">
        <v>40</v>
      </c>
      <c r="H458">
        <v>10</v>
      </c>
      <c r="I458" s="3">
        <v>186.92</v>
      </c>
      <c r="J458" s="3">
        <f t="shared" si="7"/>
        <v>1869.1999999999998</v>
      </c>
    </row>
    <row r="459" spans="1:10" x14ac:dyDescent="0.3">
      <c r="A459" s="9">
        <v>45135</v>
      </c>
      <c r="B459" t="s">
        <v>51</v>
      </c>
      <c r="C459" t="s">
        <v>65</v>
      </c>
      <c r="D459" t="s">
        <v>66</v>
      </c>
      <c r="E459" t="s">
        <v>54</v>
      </c>
      <c r="F459" t="s">
        <v>26</v>
      </c>
      <c r="G459" t="s">
        <v>27</v>
      </c>
      <c r="H459">
        <v>21</v>
      </c>
      <c r="I459" s="3">
        <v>9513.85</v>
      </c>
      <c r="J459" s="3">
        <f t="shared" si="7"/>
        <v>199790.85</v>
      </c>
    </row>
    <row r="460" spans="1:10" x14ac:dyDescent="0.3">
      <c r="A460" s="9">
        <v>45592</v>
      </c>
      <c r="B460" t="s">
        <v>35</v>
      </c>
      <c r="C460" t="s">
        <v>36</v>
      </c>
      <c r="D460" t="s">
        <v>37</v>
      </c>
      <c r="E460" t="s">
        <v>25</v>
      </c>
      <c r="F460" t="s">
        <v>26</v>
      </c>
      <c r="G460" t="s">
        <v>27</v>
      </c>
      <c r="H460">
        <v>8</v>
      </c>
      <c r="I460" s="3">
        <v>2108.0100000000002</v>
      </c>
      <c r="J460" s="3">
        <f t="shared" si="7"/>
        <v>16864.080000000002</v>
      </c>
    </row>
    <row r="461" spans="1:10" x14ac:dyDescent="0.3">
      <c r="A461" s="9">
        <v>45015</v>
      </c>
      <c r="B461" t="s">
        <v>22</v>
      </c>
      <c r="C461" t="s">
        <v>72</v>
      </c>
      <c r="D461" t="s">
        <v>58</v>
      </c>
      <c r="E461" t="s">
        <v>46</v>
      </c>
      <c r="F461" t="s">
        <v>26</v>
      </c>
      <c r="G461" t="s">
        <v>27</v>
      </c>
      <c r="H461">
        <v>20</v>
      </c>
      <c r="I461" s="3">
        <v>2077.8000000000002</v>
      </c>
      <c r="J461" s="3">
        <f t="shared" si="7"/>
        <v>41556</v>
      </c>
    </row>
    <row r="462" spans="1:10" x14ac:dyDescent="0.3">
      <c r="A462" s="9">
        <v>45609</v>
      </c>
      <c r="B462" t="s">
        <v>28</v>
      </c>
      <c r="C462" t="s">
        <v>72</v>
      </c>
      <c r="D462" t="s">
        <v>58</v>
      </c>
      <c r="E462" t="s">
        <v>46</v>
      </c>
      <c r="F462" t="s">
        <v>68</v>
      </c>
      <c r="G462" t="s">
        <v>69</v>
      </c>
      <c r="H462">
        <v>5</v>
      </c>
      <c r="I462" s="3">
        <v>286.57</v>
      </c>
      <c r="J462" s="3">
        <f t="shared" si="7"/>
        <v>1432.85</v>
      </c>
    </row>
    <row r="463" spans="1:10" x14ac:dyDescent="0.3">
      <c r="A463" s="9">
        <v>45094</v>
      </c>
      <c r="B463" t="s">
        <v>85</v>
      </c>
      <c r="C463" t="s">
        <v>52</v>
      </c>
      <c r="D463" t="s">
        <v>53</v>
      </c>
      <c r="E463" t="s">
        <v>54</v>
      </c>
      <c r="F463" t="s">
        <v>18</v>
      </c>
      <c r="G463" t="s">
        <v>38</v>
      </c>
      <c r="H463">
        <v>6</v>
      </c>
      <c r="I463" s="3">
        <v>837.96</v>
      </c>
      <c r="J463" s="3">
        <f t="shared" si="7"/>
        <v>5027.76</v>
      </c>
    </row>
    <row r="464" spans="1:10" x14ac:dyDescent="0.3">
      <c r="A464" s="9">
        <v>45202</v>
      </c>
      <c r="B464" t="s">
        <v>10</v>
      </c>
      <c r="C464" t="s">
        <v>11</v>
      </c>
      <c r="D464" t="s">
        <v>12</v>
      </c>
      <c r="E464" t="s">
        <v>13</v>
      </c>
      <c r="F464" t="s">
        <v>14</v>
      </c>
      <c r="G464" t="s">
        <v>47</v>
      </c>
      <c r="H464">
        <v>9</v>
      </c>
      <c r="I464" s="3">
        <v>676.24</v>
      </c>
      <c r="J464" s="3">
        <f t="shared" si="7"/>
        <v>6086.16</v>
      </c>
    </row>
    <row r="465" spans="1:10" x14ac:dyDescent="0.3">
      <c r="A465" s="9">
        <v>45196</v>
      </c>
      <c r="B465" t="s">
        <v>82</v>
      </c>
      <c r="C465" t="s">
        <v>17</v>
      </c>
      <c r="D465" t="s">
        <v>12</v>
      </c>
      <c r="E465" t="s">
        <v>13</v>
      </c>
      <c r="F465" t="s">
        <v>26</v>
      </c>
      <c r="G465" t="s">
        <v>50</v>
      </c>
      <c r="H465">
        <v>17</v>
      </c>
      <c r="I465" s="3">
        <v>5281.3</v>
      </c>
      <c r="J465" s="3">
        <f t="shared" si="7"/>
        <v>89782.1</v>
      </c>
    </row>
    <row r="466" spans="1:10" x14ac:dyDescent="0.3">
      <c r="A466" s="9">
        <v>45438</v>
      </c>
      <c r="B466" t="s">
        <v>82</v>
      </c>
      <c r="C466" t="s">
        <v>78</v>
      </c>
      <c r="D466" t="s">
        <v>58</v>
      </c>
      <c r="E466" t="s">
        <v>46</v>
      </c>
      <c r="F466" t="s">
        <v>14</v>
      </c>
      <c r="G466" t="s">
        <v>15</v>
      </c>
      <c r="H466">
        <v>9</v>
      </c>
      <c r="I466" s="3">
        <v>950.66</v>
      </c>
      <c r="J466" s="3">
        <f t="shared" si="7"/>
        <v>8555.94</v>
      </c>
    </row>
    <row r="467" spans="1:10" x14ac:dyDescent="0.3">
      <c r="A467" s="9">
        <v>45514</v>
      </c>
      <c r="B467" t="s">
        <v>10</v>
      </c>
      <c r="C467" t="s">
        <v>23</v>
      </c>
      <c r="D467" t="s">
        <v>24</v>
      </c>
      <c r="E467" t="s">
        <v>25</v>
      </c>
      <c r="F467" t="s">
        <v>18</v>
      </c>
      <c r="G467" t="s">
        <v>75</v>
      </c>
      <c r="H467">
        <v>2</v>
      </c>
      <c r="I467" s="3">
        <v>1738.57</v>
      </c>
      <c r="J467" s="3">
        <f t="shared" si="7"/>
        <v>3477.14</v>
      </c>
    </row>
    <row r="468" spans="1:10" x14ac:dyDescent="0.3">
      <c r="A468" s="9">
        <v>44939</v>
      </c>
      <c r="B468" t="s">
        <v>20</v>
      </c>
      <c r="C468" t="s">
        <v>34</v>
      </c>
      <c r="D468" t="s">
        <v>12</v>
      </c>
      <c r="E468" t="s">
        <v>13</v>
      </c>
      <c r="F468" t="s">
        <v>26</v>
      </c>
      <c r="G468" t="s">
        <v>50</v>
      </c>
      <c r="H468">
        <v>13</v>
      </c>
      <c r="I468" s="3">
        <v>11162.38</v>
      </c>
      <c r="J468" s="3">
        <f t="shared" si="7"/>
        <v>145110.94</v>
      </c>
    </row>
    <row r="469" spans="1:10" x14ac:dyDescent="0.3">
      <c r="A469" s="9">
        <v>45110</v>
      </c>
      <c r="B469" t="s">
        <v>39</v>
      </c>
      <c r="C469" t="s">
        <v>29</v>
      </c>
      <c r="D469" t="s">
        <v>30</v>
      </c>
      <c r="E469" t="s">
        <v>13</v>
      </c>
      <c r="F469" t="s">
        <v>55</v>
      </c>
      <c r="G469" t="s">
        <v>64</v>
      </c>
      <c r="H469">
        <v>8</v>
      </c>
      <c r="I469" s="3">
        <v>1573.65</v>
      </c>
      <c r="J469" s="3">
        <f t="shared" si="7"/>
        <v>12589.2</v>
      </c>
    </row>
    <row r="470" spans="1:10" x14ac:dyDescent="0.3">
      <c r="A470" s="9">
        <v>45254</v>
      </c>
      <c r="B470" t="s">
        <v>33</v>
      </c>
      <c r="C470" t="s">
        <v>17</v>
      </c>
      <c r="D470" t="s">
        <v>12</v>
      </c>
      <c r="E470" t="s">
        <v>13</v>
      </c>
      <c r="F470" t="s">
        <v>18</v>
      </c>
      <c r="G470" t="s">
        <v>38</v>
      </c>
      <c r="H470">
        <v>4</v>
      </c>
      <c r="I470" s="3">
        <v>1078.78</v>
      </c>
      <c r="J470" s="3">
        <f t="shared" si="7"/>
        <v>4315.12</v>
      </c>
    </row>
    <row r="471" spans="1:10" x14ac:dyDescent="0.3">
      <c r="A471" s="9">
        <v>44980</v>
      </c>
      <c r="B471" t="s">
        <v>28</v>
      </c>
      <c r="C471" t="s">
        <v>23</v>
      </c>
      <c r="D471" t="s">
        <v>24</v>
      </c>
      <c r="E471" t="s">
        <v>25</v>
      </c>
      <c r="F471" t="s">
        <v>18</v>
      </c>
      <c r="G471" t="s">
        <v>75</v>
      </c>
      <c r="H471">
        <v>13</v>
      </c>
      <c r="I471" s="3">
        <v>277.51</v>
      </c>
      <c r="J471" s="3">
        <f t="shared" si="7"/>
        <v>3607.63</v>
      </c>
    </row>
    <row r="472" spans="1:10" x14ac:dyDescent="0.3">
      <c r="A472" s="9">
        <v>45403</v>
      </c>
      <c r="B472" t="s">
        <v>63</v>
      </c>
      <c r="C472" t="s">
        <v>36</v>
      </c>
      <c r="D472" t="s">
        <v>37</v>
      </c>
      <c r="E472" t="s">
        <v>25</v>
      </c>
      <c r="F472" t="s">
        <v>14</v>
      </c>
      <c r="G472" t="s">
        <v>40</v>
      </c>
      <c r="H472">
        <v>18</v>
      </c>
      <c r="I472" s="3">
        <v>602.41999999999996</v>
      </c>
      <c r="J472" s="3">
        <f t="shared" si="7"/>
        <v>10843.56</v>
      </c>
    </row>
    <row r="473" spans="1:10" x14ac:dyDescent="0.3">
      <c r="A473" s="9">
        <v>45304</v>
      </c>
      <c r="B473" t="s">
        <v>71</v>
      </c>
      <c r="C473" t="s">
        <v>36</v>
      </c>
      <c r="D473" t="s">
        <v>37</v>
      </c>
      <c r="E473" t="s">
        <v>25</v>
      </c>
      <c r="F473" t="s">
        <v>18</v>
      </c>
      <c r="G473" t="s">
        <v>38</v>
      </c>
      <c r="H473">
        <v>24</v>
      </c>
      <c r="I473" s="3">
        <v>1302.03</v>
      </c>
      <c r="J473" s="3">
        <f t="shared" si="7"/>
        <v>31248.720000000001</v>
      </c>
    </row>
    <row r="474" spans="1:10" x14ac:dyDescent="0.3">
      <c r="A474" s="9">
        <v>45402</v>
      </c>
      <c r="B474" t="s">
        <v>81</v>
      </c>
      <c r="C474" t="s">
        <v>79</v>
      </c>
      <c r="D474" t="s">
        <v>80</v>
      </c>
      <c r="E474" t="s">
        <v>13</v>
      </c>
      <c r="F474" t="s">
        <v>55</v>
      </c>
      <c r="G474" t="s">
        <v>67</v>
      </c>
      <c r="H474">
        <v>25</v>
      </c>
      <c r="I474" s="3">
        <v>2826.71</v>
      </c>
      <c r="J474" s="3">
        <f t="shared" si="7"/>
        <v>70667.75</v>
      </c>
    </row>
    <row r="475" spans="1:10" x14ac:dyDescent="0.3">
      <c r="A475" s="9">
        <v>45081</v>
      </c>
      <c r="B475" t="s">
        <v>62</v>
      </c>
      <c r="C475" t="s">
        <v>29</v>
      </c>
      <c r="D475" t="s">
        <v>30</v>
      </c>
      <c r="E475" t="s">
        <v>13</v>
      </c>
      <c r="F475" t="s">
        <v>68</v>
      </c>
      <c r="G475" t="s">
        <v>86</v>
      </c>
      <c r="H475">
        <v>18</v>
      </c>
      <c r="I475" s="3">
        <v>151.63999999999999</v>
      </c>
      <c r="J475" s="3">
        <f t="shared" si="7"/>
        <v>2729.5199999999995</v>
      </c>
    </row>
    <row r="476" spans="1:10" x14ac:dyDescent="0.3">
      <c r="A476" s="9">
        <v>45637</v>
      </c>
      <c r="B476" t="s">
        <v>62</v>
      </c>
      <c r="C476" t="s">
        <v>65</v>
      </c>
      <c r="D476" t="s">
        <v>66</v>
      </c>
      <c r="E476" t="s">
        <v>54</v>
      </c>
      <c r="F476" t="s">
        <v>68</v>
      </c>
      <c r="G476" t="s">
        <v>84</v>
      </c>
      <c r="H476">
        <v>22</v>
      </c>
      <c r="I476" s="3">
        <v>162.97999999999999</v>
      </c>
      <c r="J476" s="3">
        <f t="shared" si="7"/>
        <v>3585.56</v>
      </c>
    </row>
    <row r="477" spans="1:10" x14ac:dyDescent="0.3">
      <c r="A477" s="9">
        <v>45241</v>
      </c>
      <c r="B477" t="s">
        <v>10</v>
      </c>
      <c r="C477" t="s">
        <v>49</v>
      </c>
      <c r="D477" t="s">
        <v>24</v>
      </c>
      <c r="E477" t="s">
        <v>25</v>
      </c>
      <c r="F477" t="s">
        <v>18</v>
      </c>
      <c r="G477" t="s">
        <v>21</v>
      </c>
      <c r="H477">
        <v>14</v>
      </c>
      <c r="I477" s="3">
        <v>1060.25</v>
      </c>
      <c r="J477" s="3">
        <f t="shared" si="7"/>
        <v>14843.5</v>
      </c>
    </row>
    <row r="478" spans="1:10" x14ac:dyDescent="0.3">
      <c r="A478" s="9">
        <v>44988</v>
      </c>
      <c r="B478" t="s">
        <v>51</v>
      </c>
      <c r="C478" t="s">
        <v>61</v>
      </c>
      <c r="D478" t="s">
        <v>37</v>
      </c>
      <c r="E478" t="s">
        <v>25</v>
      </c>
      <c r="F478" t="s">
        <v>68</v>
      </c>
      <c r="G478" t="s">
        <v>73</v>
      </c>
      <c r="H478">
        <v>8</v>
      </c>
      <c r="I478" s="3">
        <v>360.97</v>
      </c>
      <c r="J478" s="3">
        <f t="shared" si="7"/>
        <v>2887.76</v>
      </c>
    </row>
    <row r="479" spans="1:10" x14ac:dyDescent="0.3">
      <c r="A479" s="9">
        <v>45459</v>
      </c>
      <c r="B479" t="s">
        <v>22</v>
      </c>
      <c r="C479" t="s">
        <v>52</v>
      </c>
      <c r="D479" t="s">
        <v>53</v>
      </c>
      <c r="E479" t="s">
        <v>54</v>
      </c>
      <c r="F479" t="s">
        <v>26</v>
      </c>
      <c r="G479" t="s">
        <v>27</v>
      </c>
      <c r="H479">
        <v>3</v>
      </c>
      <c r="I479" s="3">
        <v>7598.09</v>
      </c>
      <c r="J479" s="3">
        <f t="shared" si="7"/>
        <v>22794.27</v>
      </c>
    </row>
    <row r="480" spans="1:10" x14ac:dyDescent="0.3">
      <c r="A480" s="9">
        <v>45444</v>
      </c>
      <c r="B480" t="s">
        <v>51</v>
      </c>
      <c r="C480" t="s">
        <v>44</v>
      </c>
      <c r="D480" t="s">
        <v>45</v>
      </c>
      <c r="E480" t="s">
        <v>46</v>
      </c>
      <c r="F480" t="s">
        <v>68</v>
      </c>
      <c r="G480" t="s">
        <v>70</v>
      </c>
      <c r="H480">
        <v>19</v>
      </c>
      <c r="I480" s="3">
        <v>43.67</v>
      </c>
      <c r="J480" s="3">
        <f t="shared" si="7"/>
        <v>829.73</v>
      </c>
    </row>
    <row r="481" spans="1:10" x14ac:dyDescent="0.3">
      <c r="A481" s="9">
        <v>45605</v>
      </c>
      <c r="B481" t="s">
        <v>51</v>
      </c>
      <c r="C481" t="s">
        <v>23</v>
      </c>
      <c r="D481" t="s">
        <v>24</v>
      </c>
      <c r="E481" t="s">
        <v>25</v>
      </c>
      <c r="F481" t="s">
        <v>14</v>
      </c>
      <c r="G481" t="s">
        <v>31</v>
      </c>
      <c r="H481">
        <v>11</v>
      </c>
      <c r="I481" s="3">
        <v>1118.6500000000001</v>
      </c>
      <c r="J481" s="3">
        <f t="shared" si="7"/>
        <v>12305.150000000001</v>
      </c>
    </row>
    <row r="482" spans="1:10" x14ac:dyDescent="0.3">
      <c r="A482" s="9">
        <v>45329</v>
      </c>
      <c r="B482" t="s">
        <v>48</v>
      </c>
      <c r="C482" t="s">
        <v>65</v>
      </c>
      <c r="D482" t="s">
        <v>66</v>
      </c>
      <c r="E482" t="s">
        <v>54</v>
      </c>
      <c r="F482" t="s">
        <v>26</v>
      </c>
      <c r="G482" t="s">
        <v>50</v>
      </c>
      <c r="H482">
        <v>8</v>
      </c>
      <c r="I482" s="3">
        <v>2284.2199999999998</v>
      </c>
      <c r="J482" s="3">
        <f t="shared" si="7"/>
        <v>18273.759999999998</v>
      </c>
    </row>
    <row r="483" spans="1:10" x14ac:dyDescent="0.3">
      <c r="A483" s="9">
        <v>45134</v>
      </c>
      <c r="B483" t="s">
        <v>51</v>
      </c>
      <c r="C483" t="s">
        <v>72</v>
      </c>
      <c r="D483" t="s">
        <v>58</v>
      </c>
      <c r="E483" t="s">
        <v>46</v>
      </c>
      <c r="F483" t="s">
        <v>55</v>
      </c>
      <c r="G483" t="s">
        <v>74</v>
      </c>
      <c r="H483">
        <v>6</v>
      </c>
      <c r="I483" s="3">
        <v>1683.57</v>
      </c>
      <c r="J483" s="3">
        <f t="shared" si="7"/>
        <v>10101.42</v>
      </c>
    </row>
    <row r="484" spans="1:10" x14ac:dyDescent="0.3">
      <c r="A484" s="9">
        <v>45248</v>
      </c>
      <c r="B484" t="s">
        <v>22</v>
      </c>
      <c r="C484" t="s">
        <v>72</v>
      </c>
      <c r="D484" t="s">
        <v>58</v>
      </c>
      <c r="E484" t="s">
        <v>46</v>
      </c>
      <c r="F484" t="s">
        <v>18</v>
      </c>
      <c r="G484" t="s">
        <v>38</v>
      </c>
      <c r="H484">
        <v>25</v>
      </c>
      <c r="I484" s="3">
        <v>534.13</v>
      </c>
      <c r="J484" s="3">
        <f t="shared" si="7"/>
        <v>13353.25</v>
      </c>
    </row>
    <row r="485" spans="1:10" x14ac:dyDescent="0.3">
      <c r="A485" s="9">
        <v>45242</v>
      </c>
      <c r="B485" t="s">
        <v>43</v>
      </c>
      <c r="C485" t="s">
        <v>61</v>
      </c>
      <c r="D485" t="s">
        <v>37</v>
      </c>
      <c r="E485" t="s">
        <v>25</v>
      </c>
      <c r="F485" t="s">
        <v>68</v>
      </c>
      <c r="G485" t="s">
        <v>73</v>
      </c>
      <c r="H485">
        <v>6</v>
      </c>
      <c r="I485" s="3">
        <v>326.89</v>
      </c>
      <c r="J485" s="3">
        <f t="shared" si="7"/>
        <v>1961.34</v>
      </c>
    </row>
    <row r="486" spans="1:10" x14ac:dyDescent="0.3">
      <c r="A486" s="9">
        <v>45238</v>
      </c>
      <c r="B486" t="s">
        <v>60</v>
      </c>
      <c r="C486" t="s">
        <v>34</v>
      </c>
      <c r="D486" t="s">
        <v>12</v>
      </c>
      <c r="E486" t="s">
        <v>13</v>
      </c>
      <c r="F486" t="s">
        <v>55</v>
      </c>
      <c r="G486" t="s">
        <v>64</v>
      </c>
      <c r="H486">
        <v>5</v>
      </c>
      <c r="I486" s="3">
        <v>501</v>
      </c>
      <c r="J486" s="3">
        <f t="shared" si="7"/>
        <v>2505</v>
      </c>
    </row>
    <row r="487" spans="1:10" x14ac:dyDescent="0.3">
      <c r="A487" s="9">
        <v>45181</v>
      </c>
      <c r="B487" t="s">
        <v>81</v>
      </c>
      <c r="C487" t="s">
        <v>44</v>
      </c>
      <c r="D487" t="s">
        <v>45</v>
      </c>
      <c r="E487" t="s">
        <v>46</v>
      </c>
      <c r="F487" t="s">
        <v>18</v>
      </c>
      <c r="G487" t="s">
        <v>75</v>
      </c>
      <c r="H487">
        <v>22</v>
      </c>
      <c r="I487" s="3">
        <v>702.86</v>
      </c>
      <c r="J487" s="3">
        <f t="shared" si="7"/>
        <v>15462.92</v>
      </c>
    </row>
    <row r="488" spans="1:10" x14ac:dyDescent="0.3">
      <c r="A488" s="9">
        <v>45105</v>
      </c>
      <c r="B488" t="s">
        <v>62</v>
      </c>
      <c r="C488" t="s">
        <v>44</v>
      </c>
      <c r="D488" t="s">
        <v>45</v>
      </c>
      <c r="E488" t="s">
        <v>46</v>
      </c>
      <c r="F488" t="s">
        <v>26</v>
      </c>
      <c r="G488" t="s">
        <v>27</v>
      </c>
      <c r="H488">
        <v>24</v>
      </c>
      <c r="I488" s="3">
        <v>7276.27</v>
      </c>
      <c r="J488" s="3">
        <f t="shared" si="7"/>
        <v>174630.48</v>
      </c>
    </row>
    <row r="489" spans="1:10" x14ac:dyDescent="0.3">
      <c r="A489" s="9">
        <v>45023</v>
      </c>
      <c r="B489" t="s">
        <v>43</v>
      </c>
      <c r="C489" t="s">
        <v>72</v>
      </c>
      <c r="D489" t="s">
        <v>58</v>
      </c>
      <c r="E489" t="s">
        <v>46</v>
      </c>
      <c r="F489" t="s">
        <v>55</v>
      </c>
      <c r="G489" t="s">
        <v>74</v>
      </c>
      <c r="H489">
        <v>1</v>
      </c>
      <c r="I489" s="3">
        <v>403.51</v>
      </c>
      <c r="J489" s="3">
        <f t="shared" si="7"/>
        <v>403.51</v>
      </c>
    </row>
    <row r="490" spans="1:10" x14ac:dyDescent="0.3">
      <c r="A490" s="9">
        <v>45154</v>
      </c>
      <c r="B490" t="s">
        <v>51</v>
      </c>
      <c r="C490" t="s">
        <v>49</v>
      </c>
      <c r="D490" t="s">
        <v>24</v>
      </c>
      <c r="E490" t="s">
        <v>25</v>
      </c>
      <c r="F490" t="s">
        <v>26</v>
      </c>
      <c r="G490" t="s">
        <v>50</v>
      </c>
      <c r="H490">
        <v>22</v>
      </c>
      <c r="I490" s="3">
        <v>8118.12</v>
      </c>
      <c r="J490" s="3">
        <f t="shared" si="7"/>
        <v>178598.63999999998</v>
      </c>
    </row>
    <row r="491" spans="1:10" x14ac:dyDescent="0.3">
      <c r="A491" s="9">
        <v>45587</v>
      </c>
      <c r="B491" t="s">
        <v>35</v>
      </c>
      <c r="C491" t="s">
        <v>61</v>
      </c>
      <c r="D491" t="s">
        <v>37</v>
      </c>
      <c r="E491" t="s">
        <v>25</v>
      </c>
      <c r="F491" t="s">
        <v>68</v>
      </c>
      <c r="G491" t="s">
        <v>73</v>
      </c>
      <c r="H491">
        <v>3</v>
      </c>
      <c r="I491" s="3">
        <v>95.15</v>
      </c>
      <c r="J491" s="3">
        <f t="shared" si="7"/>
        <v>285.45000000000005</v>
      </c>
    </row>
    <row r="492" spans="1:10" x14ac:dyDescent="0.3">
      <c r="A492" s="9">
        <v>45588</v>
      </c>
      <c r="B492" t="s">
        <v>43</v>
      </c>
      <c r="C492" t="s">
        <v>57</v>
      </c>
      <c r="D492" t="s">
        <v>58</v>
      </c>
      <c r="E492" t="s">
        <v>46</v>
      </c>
      <c r="F492" t="s">
        <v>68</v>
      </c>
      <c r="G492" t="s">
        <v>84</v>
      </c>
      <c r="H492">
        <v>11</v>
      </c>
      <c r="I492" s="3">
        <v>66.56</v>
      </c>
      <c r="J492" s="3">
        <f t="shared" si="7"/>
        <v>732.16000000000008</v>
      </c>
    </row>
    <row r="493" spans="1:10" x14ac:dyDescent="0.3">
      <c r="A493" s="9">
        <v>45399</v>
      </c>
      <c r="B493" t="s">
        <v>39</v>
      </c>
      <c r="C493" t="s">
        <v>78</v>
      </c>
      <c r="D493" t="s">
        <v>58</v>
      </c>
      <c r="E493" t="s">
        <v>46</v>
      </c>
      <c r="F493" t="s">
        <v>18</v>
      </c>
      <c r="G493" t="s">
        <v>19</v>
      </c>
      <c r="H493">
        <v>24</v>
      </c>
      <c r="I493" s="3">
        <v>880.75</v>
      </c>
      <c r="J493" s="3">
        <f t="shared" si="7"/>
        <v>21138</v>
      </c>
    </row>
    <row r="494" spans="1:10" x14ac:dyDescent="0.3">
      <c r="A494" s="9">
        <v>44957</v>
      </c>
      <c r="B494" t="s">
        <v>51</v>
      </c>
      <c r="C494" t="s">
        <v>29</v>
      </c>
      <c r="D494" t="s">
        <v>30</v>
      </c>
      <c r="E494" t="s">
        <v>13</v>
      </c>
      <c r="F494" t="s">
        <v>55</v>
      </c>
      <c r="G494" t="s">
        <v>64</v>
      </c>
      <c r="H494">
        <v>7</v>
      </c>
      <c r="I494" s="3">
        <v>3197.4</v>
      </c>
      <c r="J494" s="3">
        <f t="shared" si="7"/>
        <v>22381.8</v>
      </c>
    </row>
    <row r="495" spans="1:10" x14ac:dyDescent="0.3">
      <c r="A495" s="9">
        <v>45208</v>
      </c>
      <c r="B495" t="s">
        <v>33</v>
      </c>
      <c r="C495" t="s">
        <v>41</v>
      </c>
      <c r="D495" t="s">
        <v>42</v>
      </c>
      <c r="E495" t="s">
        <v>25</v>
      </c>
      <c r="F495" t="s">
        <v>55</v>
      </c>
      <c r="G495" t="s">
        <v>74</v>
      </c>
      <c r="H495">
        <v>20</v>
      </c>
      <c r="I495" s="3">
        <v>2243.2800000000002</v>
      </c>
      <c r="J495" s="3">
        <f t="shared" si="7"/>
        <v>44865.600000000006</v>
      </c>
    </row>
    <row r="496" spans="1:10" x14ac:dyDescent="0.3">
      <c r="A496" s="9">
        <v>45178</v>
      </c>
      <c r="B496" t="s">
        <v>63</v>
      </c>
      <c r="C496" t="s">
        <v>79</v>
      </c>
      <c r="D496" t="s">
        <v>80</v>
      </c>
      <c r="E496" t="s">
        <v>13</v>
      </c>
      <c r="F496" t="s">
        <v>26</v>
      </c>
      <c r="G496" t="s">
        <v>27</v>
      </c>
      <c r="H496">
        <v>16</v>
      </c>
      <c r="I496" s="3">
        <v>2140.2800000000002</v>
      </c>
      <c r="J496" s="3">
        <f t="shared" si="7"/>
        <v>34244.480000000003</v>
      </c>
    </row>
    <row r="497" spans="1:10" x14ac:dyDescent="0.3">
      <c r="A497" s="9">
        <v>45213</v>
      </c>
      <c r="B497" t="s">
        <v>51</v>
      </c>
      <c r="C497" t="s">
        <v>57</v>
      </c>
      <c r="D497" t="s">
        <v>58</v>
      </c>
      <c r="E497" t="s">
        <v>46</v>
      </c>
      <c r="F497" t="s">
        <v>26</v>
      </c>
      <c r="G497" t="s">
        <v>32</v>
      </c>
      <c r="H497">
        <v>21</v>
      </c>
      <c r="I497" s="3">
        <v>10788.85</v>
      </c>
      <c r="J497" s="3">
        <f t="shared" si="7"/>
        <v>226565.85</v>
      </c>
    </row>
    <row r="498" spans="1:10" x14ac:dyDescent="0.3">
      <c r="A498" s="9">
        <v>45465</v>
      </c>
      <c r="B498" t="s">
        <v>20</v>
      </c>
      <c r="C498" t="s">
        <v>11</v>
      </c>
      <c r="D498" t="s">
        <v>12</v>
      </c>
      <c r="E498" t="s">
        <v>13</v>
      </c>
      <c r="F498" t="s">
        <v>26</v>
      </c>
      <c r="G498" t="s">
        <v>27</v>
      </c>
      <c r="H498">
        <v>12</v>
      </c>
      <c r="I498" s="3">
        <v>6536.69</v>
      </c>
      <c r="J498" s="3">
        <f t="shared" si="7"/>
        <v>78440.28</v>
      </c>
    </row>
    <row r="499" spans="1:10" x14ac:dyDescent="0.3">
      <c r="A499" s="9">
        <v>45423</v>
      </c>
      <c r="B499" t="s">
        <v>81</v>
      </c>
      <c r="C499" t="s">
        <v>65</v>
      </c>
      <c r="D499" t="s">
        <v>66</v>
      </c>
      <c r="E499" t="s">
        <v>54</v>
      </c>
      <c r="F499" t="s">
        <v>26</v>
      </c>
      <c r="G499" t="s">
        <v>50</v>
      </c>
      <c r="H499">
        <v>6</v>
      </c>
      <c r="I499" s="3">
        <v>1773.66</v>
      </c>
      <c r="J499" s="3">
        <f t="shared" si="7"/>
        <v>10641.960000000001</v>
      </c>
    </row>
    <row r="500" spans="1:10" x14ac:dyDescent="0.3">
      <c r="A500" s="9">
        <v>45538</v>
      </c>
      <c r="B500" t="s">
        <v>20</v>
      </c>
      <c r="C500" t="s">
        <v>11</v>
      </c>
      <c r="D500" t="s">
        <v>12</v>
      </c>
      <c r="E500" t="s">
        <v>13</v>
      </c>
      <c r="F500" t="s">
        <v>14</v>
      </c>
      <c r="G500" t="s">
        <v>40</v>
      </c>
      <c r="H500">
        <v>16</v>
      </c>
      <c r="I500" s="3">
        <v>682.38</v>
      </c>
      <c r="J500" s="3">
        <f t="shared" si="7"/>
        <v>10918.08</v>
      </c>
    </row>
    <row r="501" spans="1:10" x14ac:dyDescent="0.3">
      <c r="A501" s="9">
        <v>45525</v>
      </c>
      <c r="B501" t="s">
        <v>20</v>
      </c>
      <c r="C501" t="s">
        <v>78</v>
      </c>
      <c r="D501" t="s">
        <v>58</v>
      </c>
      <c r="E501" t="s">
        <v>46</v>
      </c>
      <c r="F501" t="s">
        <v>68</v>
      </c>
      <c r="G501" t="s">
        <v>86</v>
      </c>
      <c r="H501">
        <v>22</v>
      </c>
      <c r="I501" s="3">
        <v>111.64</v>
      </c>
      <c r="J501" s="3">
        <f t="shared" si="7"/>
        <v>2456.08</v>
      </c>
    </row>
    <row r="502" spans="1:10" x14ac:dyDescent="0.3">
      <c r="A502" s="9">
        <v>45473</v>
      </c>
      <c r="B502" t="s">
        <v>39</v>
      </c>
      <c r="C502" t="s">
        <v>23</v>
      </c>
      <c r="D502" t="s">
        <v>24</v>
      </c>
      <c r="E502" t="s">
        <v>25</v>
      </c>
      <c r="F502" t="s">
        <v>18</v>
      </c>
      <c r="G502" t="s">
        <v>19</v>
      </c>
      <c r="H502">
        <v>12</v>
      </c>
      <c r="I502" s="3">
        <v>1880.13</v>
      </c>
      <c r="J502" s="3">
        <f t="shared" si="7"/>
        <v>22561.56</v>
      </c>
    </row>
    <row r="503" spans="1:10" x14ac:dyDescent="0.3">
      <c r="A503" s="9">
        <v>45104</v>
      </c>
      <c r="B503" t="s">
        <v>28</v>
      </c>
      <c r="C503" t="s">
        <v>23</v>
      </c>
      <c r="D503" t="s">
        <v>24</v>
      </c>
      <c r="E503" t="s">
        <v>25</v>
      </c>
      <c r="F503" t="s">
        <v>18</v>
      </c>
      <c r="G503" t="s">
        <v>38</v>
      </c>
      <c r="H503">
        <v>24</v>
      </c>
      <c r="I503" s="3">
        <v>1440.61</v>
      </c>
      <c r="J503" s="3">
        <f t="shared" si="7"/>
        <v>34574.639999999999</v>
      </c>
    </row>
    <row r="504" spans="1:10" x14ac:dyDescent="0.3">
      <c r="A504" s="9">
        <v>45532</v>
      </c>
      <c r="B504" t="s">
        <v>62</v>
      </c>
      <c r="C504" t="s">
        <v>52</v>
      </c>
      <c r="D504" t="s">
        <v>53</v>
      </c>
      <c r="E504" t="s">
        <v>54</v>
      </c>
      <c r="F504" t="s">
        <v>18</v>
      </c>
      <c r="G504" t="s">
        <v>21</v>
      </c>
      <c r="H504">
        <v>19</v>
      </c>
      <c r="I504" s="3">
        <v>1904.48</v>
      </c>
      <c r="J504" s="3">
        <f t="shared" si="7"/>
        <v>36185.120000000003</v>
      </c>
    </row>
    <row r="505" spans="1:10" x14ac:dyDescent="0.3">
      <c r="A505" s="9">
        <v>45431</v>
      </c>
      <c r="B505" t="s">
        <v>16</v>
      </c>
      <c r="C505" t="s">
        <v>36</v>
      </c>
      <c r="D505" t="s">
        <v>37</v>
      </c>
      <c r="E505" t="s">
        <v>25</v>
      </c>
      <c r="F505" t="s">
        <v>55</v>
      </c>
      <c r="G505" t="s">
        <v>59</v>
      </c>
      <c r="H505">
        <v>2</v>
      </c>
      <c r="I505" s="3">
        <v>497.85</v>
      </c>
      <c r="J505" s="3">
        <f t="shared" si="7"/>
        <v>995.7</v>
      </c>
    </row>
    <row r="506" spans="1:10" x14ac:dyDescent="0.3">
      <c r="A506" s="9">
        <v>45165</v>
      </c>
      <c r="B506" t="s">
        <v>60</v>
      </c>
      <c r="C506" t="s">
        <v>23</v>
      </c>
      <c r="D506" t="s">
        <v>24</v>
      </c>
      <c r="E506" t="s">
        <v>25</v>
      </c>
      <c r="F506" t="s">
        <v>68</v>
      </c>
      <c r="G506" t="s">
        <v>70</v>
      </c>
      <c r="H506">
        <v>16</v>
      </c>
      <c r="I506" s="3">
        <v>20.260000000000002</v>
      </c>
      <c r="J506" s="3">
        <f t="shared" si="7"/>
        <v>324.16000000000003</v>
      </c>
    </row>
    <row r="507" spans="1:10" x14ac:dyDescent="0.3">
      <c r="A507" s="9">
        <v>45555</v>
      </c>
      <c r="B507" t="s">
        <v>71</v>
      </c>
      <c r="C507" t="s">
        <v>57</v>
      </c>
      <c r="D507" t="s">
        <v>58</v>
      </c>
      <c r="E507" t="s">
        <v>46</v>
      </c>
      <c r="F507" t="s">
        <v>14</v>
      </c>
      <c r="G507" t="s">
        <v>15</v>
      </c>
      <c r="H507">
        <v>11</v>
      </c>
      <c r="I507" s="3">
        <v>165.51</v>
      </c>
      <c r="J507" s="3">
        <f t="shared" si="7"/>
        <v>1820.61</v>
      </c>
    </row>
    <row r="508" spans="1:10" x14ac:dyDescent="0.3">
      <c r="A508" s="9">
        <v>45078</v>
      </c>
      <c r="B508" t="s">
        <v>82</v>
      </c>
      <c r="C508" t="s">
        <v>57</v>
      </c>
      <c r="D508" t="s">
        <v>58</v>
      </c>
      <c r="E508" t="s">
        <v>46</v>
      </c>
      <c r="F508" t="s">
        <v>68</v>
      </c>
      <c r="G508" t="s">
        <v>84</v>
      </c>
      <c r="H508">
        <v>17</v>
      </c>
      <c r="I508" s="3">
        <v>347.05</v>
      </c>
      <c r="J508" s="3">
        <f t="shared" si="7"/>
        <v>5899.85</v>
      </c>
    </row>
    <row r="509" spans="1:10" x14ac:dyDescent="0.3">
      <c r="A509" s="9">
        <v>45001</v>
      </c>
      <c r="B509" t="s">
        <v>81</v>
      </c>
      <c r="C509" t="s">
        <v>44</v>
      </c>
      <c r="D509" t="s">
        <v>45</v>
      </c>
      <c r="E509" t="s">
        <v>46</v>
      </c>
      <c r="F509" t="s">
        <v>18</v>
      </c>
      <c r="G509" t="s">
        <v>75</v>
      </c>
      <c r="H509">
        <v>11</v>
      </c>
      <c r="I509" s="3">
        <v>708.27</v>
      </c>
      <c r="J509" s="3">
        <f t="shared" si="7"/>
        <v>7790.9699999999993</v>
      </c>
    </row>
    <row r="510" spans="1:10" x14ac:dyDescent="0.3">
      <c r="A510" s="9">
        <v>45066</v>
      </c>
      <c r="B510" t="s">
        <v>28</v>
      </c>
      <c r="C510" t="s">
        <v>29</v>
      </c>
      <c r="D510" t="s">
        <v>30</v>
      </c>
      <c r="E510" t="s">
        <v>13</v>
      </c>
      <c r="F510" t="s">
        <v>26</v>
      </c>
      <c r="G510" t="s">
        <v>27</v>
      </c>
      <c r="H510">
        <v>11</v>
      </c>
      <c r="I510" s="3">
        <v>3329.13</v>
      </c>
      <c r="J510" s="3">
        <f t="shared" si="7"/>
        <v>36620.43</v>
      </c>
    </row>
    <row r="511" spans="1:10" x14ac:dyDescent="0.3">
      <c r="A511" s="9">
        <v>45502</v>
      </c>
      <c r="B511" t="s">
        <v>60</v>
      </c>
      <c r="C511" t="s">
        <v>52</v>
      </c>
      <c r="D511" t="s">
        <v>53</v>
      </c>
      <c r="E511" t="s">
        <v>54</v>
      </c>
      <c r="F511" t="s">
        <v>55</v>
      </c>
      <c r="G511" t="s">
        <v>67</v>
      </c>
      <c r="H511">
        <v>6</v>
      </c>
      <c r="I511" s="3">
        <v>1448.67</v>
      </c>
      <c r="J511" s="3">
        <f t="shared" si="7"/>
        <v>8692.02</v>
      </c>
    </row>
    <row r="512" spans="1:10" x14ac:dyDescent="0.3">
      <c r="A512" s="9">
        <v>45632</v>
      </c>
      <c r="B512" t="s">
        <v>63</v>
      </c>
      <c r="C512" t="s">
        <v>57</v>
      </c>
      <c r="D512" t="s">
        <v>58</v>
      </c>
      <c r="E512" t="s">
        <v>46</v>
      </c>
      <c r="F512" t="s">
        <v>55</v>
      </c>
      <c r="G512" t="s">
        <v>74</v>
      </c>
      <c r="H512">
        <v>23</v>
      </c>
      <c r="I512" s="3">
        <v>3330.7</v>
      </c>
      <c r="J512" s="3">
        <f t="shared" si="7"/>
        <v>76606.099999999991</v>
      </c>
    </row>
    <row r="513" spans="1:10" x14ac:dyDescent="0.3">
      <c r="A513" s="9">
        <v>45327</v>
      </c>
      <c r="B513" t="s">
        <v>82</v>
      </c>
      <c r="C513" t="s">
        <v>34</v>
      </c>
      <c r="D513" t="s">
        <v>12</v>
      </c>
      <c r="E513" t="s">
        <v>13</v>
      </c>
      <c r="F513" t="s">
        <v>55</v>
      </c>
      <c r="G513" t="s">
        <v>67</v>
      </c>
      <c r="H513">
        <v>11</v>
      </c>
      <c r="I513" s="3">
        <v>3239.43</v>
      </c>
      <c r="J513" s="3">
        <f t="shared" si="7"/>
        <v>35633.729999999996</v>
      </c>
    </row>
    <row r="514" spans="1:10" x14ac:dyDescent="0.3">
      <c r="A514" s="9">
        <v>45553</v>
      </c>
      <c r="B514" t="s">
        <v>20</v>
      </c>
      <c r="C514" t="s">
        <v>72</v>
      </c>
      <c r="D514" t="s">
        <v>58</v>
      </c>
      <c r="E514" t="s">
        <v>46</v>
      </c>
      <c r="F514" t="s">
        <v>26</v>
      </c>
      <c r="G514" t="s">
        <v>32</v>
      </c>
      <c r="H514">
        <v>11</v>
      </c>
      <c r="I514" s="3">
        <v>9326.1</v>
      </c>
      <c r="J514" s="3">
        <f t="shared" si="7"/>
        <v>102587.1</v>
      </c>
    </row>
    <row r="515" spans="1:10" x14ac:dyDescent="0.3">
      <c r="A515" s="9">
        <v>45170</v>
      </c>
      <c r="B515" t="s">
        <v>81</v>
      </c>
      <c r="C515" t="s">
        <v>65</v>
      </c>
      <c r="D515" t="s">
        <v>66</v>
      </c>
      <c r="E515" t="s">
        <v>54</v>
      </c>
      <c r="F515" t="s">
        <v>55</v>
      </c>
      <c r="G515" t="s">
        <v>74</v>
      </c>
      <c r="H515">
        <v>23</v>
      </c>
      <c r="I515" s="3">
        <v>2411.08</v>
      </c>
      <c r="J515" s="3">
        <f t="shared" ref="J515:J578" si="8">H515*I515</f>
        <v>55454.84</v>
      </c>
    </row>
    <row r="516" spans="1:10" x14ac:dyDescent="0.3">
      <c r="A516" s="9">
        <v>45270</v>
      </c>
      <c r="B516" t="s">
        <v>43</v>
      </c>
      <c r="C516" t="s">
        <v>11</v>
      </c>
      <c r="D516" t="s">
        <v>12</v>
      </c>
      <c r="E516" t="s">
        <v>13</v>
      </c>
      <c r="F516" t="s">
        <v>14</v>
      </c>
      <c r="G516" t="s">
        <v>15</v>
      </c>
      <c r="H516">
        <v>8</v>
      </c>
      <c r="I516" s="3">
        <v>862.49</v>
      </c>
      <c r="J516" s="3">
        <f t="shared" si="8"/>
        <v>6899.92</v>
      </c>
    </row>
    <row r="517" spans="1:10" x14ac:dyDescent="0.3">
      <c r="A517" s="9">
        <v>45285</v>
      </c>
      <c r="B517" t="s">
        <v>33</v>
      </c>
      <c r="C517" t="s">
        <v>72</v>
      </c>
      <c r="D517" t="s">
        <v>58</v>
      </c>
      <c r="E517" t="s">
        <v>46</v>
      </c>
      <c r="F517" t="s">
        <v>68</v>
      </c>
      <c r="G517" t="s">
        <v>73</v>
      </c>
      <c r="H517">
        <v>13</v>
      </c>
      <c r="I517" s="3">
        <v>186.52</v>
      </c>
      <c r="J517" s="3">
        <f t="shared" si="8"/>
        <v>2424.7600000000002</v>
      </c>
    </row>
    <row r="518" spans="1:10" x14ac:dyDescent="0.3">
      <c r="A518" s="9">
        <v>45356</v>
      </c>
      <c r="B518" t="s">
        <v>28</v>
      </c>
      <c r="C518" t="s">
        <v>29</v>
      </c>
      <c r="D518" t="s">
        <v>30</v>
      </c>
      <c r="E518" t="s">
        <v>13</v>
      </c>
      <c r="F518" t="s">
        <v>26</v>
      </c>
      <c r="G518" t="s">
        <v>50</v>
      </c>
      <c r="H518">
        <v>12</v>
      </c>
      <c r="I518" s="3">
        <v>7233.25</v>
      </c>
      <c r="J518" s="3">
        <f t="shared" si="8"/>
        <v>86799</v>
      </c>
    </row>
    <row r="519" spans="1:10" x14ac:dyDescent="0.3">
      <c r="A519" s="9">
        <v>45030</v>
      </c>
      <c r="B519" t="s">
        <v>85</v>
      </c>
      <c r="C519" t="s">
        <v>23</v>
      </c>
      <c r="D519" t="s">
        <v>24</v>
      </c>
      <c r="E519" t="s">
        <v>25</v>
      </c>
      <c r="F519" t="s">
        <v>55</v>
      </c>
      <c r="G519" t="s">
        <v>59</v>
      </c>
      <c r="H519">
        <v>3</v>
      </c>
      <c r="I519" s="3">
        <v>2837.34</v>
      </c>
      <c r="J519" s="3">
        <f t="shared" si="8"/>
        <v>8512.02</v>
      </c>
    </row>
    <row r="520" spans="1:10" x14ac:dyDescent="0.3">
      <c r="A520" s="9">
        <v>44961</v>
      </c>
      <c r="B520" t="s">
        <v>63</v>
      </c>
      <c r="C520" t="s">
        <v>11</v>
      </c>
      <c r="D520" t="s">
        <v>12</v>
      </c>
      <c r="E520" t="s">
        <v>13</v>
      </c>
      <c r="F520" t="s">
        <v>14</v>
      </c>
      <c r="G520" t="s">
        <v>31</v>
      </c>
      <c r="H520">
        <v>4</v>
      </c>
      <c r="I520" s="3">
        <v>181.62</v>
      </c>
      <c r="J520" s="3">
        <f t="shared" si="8"/>
        <v>726.48</v>
      </c>
    </row>
    <row r="521" spans="1:10" x14ac:dyDescent="0.3">
      <c r="A521" s="9">
        <v>45101</v>
      </c>
      <c r="B521" t="s">
        <v>51</v>
      </c>
      <c r="C521" t="s">
        <v>78</v>
      </c>
      <c r="D521" t="s">
        <v>58</v>
      </c>
      <c r="E521" t="s">
        <v>46</v>
      </c>
      <c r="F521" t="s">
        <v>68</v>
      </c>
      <c r="G521" t="s">
        <v>70</v>
      </c>
      <c r="H521">
        <v>3</v>
      </c>
      <c r="I521" s="3">
        <v>148.41999999999999</v>
      </c>
      <c r="J521" s="3">
        <f t="shared" si="8"/>
        <v>445.26</v>
      </c>
    </row>
    <row r="522" spans="1:10" x14ac:dyDescent="0.3">
      <c r="A522" s="9">
        <v>45555</v>
      </c>
      <c r="B522" t="s">
        <v>85</v>
      </c>
      <c r="C522" t="s">
        <v>11</v>
      </c>
      <c r="D522" t="s">
        <v>12</v>
      </c>
      <c r="E522" t="s">
        <v>13</v>
      </c>
      <c r="F522" t="s">
        <v>26</v>
      </c>
      <c r="G522" t="s">
        <v>27</v>
      </c>
      <c r="H522">
        <v>6</v>
      </c>
      <c r="I522" s="3">
        <v>7876.84</v>
      </c>
      <c r="J522" s="3">
        <f t="shared" si="8"/>
        <v>47261.04</v>
      </c>
    </row>
    <row r="523" spans="1:10" x14ac:dyDescent="0.3">
      <c r="A523" s="9">
        <v>45371</v>
      </c>
      <c r="B523" t="s">
        <v>28</v>
      </c>
      <c r="C523" t="s">
        <v>34</v>
      </c>
      <c r="D523" t="s">
        <v>12</v>
      </c>
      <c r="E523" t="s">
        <v>13</v>
      </c>
      <c r="F523" t="s">
        <v>68</v>
      </c>
      <c r="G523" t="s">
        <v>83</v>
      </c>
      <c r="H523">
        <v>7</v>
      </c>
      <c r="I523" s="3">
        <v>390.27</v>
      </c>
      <c r="J523" s="3">
        <f t="shared" si="8"/>
        <v>2731.89</v>
      </c>
    </row>
    <row r="524" spans="1:10" x14ac:dyDescent="0.3">
      <c r="A524" s="9">
        <v>45346</v>
      </c>
      <c r="B524" t="s">
        <v>16</v>
      </c>
      <c r="C524" t="s">
        <v>61</v>
      </c>
      <c r="D524" t="s">
        <v>37</v>
      </c>
      <c r="E524" t="s">
        <v>25</v>
      </c>
      <c r="F524" t="s">
        <v>14</v>
      </c>
      <c r="G524" t="s">
        <v>31</v>
      </c>
      <c r="H524">
        <v>8</v>
      </c>
      <c r="I524" s="3">
        <v>205.51</v>
      </c>
      <c r="J524" s="3">
        <f t="shared" si="8"/>
        <v>1644.08</v>
      </c>
    </row>
    <row r="525" spans="1:10" x14ac:dyDescent="0.3">
      <c r="A525" s="9">
        <v>45329</v>
      </c>
      <c r="B525" t="s">
        <v>82</v>
      </c>
      <c r="C525" t="s">
        <v>79</v>
      </c>
      <c r="D525" t="s">
        <v>80</v>
      </c>
      <c r="E525" t="s">
        <v>13</v>
      </c>
      <c r="F525" t="s">
        <v>55</v>
      </c>
      <c r="G525" t="s">
        <v>74</v>
      </c>
      <c r="H525">
        <v>12</v>
      </c>
      <c r="I525" s="3">
        <v>212.59</v>
      </c>
      <c r="J525" s="3">
        <f t="shared" si="8"/>
        <v>2551.08</v>
      </c>
    </row>
    <row r="526" spans="1:10" x14ac:dyDescent="0.3">
      <c r="A526" s="9">
        <v>45016</v>
      </c>
      <c r="B526" t="s">
        <v>63</v>
      </c>
      <c r="C526" t="s">
        <v>79</v>
      </c>
      <c r="D526" t="s">
        <v>80</v>
      </c>
      <c r="E526" t="s">
        <v>13</v>
      </c>
      <c r="F526" t="s">
        <v>55</v>
      </c>
      <c r="G526" t="s">
        <v>74</v>
      </c>
      <c r="H526">
        <v>1</v>
      </c>
      <c r="I526" s="3">
        <v>882.94</v>
      </c>
      <c r="J526" s="3">
        <f t="shared" si="8"/>
        <v>882.94</v>
      </c>
    </row>
    <row r="527" spans="1:10" x14ac:dyDescent="0.3">
      <c r="A527" s="9">
        <v>45580</v>
      </c>
      <c r="B527" t="s">
        <v>63</v>
      </c>
      <c r="C527" t="s">
        <v>17</v>
      </c>
      <c r="D527" t="s">
        <v>12</v>
      </c>
      <c r="E527" t="s">
        <v>13</v>
      </c>
      <c r="F527" t="s">
        <v>26</v>
      </c>
      <c r="G527" t="s">
        <v>32</v>
      </c>
      <c r="H527">
        <v>10</v>
      </c>
      <c r="I527" s="3">
        <v>9741.2000000000007</v>
      </c>
      <c r="J527" s="3">
        <f t="shared" si="8"/>
        <v>97412</v>
      </c>
    </row>
    <row r="528" spans="1:10" x14ac:dyDescent="0.3">
      <c r="A528" s="9">
        <v>45409</v>
      </c>
      <c r="B528" t="s">
        <v>85</v>
      </c>
      <c r="C528" t="s">
        <v>61</v>
      </c>
      <c r="D528" t="s">
        <v>37</v>
      </c>
      <c r="E528" t="s">
        <v>25</v>
      </c>
      <c r="F528" t="s">
        <v>68</v>
      </c>
      <c r="G528" t="s">
        <v>69</v>
      </c>
      <c r="H528">
        <v>18</v>
      </c>
      <c r="I528" s="3">
        <v>167.26</v>
      </c>
      <c r="J528" s="3">
        <f t="shared" si="8"/>
        <v>3010.68</v>
      </c>
    </row>
    <row r="529" spans="1:10" x14ac:dyDescent="0.3">
      <c r="A529" s="9">
        <v>45306</v>
      </c>
      <c r="B529" t="s">
        <v>51</v>
      </c>
      <c r="C529" t="s">
        <v>52</v>
      </c>
      <c r="D529" t="s">
        <v>53</v>
      </c>
      <c r="E529" t="s">
        <v>54</v>
      </c>
      <c r="F529" t="s">
        <v>55</v>
      </c>
      <c r="G529" t="s">
        <v>59</v>
      </c>
      <c r="H529">
        <v>2</v>
      </c>
      <c r="I529" s="3">
        <v>1068.8800000000001</v>
      </c>
      <c r="J529" s="3">
        <f t="shared" si="8"/>
        <v>2137.7600000000002</v>
      </c>
    </row>
    <row r="530" spans="1:10" x14ac:dyDescent="0.3">
      <c r="A530" s="9">
        <v>45403</v>
      </c>
      <c r="B530" t="s">
        <v>33</v>
      </c>
      <c r="C530" t="s">
        <v>23</v>
      </c>
      <c r="D530" t="s">
        <v>24</v>
      </c>
      <c r="E530" t="s">
        <v>25</v>
      </c>
      <c r="F530" t="s">
        <v>14</v>
      </c>
      <c r="G530" t="s">
        <v>40</v>
      </c>
      <c r="H530">
        <v>5</v>
      </c>
      <c r="I530" s="3">
        <v>927.46</v>
      </c>
      <c r="J530" s="3">
        <f t="shared" si="8"/>
        <v>4637.3</v>
      </c>
    </row>
    <row r="531" spans="1:10" x14ac:dyDescent="0.3">
      <c r="A531" s="9">
        <v>45610</v>
      </c>
      <c r="B531" t="s">
        <v>10</v>
      </c>
      <c r="C531" t="s">
        <v>17</v>
      </c>
      <c r="D531" t="s">
        <v>12</v>
      </c>
      <c r="E531" t="s">
        <v>13</v>
      </c>
      <c r="F531" t="s">
        <v>14</v>
      </c>
      <c r="G531" t="s">
        <v>47</v>
      </c>
      <c r="H531">
        <v>25</v>
      </c>
      <c r="I531" s="3">
        <v>748.7</v>
      </c>
      <c r="J531" s="3">
        <f t="shared" si="8"/>
        <v>18717.5</v>
      </c>
    </row>
    <row r="532" spans="1:10" x14ac:dyDescent="0.3">
      <c r="A532" s="9">
        <v>45493</v>
      </c>
      <c r="B532" t="s">
        <v>39</v>
      </c>
      <c r="C532" t="s">
        <v>44</v>
      </c>
      <c r="D532" t="s">
        <v>45</v>
      </c>
      <c r="E532" t="s">
        <v>46</v>
      </c>
      <c r="F532" t="s">
        <v>18</v>
      </c>
      <c r="G532" t="s">
        <v>19</v>
      </c>
      <c r="H532">
        <v>18</v>
      </c>
      <c r="I532" s="3">
        <v>1421.08</v>
      </c>
      <c r="J532" s="3">
        <f t="shared" si="8"/>
        <v>25579.439999999999</v>
      </c>
    </row>
    <row r="533" spans="1:10" x14ac:dyDescent="0.3">
      <c r="A533" s="9">
        <v>45413</v>
      </c>
      <c r="B533" t="s">
        <v>82</v>
      </c>
      <c r="C533" t="s">
        <v>23</v>
      </c>
      <c r="D533" t="s">
        <v>24</v>
      </c>
      <c r="E533" t="s">
        <v>25</v>
      </c>
      <c r="F533" t="s">
        <v>26</v>
      </c>
      <c r="G533" t="s">
        <v>50</v>
      </c>
      <c r="H533">
        <v>3</v>
      </c>
      <c r="I533" s="3">
        <v>5645.45</v>
      </c>
      <c r="J533" s="3">
        <f t="shared" si="8"/>
        <v>16936.349999999999</v>
      </c>
    </row>
    <row r="534" spans="1:10" x14ac:dyDescent="0.3">
      <c r="A534" s="9">
        <v>44962</v>
      </c>
      <c r="B534" t="s">
        <v>77</v>
      </c>
      <c r="C534" t="s">
        <v>57</v>
      </c>
      <c r="D534" t="s">
        <v>58</v>
      </c>
      <c r="E534" t="s">
        <v>46</v>
      </c>
      <c r="F534" t="s">
        <v>68</v>
      </c>
      <c r="G534" t="s">
        <v>84</v>
      </c>
      <c r="H534">
        <v>15</v>
      </c>
      <c r="I534" s="3">
        <v>85.69</v>
      </c>
      <c r="J534" s="3">
        <f t="shared" si="8"/>
        <v>1285.3499999999999</v>
      </c>
    </row>
    <row r="535" spans="1:10" x14ac:dyDescent="0.3">
      <c r="A535" s="9">
        <v>45098</v>
      </c>
      <c r="B535" t="s">
        <v>71</v>
      </c>
      <c r="C535" t="s">
        <v>49</v>
      </c>
      <c r="D535" t="s">
        <v>24</v>
      </c>
      <c r="E535" t="s">
        <v>25</v>
      </c>
      <c r="F535" t="s">
        <v>55</v>
      </c>
      <c r="G535" t="s">
        <v>74</v>
      </c>
      <c r="H535">
        <v>14</v>
      </c>
      <c r="I535" s="3">
        <v>458.62</v>
      </c>
      <c r="J535" s="3">
        <f t="shared" si="8"/>
        <v>6420.68</v>
      </c>
    </row>
    <row r="536" spans="1:10" x14ac:dyDescent="0.3">
      <c r="A536" s="9">
        <v>45626</v>
      </c>
      <c r="B536" t="s">
        <v>22</v>
      </c>
      <c r="C536" t="s">
        <v>49</v>
      </c>
      <c r="D536" t="s">
        <v>24</v>
      </c>
      <c r="E536" t="s">
        <v>25</v>
      </c>
      <c r="F536" t="s">
        <v>55</v>
      </c>
      <c r="G536" t="s">
        <v>67</v>
      </c>
      <c r="H536">
        <v>9</v>
      </c>
      <c r="I536" s="3">
        <v>1255.17</v>
      </c>
      <c r="J536" s="3">
        <f t="shared" si="8"/>
        <v>11296.53</v>
      </c>
    </row>
    <row r="537" spans="1:10" x14ac:dyDescent="0.3">
      <c r="A537" s="9">
        <v>44995</v>
      </c>
      <c r="B537" t="s">
        <v>35</v>
      </c>
      <c r="C537" t="s">
        <v>44</v>
      </c>
      <c r="D537" t="s">
        <v>45</v>
      </c>
      <c r="E537" t="s">
        <v>46</v>
      </c>
      <c r="F537" t="s">
        <v>18</v>
      </c>
      <c r="G537" t="s">
        <v>19</v>
      </c>
      <c r="H537">
        <v>18</v>
      </c>
      <c r="I537" s="3">
        <v>753.33</v>
      </c>
      <c r="J537" s="3">
        <f t="shared" si="8"/>
        <v>13559.94</v>
      </c>
    </row>
    <row r="538" spans="1:10" x14ac:dyDescent="0.3">
      <c r="A538" s="9">
        <v>45209</v>
      </c>
      <c r="B538" t="s">
        <v>77</v>
      </c>
      <c r="C538" t="s">
        <v>41</v>
      </c>
      <c r="D538" t="s">
        <v>42</v>
      </c>
      <c r="E538" t="s">
        <v>25</v>
      </c>
      <c r="F538" t="s">
        <v>68</v>
      </c>
      <c r="G538" t="s">
        <v>84</v>
      </c>
      <c r="H538">
        <v>23</v>
      </c>
      <c r="I538" s="3">
        <v>256.76</v>
      </c>
      <c r="J538" s="3">
        <f t="shared" si="8"/>
        <v>5905.48</v>
      </c>
    </row>
    <row r="539" spans="1:10" x14ac:dyDescent="0.3">
      <c r="A539" s="9">
        <v>45462</v>
      </c>
      <c r="B539" t="s">
        <v>22</v>
      </c>
      <c r="C539" t="s">
        <v>72</v>
      </c>
      <c r="D539" t="s">
        <v>58</v>
      </c>
      <c r="E539" t="s">
        <v>46</v>
      </c>
      <c r="F539" t="s">
        <v>26</v>
      </c>
      <c r="G539" t="s">
        <v>32</v>
      </c>
      <c r="H539">
        <v>5</v>
      </c>
      <c r="I539" s="3">
        <v>7449.24</v>
      </c>
      <c r="J539" s="3">
        <f t="shared" si="8"/>
        <v>37246.199999999997</v>
      </c>
    </row>
    <row r="540" spans="1:10" x14ac:dyDescent="0.3">
      <c r="A540" s="9">
        <v>45523</v>
      </c>
      <c r="B540" t="s">
        <v>10</v>
      </c>
      <c r="C540" t="s">
        <v>72</v>
      </c>
      <c r="D540" t="s">
        <v>58</v>
      </c>
      <c r="E540" t="s">
        <v>46</v>
      </c>
      <c r="F540" t="s">
        <v>18</v>
      </c>
      <c r="G540" t="s">
        <v>75</v>
      </c>
      <c r="H540">
        <v>10</v>
      </c>
      <c r="I540" s="3">
        <v>1754.83</v>
      </c>
      <c r="J540" s="3">
        <f t="shared" si="8"/>
        <v>17548.3</v>
      </c>
    </row>
    <row r="541" spans="1:10" x14ac:dyDescent="0.3">
      <c r="A541" s="9">
        <v>45279</v>
      </c>
      <c r="B541" t="s">
        <v>22</v>
      </c>
      <c r="C541" t="s">
        <v>61</v>
      </c>
      <c r="D541" t="s">
        <v>37</v>
      </c>
      <c r="E541" t="s">
        <v>25</v>
      </c>
      <c r="F541" t="s">
        <v>26</v>
      </c>
      <c r="G541" t="s">
        <v>27</v>
      </c>
      <c r="H541">
        <v>16</v>
      </c>
      <c r="I541" s="3">
        <v>7506.24</v>
      </c>
      <c r="J541" s="3">
        <f t="shared" si="8"/>
        <v>120099.84</v>
      </c>
    </row>
    <row r="542" spans="1:10" x14ac:dyDescent="0.3">
      <c r="A542" s="9">
        <v>45411</v>
      </c>
      <c r="B542" t="s">
        <v>39</v>
      </c>
      <c r="C542" t="s">
        <v>78</v>
      </c>
      <c r="D542" t="s">
        <v>58</v>
      </c>
      <c r="E542" t="s">
        <v>46</v>
      </c>
      <c r="F542" t="s">
        <v>14</v>
      </c>
      <c r="G542" t="s">
        <v>47</v>
      </c>
      <c r="H542">
        <v>5</v>
      </c>
      <c r="I542" s="3">
        <v>780.07</v>
      </c>
      <c r="J542" s="3">
        <f t="shared" si="8"/>
        <v>3900.3500000000004</v>
      </c>
    </row>
    <row r="543" spans="1:10" x14ac:dyDescent="0.3">
      <c r="A543" s="9">
        <v>45624</v>
      </c>
      <c r="B543" t="s">
        <v>51</v>
      </c>
      <c r="C543" t="s">
        <v>34</v>
      </c>
      <c r="D543" t="s">
        <v>12</v>
      </c>
      <c r="E543" t="s">
        <v>13</v>
      </c>
      <c r="F543" t="s">
        <v>26</v>
      </c>
      <c r="G543" t="s">
        <v>50</v>
      </c>
      <c r="H543">
        <v>23</v>
      </c>
      <c r="I543" s="3">
        <v>3994.58</v>
      </c>
      <c r="J543" s="3">
        <f t="shared" si="8"/>
        <v>91875.34</v>
      </c>
    </row>
    <row r="544" spans="1:10" x14ac:dyDescent="0.3">
      <c r="A544" s="9">
        <v>45413</v>
      </c>
      <c r="B544" t="s">
        <v>33</v>
      </c>
      <c r="C544" t="s">
        <v>52</v>
      </c>
      <c r="D544" t="s">
        <v>53</v>
      </c>
      <c r="E544" t="s">
        <v>54</v>
      </c>
      <c r="F544" t="s">
        <v>68</v>
      </c>
      <c r="G544" t="s">
        <v>83</v>
      </c>
      <c r="H544">
        <v>10</v>
      </c>
      <c r="I544" s="3">
        <v>138.16</v>
      </c>
      <c r="J544" s="3">
        <f t="shared" si="8"/>
        <v>1381.6</v>
      </c>
    </row>
    <row r="545" spans="1:10" x14ac:dyDescent="0.3">
      <c r="A545" s="9">
        <v>45430</v>
      </c>
      <c r="B545" t="s">
        <v>10</v>
      </c>
      <c r="C545" t="s">
        <v>23</v>
      </c>
      <c r="D545" t="s">
        <v>24</v>
      </c>
      <c r="E545" t="s">
        <v>25</v>
      </c>
      <c r="F545" t="s">
        <v>55</v>
      </c>
      <c r="G545" t="s">
        <v>64</v>
      </c>
      <c r="H545">
        <v>24</v>
      </c>
      <c r="I545" s="3">
        <v>1662.27</v>
      </c>
      <c r="J545" s="3">
        <f t="shared" si="8"/>
        <v>39894.479999999996</v>
      </c>
    </row>
    <row r="546" spans="1:10" x14ac:dyDescent="0.3">
      <c r="A546" s="9">
        <v>45255</v>
      </c>
      <c r="B546" t="s">
        <v>33</v>
      </c>
      <c r="C546" t="s">
        <v>29</v>
      </c>
      <c r="D546" t="s">
        <v>30</v>
      </c>
      <c r="E546" t="s">
        <v>13</v>
      </c>
      <c r="F546" t="s">
        <v>18</v>
      </c>
      <c r="G546" t="s">
        <v>75</v>
      </c>
      <c r="H546">
        <v>7</v>
      </c>
      <c r="I546" s="3">
        <v>967.18</v>
      </c>
      <c r="J546" s="3">
        <f t="shared" si="8"/>
        <v>6770.2599999999993</v>
      </c>
    </row>
    <row r="547" spans="1:10" x14ac:dyDescent="0.3">
      <c r="A547" s="9">
        <v>45343</v>
      </c>
      <c r="B547" t="s">
        <v>85</v>
      </c>
      <c r="C547" t="s">
        <v>52</v>
      </c>
      <c r="D547" t="s">
        <v>53</v>
      </c>
      <c r="E547" t="s">
        <v>54</v>
      </c>
      <c r="F547" t="s">
        <v>68</v>
      </c>
      <c r="G547" t="s">
        <v>70</v>
      </c>
      <c r="H547">
        <v>6</v>
      </c>
      <c r="I547" s="3">
        <v>44.93</v>
      </c>
      <c r="J547" s="3">
        <f t="shared" si="8"/>
        <v>269.58</v>
      </c>
    </row>
    <row r="548" spans="1:10" x14ac:dyDescent="0.3">
      <c r="A548" s="9">
        <v>45653</v>
      </c>
      <c r="B548" t="s">
        <v>77</v>
      </c>
      <c r="C548" t="s">
        <v>44</v>
      </c>
      <c r="D548" t="s">
        <v>45</v>
      </c>
      <c r="E548" t="s">
        <v>46</v>
      </c>
      <c r="F548" t="s">
        <v>55</v>
      </c>
      <c r="G548" t="s">
        <v>67</v>
      </c>
      <c r="H548">
        <v>19</v>
      </c>
      <c r="I548" s="3">
        <v>295.52999999999997</v>
      </c>
      <c r="J548" s="3">
        <f t="shared" si="8"/>
        <v>5615.07</v>
      </c>
    </row>
    <row r="549" spans="1:10" x14ac:dyDescent="0.3">
      <c r="A549" s="9">
        <v>45124</v>
      </c>
      <c r="B549" t="s">
        <v>71</v>
      </c>
      <c r="C549" t="s">
        <v>34</v>
      </c>
      <c r="D549" t="s">
        <v>12</v>
      </c>
      <c r="E549" t="s">
        <v>13</v>
      </c>
      <c r="F549" t="s">
        <v>55</v>
      </c>
      <c r="G549" t="s">
        <v>74</v>
      </c>
      <c r="H549">
        <v>15</v>
      </c>
      <c r="I549" s="3">
        <v>366.85</v>
      </c>
      <c r="J549" s="3">
        <f t="shared" si="8"/>
        <v>5502.75</v>
      </c>
    </row>
    <row r="550" spans="1:10" x14ac:dyDescent="0.3">
      <c r="A550" s="9">
        <v>45296</v>
      </c>
      <c r="B550" t="s">
        <v>71</v>
      </c>
      <c r="C550" t="s">
        <v>61</v>
      </c>
      <c r="D550" t="s">
        <v>37</v>
      </c>
      <c r="E550" t="s">
        <v>25</v>
      </c>
      <c r="F550" t="s">
        <v>14</v>
      </c>
      <c r="G550" t="s">
        <v>47</v>
      </c>
      <c r="H550">
        <v>17</v>
      </c>
      <c r="I550" s="3">
        <v>536.64</v>
      </c>
      <c r="J550" s="3">
        <f t="shared" si="8"/>
        <v>9122.8799999999992</v>
      </c>
    </row>
    <row r="551" spans="1:10" x14ac:dyDescent="0.3">
      <c r="A551" s="9">
        <v>45053</v>
      </c>
      <c r="B551" t="s">
        <v>62</v>
      </c>
      <c r="C551" t="s">
        <v>23</v>
      </c>
      <c r="D551" t="s">
        <v>24</v>
      </c>
      <c r="E551" t="s">
        <v>25</v>
      </c>
      <c r="F551" t="s">
        <v>14</v>
      </c>
      <c r="G551" t="s">
        <v>47</v>
      </c>
      <c r="H551">
        <v>20</v>
      </c>
      <c r="I551" s="3">
        <v>590.71</v>
      </c>
      <c r="J551" s="3">
        <f t="shared" si="8"/>
        <v>11814.2</v>
      </c>
    </row>
    <row r="552" spans="1:10" x14ac:dyDescent="0.3">
      <c r="A552" s="9">
        <v>45412</v>
      </c>
      <c r="B552" t="s">
        <v>82</v>
      </c>
      <c r="C552" t="s">
        <v>52</v>
      </c>
      <c r="D552" t="s">
        <v>53</v>
      </c>
      <c r="E552" t="s">
        <v>54</v>
      </c>
      <c r="F552" t="s">
        <v>14</v>
      </c>
      <c r="G552" t="s">
        <v>15</v>
      </c>
      <c r="H552">
        <v>9</v>
      </c>
      <c r="I552" s="3">
        <v>923.86</v>
      </c>
      <c r="J552" s="3">
        <f t="shared" si="8"/>
        <v>8314.74</v>
      </c>
    </row>
    <row r="553" spans="1:10" x14ac:dyDescent="0.3">
      <c r="A553" s="9">
        <v>45632</v>
      </c>
      <c r="B553" t="s">
        <v>35</v>
      </c>
      <c r="C553" t="s">
        <v>36</v>
      </c>
      <c r="D553" t="s">
        <v>37</v>
      </c>
      <c r="E553" t="s">
        <v>25</v>
      </c>
      <c r="F553" t="s">
        <v>68</v>
      </c>
      <c r="G553" t="s">
        <v>76</v>
      </c>
      <c r="H553">
        <v>2</v>
      </c>
      <c r="I553" s="3">
        <v>81.900000000000006</v>
      </c>
      <c r="J553" s="3">
        <f t="shared" si="8"/>
        <v>163.80000000000001</v>
      </c>
    </row>
    <row r="554" spans="1:10" x14ac:dyDescent="0.3">
      <c r="A554" s="9">
        <v>45512</v>
      </c>
      <c r="B554" t="s">
        <v>71</v>
      </c>
      <c r="C554" t="s">
        <v>23</v>
      </c>
      <c r="D554" t="s">
        <v>24</v>
      </c>
      <c r="E554" t="s">
        <v>25</v>
      </c>
      <c r="F554" t="s">
        <v>55</v>
      </c>
      <c r="G554" t="s">
        <v>56</v>
      </c>
      <c r="H554">
        <v>9</v>
      </c>
      <c r="I554" s="3">
        <v>2350.2399999999998</v>
      </c>
      <c r="J554" s="3">
        <f t="shared" si="8"/>
        <v>21152.159999999996</v>
      </c>
    </row>
    <row r="555" spans="1:10" x14ac:dyDescent="0.3">
      <c r="A555" s="9">
        <v>45452</v>
      </c>
      <c r="B555" t="s">
        <v>62</v>
      </c>
      <c r="C555" t="s">
        <v>11</v>
      </c>
      <c r="D555" t="s">
        <v>12</v>
      </c>
      <c r="E555" t="s">
        <v>13</v>
      </c>
      <c r="F555" t="s">
        <v>26</v>
      </c>
      <c r="G555" t="s">
        <v>32</v>
      </c>
      <c r="H555">
        <v>21</v>
      </c>
      <c r="I555" s="3">
        <v>3318.61</v>
      </c>
      <c r="J555" s="3">
        <f t="shared" si="8"/>
        <v>69690.81</v>
      </c>
    </row>
    <row r="556" spans="1:10" x14ac:dyDescent="0.3">
      <c r="A556" s="9">
        <v>44935</v>
      </c>
      <c r="B556" t="s">
        <v>20</v>
      </c>
      <c r="C556" t="s">
        <v>61</v>
      </c>
      <c r="D556" t="s">
        <v>37</v>
      </c>
      <c r="E556" t="s">
        <v>25</v>
      </c>
      <c r="F556" t="s">
        <v>18</v>
      </c>
      <c r="G556" t="s">
        <v>38</v>
      </c>
      <c r="H556">
        <v>23</v>
      </c>
      <c r="I556" s="3">
        <v>1939</v>
      </c>
      <c r="J556" s="3">
        <f t="shared" si="8"/>
        <v>44597</v>
      </c>
    </row>
    <row r="557" spans="1:10" x14ac:dyDescent="0.3">
      <c r="A557" s="9">
        <v>45585</v>
      </c>
      <c r="B557" t="s">
        <v>33</v>
      </c>
      <c r="C557" t="s">
        <v>29</v>
      </c>
      <c r="D557" t="s">
        <v>30</v>
      </c>
      <c r="E557" t="s">
        <v>13</v>
      </c>
      <c r="F557" t="s">
        <v>26</v>
      </c>
      <c r="G557" t="s">
        <v>50</v>
      </c>
      <c r="H557">
        <v>15</v>
      </c>
      <c r="I557" s="3">
        <v>4145.99</v>
      </c>
      <c r="J557" s="3">
        <f t="shared" si="8"/>
        <v>62189.85</v>
      </c>
    </row>
    <row r="558" spans="1:10" x14ac:dyDescent="0.3">
      <c r="A558" s="9">
        <v>45404</v>
      </c>
      <c r="B558" t="s">
        <v>63</v>
      </c>
      <c r="C558" t="s">
        <v>44</v>
      </c>
      <c r="D558" t="s">
        <v>45</v>
      </c>
      <c r="E558" t="s">
        <v>46</v>
      </c>
      <c r="F558" t="s">
        <v>18</v>
      </c>
      <c r="G558" t="s">
        <v>75</v>
      </c>
      <c r="H558">
        <v>1</v>
      </c>
      <c r="I558" s="3">
        <v>1096.3</v>
      </c>
      <c r="J558" s="3">
        <f t="shared" si="8"/>
        <v>1096.3</v>
      </c>
    </row>
    <row r="559" spans="1:10" x14ac:dyDescent="0.3">
      <c r="A559" s="9">
        <v>45605</v>
      </c>
      <c r="B559" t="s">
        <v>81</v>
      </c>
      <c r="C559" t="s">
        <v>36</v>
      </c>
      <c r="D559" t="s">
        <v>37</v>
      </c>
      <c r="E559" t="s">
        <v>25</v>
      </c>
      <c r="F559" t="s">
        <v>14</v>
      </c>
      <c r="G559" t="s">
        <v>40</v>
      </c>
      <c r="H559">
        <v>16</v>
      </c>
      <c r="I559" s="3">
        <v>170.22</v>
      </c>
      <c r="J559" s="3">
        <f t="shared" si="8"/>
        <v>2723.52</v>
      </c>
    </row>
    <row r="560" spans="1:10" x14ac:dyDescent="0.3">
      <c r="A560" s="9">
        <v>45210</v>
      </c>
      <c r="B560" t="s">
        <v>48</v>
      </c>
      <c r="C560" t="s">
        <v>61</v>
      </c>
      <c r="D560" t="s">
        <v>37</v>
      </c>
      <c r="E560" t="s">
        <v>25</v>
      </c>
      <c r="F560" t="s">
        <v>14</v>
      </c>
      <c r="G560" t="s">
        <v>31</v>
      </c>
      <c r="H560">
        <v>7</v>
      </c>
      <c r="I560" s="3">
        <v>264.92</v>
      </c>
      <c r="J560" s="3">
        <f t="shared" si="8"/>
        <v>1854.44</v>
      </c>
    </row>
    <row r="561" spans="1:10" x14ac:dyDescent="0.3">
      <c r="A561" s="9">
        <v>45173</v>
      </c>
      <c r="B561" t="s">
        <v>39</v>
      </c>
      <c r="C561" t="s">
        <v>44</v>
      </c>
      <c r="D561" t="s">
        <v>45</v>
      </c>
      <c r="E561" t="s">
        <v>46</v>
      </c>
      <c r="F561" t="s">
        <v>14</v>
      </c>
      <c r="G561" t="s">
        <v>15</v>
      </c>
      <c r="H561">
        <v>24</v>
      </c>
      <c r="I561" s="3">
        <v>128</v>
      </c>
      <c r="J561" s="3">
        <f t="shared" si="8"/>
        <v>3072</v>
      </c>
    </row>
    <row r="562" spans="1:10" x14ac:dyDescent="0.3">
      <c r="A562" s="9">
        <v>45436</v>
      </c>
      <c r="B562" t="s">
        <v>63</v>
      </c>
      <c r="C562" t="s">
        <v>61</v>
      </c>
      <c r="D562" t="s">
        <v>37</v>
      </c>
      <c r="E562" t="s">
        <v>25</v>
      </c>
      <c r="F562" t="s">
        <v>26</v>
      </c>
      <c r="G562" t="s">
        <v>50</v>
      </c>
      <c r="H562">
        <v>13</v>
      </c>
      <c r="I562" s="3">
        <v>9235.69</v>
      </c>
      <c r="J562" s="3">
        <f t="shared" si="8"/>
        <v>120063.97</v>
      </c>
    </row>
    <row r="563" spans="1:10" x14ac:dyDescent="0.3">
      <c r="A563" s="9">
        <v>45524</v>
      </c>
      <c r="B563" t="s">
        <v>82</v>
      </c>
      <c r="C563" t="s">
        <v>49</v>
      </c>
      <c r="D563" t="s">
        <v>24</v>
      </c>
      <c r="E563" t="s">
        <v>25</v>
      </c>
      <c r="F563" t="s">
        <v>14</v>
      </c>
      <c r="G563" t="s">
        <v>15</v>
      </c>
      <c r="H563">
        <v>22</v>
      </c>
      <c r="I563" s="3">
        <v>688.1</v>
      </c>
      <c r="J563" s="3">
        <f t="shared" si="8"/>
        <v>15138.2</v>
      </c>
    </row>
    <row r="564" spans="1:10" x14ac:dyDescent="0.3">
      <c r="A564" s="9">
        <v>45414</v>
      </c>
      <c r="B564" t="s">
        <v>81</v>
      </c>
      <c r="C564" t="s">
        <v>36</v>
      </c>
      <c r="D564" t="s">
        <v>37</v>
      </c>
      <c r="E564" t="s">
        <v>25</v>
      </c>
      <c r="F564" t="s">
        <v>55</v>
      </c>
      <c r="G564" t="s">
        <v>67</v>
      </c>
      <c r="H564">
        <v>6</v>
      </c>
      <c r="I564" s="3">
        <v>1169.49</v>
      </c>
      <c r="J564" s="3">
        <f t="shared" si="8"/>
        <v>7016.9400000000005</v>
      </c>
    </row>
    <row r="565" spans="1:10" x14ac:dyDescent="0.3">
      <c r="A565" s="9">
        <v>45409</v>
      </c>
      <c r="B565" t="s">
        <v>51</v>
      </c>
      <c r="C565" t="s">
        <v>61</v>
      </c>
      <c r="D565" t="s">
        <v>37</v>
      </c>
      <c r="E565" t="s">
        <v>25</v>
      </c>
      <c r="F565" t="s">
        <v>18</v>
      </c>
      <c r="G565" t="s">
        <v>21</v>
      </c>
      <c r="H565">
        <v>22</v>
      </c>
      <c r="I565" s="3">
        <v>1814.24</v>
      </c>
      <c r="J565" s="3">
        <f t="shared" si="8"/>
        <v>39913.279999999999</v>
      </c>
    </row>
    <row r="566" spans="1:10" x14ac:dyDescent="0.3">
      <c r="A566" s="9">
        <v>45597</v>
      </c>
      <c r="B566" t="s">
        <v>35</v>
      </c>
      <c r="C566" t="s">
        <v>23</v>
      </c>
      <c r="D566" t="s">
        <v>24</v>
      </c>
      <c r="E566" t="s">
        <v>25</v>
      </c>
      <c r="F566" t="s">
        <v>14</v>
      </c>
      <c r="G566" t="s">
        <v>15</v>
      </c>
      <c r="H566">
        <v>24</v>
      </c>
      <c r="I566" s="3">
        <v>1058.58</v>
      </c>
      <c r="J566" s="3">
        <f t="shared" si="8"/>
        <v>25405.919999999998</v>
      </c>
    </row>
    <row r="567" spans="1:10" x14ac:dyDescent="0.3">
      <c r="A567" s="9">
        <v>45357</v>
      </c>
      <c r="B567" t="s">
        <v>48</v>
      </c>
      <c r="C567" t="s">
        <v>52</v>
      </c>
      <c r="D567" t="s">
        <v>53</v>
      </c>
      <c r="E567" t="s">
        <v>54</v>
      </c>
      <c r="F567" t="s">
        <v>14</v>
      </c>
      <c r="G567" t="s">
        <v>31</v>
      </c>
      <c r="H567">
        <v>15</v>
      </c>
      <c r="I567" s="3">
        <v>1036.3399999999999</v>
      </c>
      <c r="J567" s="3">
        <f t="shared" si="8"/>
        <v>15545.099999999999</v>
      </c>
    </row>
    <row r="568" spans="1:10" x14ac:dyDescent="0.3">
      <c r="A568" s="9">
        <v>45408</v>
      </c>
      <c r="B568" t="s">
        <v>39</v>
      </c>
      <c r="C568" t="s">
        <v>17</v>
      </c>
      <c r="D568" t="s">
        <v>12</v>
      </c>
      <c r="E568" t="s">
        <v>13</v>
      </c>
      <c r="F568" t="s">
        <v>26</v>
      </c>
      <c r="G568" t="s">
        <v>32</v>
      </c>
      <c r="H568">
        <v>17</v>
      </c>
      <c r="I568" s="3">
        <v>2758.07</v>
      </c>
      <c r="J568" s="3">
        <f t="shared" si="8"/>
        <v>46887.19</v>
      </c>
    </row>
    <row r="569" spans="1:10" x14ac:dyDescent="0.3">
      <c r="A569" s="9">
        <v>45624</v>
      </c>
      <c r="B569" t="s">
        <v>51</v>
      </c>
      <c r="C569" t="s">
        <v>36</v>
      </c>
      <c r="D569" t="s">
        <v>37</v>
      </c>
      <c r="E569" t="s">
        <v>25</v>
      </c>
      <c r="F569" t="s">
        <v>26</v>
      </c>
      <c r="G569" t="s">
        <v>32</v>
      </c>
      <c r="H569">
        <v>5</v>
      </c>
      <c r="I569" s="3">
        <v>2942.34</v>
      </c>
      <c r="J569" s="3">
        <f t="shared" si="8"/>
        <v>14711.7</v>
      </c>
    </row>
    <row r="570" spans="1:10" x14ac:dyDescent="0.3">
      <c r="A570" s="9">
        <v>45132</v>
      </c>
      <c r="B570" t="s">
        <v>48</v>
      </c>
      <c r="C570" t="s">
        <v>29</v>
      </c>
      <c r="D570" t="s">
        <v>30</v>
      </c>
      <c r="E570" t="s">
        <v>13</v>
      </c>
      <c r="F570" t="s">
        <v>18</v>
      </c>
      <c r="G570" t="s">
        <v>19</v>
      </c>
      <c r="H570">
        <v>5</v>
      </c>
      <c r="I570" s="3">
        <v>735.31</v>
      </c>
      <c r="J570" s="3">
        <f t="shared" si="8"/>
        <v>3676.5499999999997</v>
      </c>
    </row>
    <row r="571" spans="1:10" x14ac:dyDescent="0.3">
      <c r="A571" s="9">
        <v>45111</v>
      </c>
      <c r="B571" t="s">
        <v>35</v>
      </c>
      <c r="C571" t="s">
        <v>79</v>
      </c>
      <c r="D571" t="s">
        <v>80</v>
      </c>
      <c r="E571" t="s">
        <v>13</v>
      </c>
      <c r="F571" t="s">
        <v>14</v>
      </c>
      <c r="G571" t="s">
        <v>15</v>
      </c>
      <c r="H571">
        <v>11</v>
      </c>
      <c r="I571" s="3">
        <v>797.95</v>
      </c>
      <c r="J571" s="3">
        <f t="shared" si="8"/>
        <v>8777.4500000000007</v>
      </c>
    </row>
    <row r="572" spans="1:10" x14ac:dyDescent="0.3">
      <c r="A572" s="9">
        <v>44931</v>
      </c>
      <c r="B572" t="s">
        <v>43</v>
      </c>
      <c r="C572" t="s">
        <v>61</v>
      </c>
      <c r="D572" t="s">
        <v>37</v>
      </c>
      <c r="E572" t="s">
        <v>25</v>
      </c>
      <c r="F572" t="s">
        <v>55</v>
      </c>
      <c r="G572" t="s">
        <v>56</v>
      </c>
      <c r="H572">
        <v>19</v>
      </c>
      <c r="I572" s="3">
        <v>2722.8</v>
      </c>
      <c r="J572" s="3">
        <f t="shared" si="8"/>
        <v>51733.200000000004</v>
      </c>
    </row>
    <row r="573" spans="1:10" x14ac:dyDescent="0.3">
      <c r="A573" s="9">
        <v>45428</v>
      </c>
      <c r="B573" t="s">
        <v>35</v>
      </c>
      <c r="C573" t="s">
        <v>57</v>
      </c>
      <c r="D573" t="s">
        <v>58</v>
      </c>
      <c r="E573" t="s">
        <v>46</v>
      </c>
      <c r="F573" t="s">
        <v>18</v>
      </c>
      <c r="G573" t="s">
        <v>19</v>
      </c>
      <c r="H573">
        <v>21</v>
      </c>
      <c r="I573" s="3">
        <v>944.41</v>
      </c>
      <c r="J573" s="3">
        <f t="shared" si="8"/>
        <v>19832.61</v>
      </c>
    </row>
    <row r="574" spans="1:10" x14ac:dyDescent="0.3">
      <c r="A574" s="9">
        <v>45366</v>
      </c>
      <c r="B574" t="s">
        <v>85</v>
      </c>
      <c r="C574" t="s">
        <v>44</v>
      </c>
      <c r="D574" t="s">
        <v>45</v>
      </c>
      <c r="E574" t="s">
        <v>46</v>
      </c>
      <c r="F574" t="s">
        <v>68</v>
      </c>
      <c r="G574" t="s">
        <v>73</v>
      </c>
      <c r="H574">
        <v>18</v>
      </c>
      <c r="I574" s="3">
        <v>95.78</v>
      </c>
      <c r="J574" s="3">
        <f t="shared" si="8"/>
        <v>1724.04</v>
      </c>
    </row>
    <row r="575" spans="1:10" x14ac:dyDescent="0.3">
      <c r="A575" s="9">
        <v>45309</v>
      </c>
      <c r="B575" t="s">
        <v>62</v>
      </c>
      <c r="C575" t="s">
        <v>65</v>
      </c>
      <c r="D575" t="s">
        <v>66</v>
      </c>
      <c r="E575" t="s">
        <v>54</v>
      </c>
      <c r="F575" t="s">
        <v>18</v>
      </c>
      <c r="G575" t="s">
        <v>21</v>
      </c>
      <c r="H575">
        <v>1</v>
      </c>
      <c r="I575" s="3">
        <v>1401.98</v>
      </c>
      <c r="J575" s="3">
        <f t="shared" si="8"/>
        <v>1401.98</v>
      </c>
    </row>
    <row r="576" spans="1:10" x14ac:dyDescent="0.3">
      <c r="A576" s="9">
        <v>45568</v>
      </c>
      <c r="B576" t="s">
        <v>20</v>
      </c>
      <c r="C576" t="s">
        <v>23</v>
      </c>
      <c r="D576" t="s">
        <v>24</v>
      </c>
      <c r="E576" t="s">
        <v>25</v>
      </c>
      <c r="F576" t="s">
        <v>14</v>
      </c>
      <c r="G576" t="s">
        <v>31</v>
      </c>
      <c r="H576">
        <v>5</v>
      </c>
      <c r="I576" s="3">
        <v>212.98</v>
      </c>
      <c r="J576" s="3">
        <f t="shared" si="8"/>
        <v>1064.8999999999999</v>
      </c>
    </row>
    <row r="577" spans="1:10" x14ac:dyDescent="0.3">
      <c r="A577" s="9">
        <v>45442</v>
      </c>
      <c r="B577" t="s">
        <v>82</v>
      </c>
      <c r="C577" t="s">
        <v>36</v>
      </c>
      <c r="D577" t="s">
        <v>37</v>
      </c>
      <c r="E577" t="s">
        <v>25</v>
      </c>
      <c r="F577" t="s">
        <v>55</v>
      </c>
      <c r="G577" t="s">
        <v>74</v>
      </c>
      <c r="H577">
        <v>2</v>
      </c>
      <c r="I577" s="3">
        <v>1184.07</v>
      </c>
      <c r="J577" s="3">
        <f t="shared" si="8"/>
        <v>2368.14</v>
      </c>
    </row>
    <row r="578" spans="1:10" x14ac:dyDescent="0.3">
      <c r="A578" s="9">
        <v>45224</v>
      </c>
      <c r="B578" t="s">
        <v>43</v>
      </c>
      <c r="C578" t="s">
        <v>65</v>
      </c>
      <c r="D578" t="s">
        <v>66</v>
      </c>
      <c r="E578" t="s">
        <v>54</v>
      </c>
      <c r="F578" t="s">
        <v>26</v>
      </c>
      <c r="G578" t="s">
        <v>27</v>
      </c>
      <c r="H578">
        <v>5</v>
      </c>
      <c r="I578" s="3">
        <v>5098.6899999999996</v>
      </c>
      <c r="J578" s="3">
        <f t="shared" si="8"/>
        <v>25493.449999999997</v>
      </c>
    </row>
    <row r="579" spans="1:10" x14ac:dyDescent="0.3">
      <c r="A579" s="9">
        <v>45428</v>
      </c>
      <c r="B579" t="s">
        <v>81</v>
      </c>
      <c r="C579" t="s">
        <v>49</v>
      </c>
      <c r="D579" t="s">
        <v>24</v>
      </c>
      <c r="E579" t="s">
        <v>25</v>
      </c>
      <c r="F579" t="s">
        <v>55</v>
      </c>
      <c r="G579" t="s">
        <v>59</v>
      </c>
      <c r="H579">
        <v>1</v>
      </c>
      <c r="I579" s="3">
        <v>953.78</v>
      </c>
      <c r="J579" s="3">
        <f t="shared" ref="J579:J601" si="9">H579*I579</f>
        <v>953.78</v>
      </c>
    </row>
    <row r="580" spans="1:10" x14ac:dyDescent="0.3">
      <c r="A580" s="9">
        <v>45061</v>
      </c>
      <c r="B580" t="s">
        <v>71</v>
      </c>
      <c r="C580" t="s">
        <v>11</v>
      </c>
      <c r="D580" t="s">
        <v>12</v>
      </c>
      <c r="E580" t="s">
        <v>13</v>
      </c>
      <c r="F580" t="s">
        <v>18</v>
      </c>
      <c r="G580" t="s">
        <v>21</v>
      </c>
      <c r="H580">
        <v>4</v>
      </c>
      <c r="I580" s="3">
        <v>828.19</v>
      </c>
      <c r="J580" s="3">
        <f t="shared" si="9"/>
        <v>3312.76</v>
      </c>
    </row>
    <row r="581" spans="1:10" x14ac:dyDescent="0.3">
      <c r="A581" s="9">
        <v>45593</v>
      </c>
      <c r="B581" t="s">
        <v>39</v>
      </c>
      <c r="C581" t="s">
        <v>44</v>
      </c>
      <c r="D581" t="s">
        <v>45</v>
      </c>
      <c r="E581" t="s">
        <v>46</v>
      </c>
      <c r="F581" t="s">
        <v>14</v>
      </c>
      <c r="G581" t="s">
        <v>40</v>
      </c>
      <c r="H581">
        <v>20</v>
      </c>
      <c r="I581" s="3">
        <v>1194.1500000000001</v>
      </c>
      <c r="J581" s="3">
        <f t="shared" si="9"/>
        <v>23883</v>
      </c>
    </row>
    <row r="582" spans="1:10" x14ac:dyDescent="0.3">
      <c r="A582" s="9">
        <v>45604</v>
      </c>
      <c r="B582" t="s">
        <v>10</v>
      </c>
      <c r="C582" t="s">
        <v>11</v>
      </c>
      <c r="D582" t="s">
        <v>12</v>
      </c>
      <c r="E582" t="s">
        <v>13</v>
      </c>
      <c r="F582" t="s">
        <v>68</v>
      </c>
      <c r="G582" t="s">
        <v>69</v>
      </c>
      <c r="H582">
        <v>4</v>
      </c>
      <c r="I582" s="3">
        <v>178.37</v>
      </c>
      <c r="J582" s="3">
        <f t="shared" si="9"/>
        <v>713.48</v>
      </c>
    </row>
    <row r="583" spans="1:10" x14ac:dyDescent="0.3">
      <c r="A583" s="9">
        <v>45316</v>
      </c>
      <c r="B583" t="s">
        <v>10</v>
      </c>
      <c r="C583" t="s">
        <v>61</v>
      </c>
      <c r="D583" t="s">
        <v>37</v>
      </c>
      <c r="E583" t="s">
        <v>25</v>
      </c>
      <c r="F583" t="s">
        <v>26</v>
      </c>
      <c r="G583" t="s">
        <v>27</v>
      </c>
      <c r="H583">
        <v>5</v>
      </c>
      <c r="I583" s="3">
        <v>3657.7</v>
      </c>
      <c r="J583" s="3">
        <f t="shared" si="9"/>
        <v>18288.5</v>
      </c>
    </row>
    <row r="584" spans="1:10" x14ac:dyDescent="0.3">
      <c r="A584" s="9">
        <v>45629</v>
      </c>
      <c r="B584" t="s">
        <v>62</v>
      </c>
      <c r="C584" t="s">
        <v>36</v>
      </c>
      <c r="D584" t="s">
        <v>37</v>
      </c>
      <c r="E584" t="s">
        <v>25</v>
      </c>
      <c r="F584" t="s">
        <v>26</v>
      </c>
      <c r="G584" t="s">
        <v>27</v>
      </c>
      <c r="H584">
        <v>4</v>
      </c>
      <c r="I584" s="3">
        <v>8456.07</v>
      </c>
      <c r="J584" s="3">
        <f t="shared" si="9"/>
        <v>33824.28</v>
      </c>
    </row>
    <row r="585" spans="1:10" x14ac:dyDescent="0.3">
      <c r="A585" s="9">
        <v>45203</v>
      </c>
      <c r="B585" t="s">
        <v>60</v>
      </c>
      <c r="C585" t="s">
        <v>57</v>
      </c>
      <c r="D585" t="s">
        <v>58</v>
      </c>
      <c r="E585" t="s">
        <v>46</v>
      </c>
      <c r="F585" t="s">
        <v>26</v>
      </c>
      <c r="G585" t="s">
        <v>32</v>
      </c>
      <c r="H585">
        <v>17</v>
      </c>
      <c r="I585" s="3">
        <v>9047.0499999999993</v>
      </c>
      <c r="J585" s="3">
        <f t="shared" si="9"/>
        <v>153799.84999999998</v>
      </c>
    </row>
    <row r="586" spans="1:10" x14ac:dyDescent="0.3">
      <c r="A586" s="9">
        <v>45047</v>
      </c>
      <c r="B586" t="s">
        <v>63</v>
      </c>
      <c r="C586" t="s">
        <v>72</v>
      </c>
      <c r="D586" t="s">
        <v>58</v>
      </c>
      <c r="E586" t="s">
        <v>46</v>
      </c>
      <c r="F586" t="s">
        <v>68</v>
      </c>
      <c r="G586" t="s">
        <v>76</v>
      </c>
      <c r="H586">
        <v>7</v>
      </c>
      <c r="I586" s="3">
        <v>251.42</v>
      </c>
      <c r="J586" s="3">
        <f t="shared" si="9"/>
        <v>1759.9399999999998</v>
      </c>
    </row>
    <row r="587" spans="1:10" x14ac:dyDescent="0.3">
      <c r="A587" s="9">
        <v>45196</v>
      </c>
      <c r="B587" t="s">
        <v>77</v>
      </c>
      <c r="C587" t="s">
        <v>49</v>
      </c>
      <c r="D587" t="s">
        <v>24</v>
      </c>
      <c r="E587" t="s">
        <v>25</v>
      </c>
      <c r="F587" t="s">
        <v>14</v>
      </c>
      <c r="G587" t="s">
        <v>47</v>
      </c>
      <c r="H587">
        <v>10</v>
      </c>
      <c r="I587" s="3">
        <v>276.41000000000003</v>
      </c>
      <c r="J587" s="3">
        <f t="shared" si="9"/>
        <v>2764.1000000000004</v>
      </c>
    </row>
    <row r="588" spans="1:10" x14ac:dyDescent="0.3">
      <c r="A588" s="9">
        <v>45488</v>
      </c>
      <c r="B588" t="s">
        <v>85</v>
      </c>
      <c r="C588" t="s">
        <v>49</v>
      </c>
      <c r="D588" t="s">
        <v>24</v>
      </c>
      <c r="E588" t="s">
        <v>25</v>
      </c>
      <c r="F588" t="s">
        <v>26</v>
      </c>
      <c r="G588" t="s">
        <v>50</v>
      </c>
      <c r="H588">
        <v>8</v>
      </c>
      <c r="I588" s="3">
        <v>1528.75</v>
      </c>
      <c r="J588" s="3">
        <f t="shared" si="9"/>
        <v>12230</v>
      </c>
    </row>
    <row r="589" spans="1:10" x14ac:dyDescent="0.3">
      <c r="A589" s="9">
        <v>45614</v>
      </c>
      <c r="B589" t="s">
        <v>35</v>
      </c>
      <c r="C589" t="s">
        <v>72</v>
      </c>
      <c r="D589" t="s">
        <v>58</v>
      </c>
      <c r="E589" t="s">
        <v>46</v>
      </c>
      <c r="F589" t="s">
        <v>18</v>
      </c>
      <c r="G589" t="s">
        <v>19</v>
      </c>
      <c r="H589">
        <v>5</v>
      </c>
      <c r="I589" s="3">
        <v>1906.48</v>
      </c>
      <c r="J589" s="3">
        <f t="shared" si="9"/>
        <v>9532.4</v>
      </c>
    </row>
    <row r="590" spans="1:10" x14ac:dyDescent="0.3">
      <c r="A590" s="9">
        <v>45450</v>
      </c>
      <c r="B590" t="s">
        <v>35</v>
      </c>
      <c r="C590" t="s">
        <v>72</v>
      </c>
      <c r="D590" t="s">
        <v>58</v>
      </c>
      <c r="E590" t="s">
        <v>46</v>
      </c>
      <c r="F590" t="s">
        <v>14</v>
      </c>
      <c r="G590" t="s">
        <v>15</v>
      </c>
      <c r="H590">
        <v>15</v>
      </c>
      <c r="I590" s="3">
        <v>1187.53</v>
      </c>
      <c r="J590" s="3">
        <f t="shared" si="9"/>
        <v>17812.95</v>
      </c>
    </row>
    <row r="591" spans="1:10" x14ac:dyDescent="0.3">
      <c r="A591" s="9">
        <v>45230</v>
      </c>
      <c r="B591" t="s">
        <v>33</v>
      </c>
      <c r="C591" t="s">
        <v>41</v>
      </c>
      <c r="D591" t="s">
        <v>42</v>
      </c>
      <c r="E591" t="s">
        <v>25</v>
      </c>
      <c r="F591" t="s">
        <v>68</v>
      </c>
      <c r="G591" t="s">
        <v>73</v>
      </c>
      <c r="H591">
        <v>6</v>
      </c>
      <c r="I591" s="3">
        <v>352.17</v>
      </c>
      <c r="J591" s="3">
        <f t="shared" si="9"/>
        <v>2113.02</v>
      </c>
    </row>
    <row r="592" spans="1:10" x14ac:dyDescent="0.3">
      <c r="A592" s="9">
        <v>45224</v>
      </c>
      <c r="B592" t="s">
        <v>81</v>
      </c>
      <c r="C592" t="s">
        <v>65</v>
      </c>
      <c r="D592" t="s">
        <v>66</v>
      </c>
      <c r="E592" t="s">
        <v>54</v>
      </c>
      <c r="F592" t="s">
        <v>26</v>
      </c>
      <c r="G592" t="s">
        <v>27</v>
      </c>
      <c r="H592">
        <v>4</v>
      </c>
      <c r="I592" s="3">
        <v>2497.48</v>
      </c>
      <c r="J592" s="3">
        <f t="shared" si="9"/>
        <v>9989.92</v>
      </c>
    </row>
    <row r="593" spans="1:10" x14ac:dyDescent="0.3">
      <c r="A593" s="9">
        <v>44973</v>
      </c>
      <c r="B593" t="s">
        <v>62</v>
      </c>
      <c r="C593" t="s">
        <v>57</v>
      </c>
      <c r="D593" t="s">
        <v>58</v>
      </c>
      <c r="E593" t="s">
        <v>46</v>
      </c>
      <c r="F593" t="s">
        <v>55</v>
      </c>
      <c r="G593" t="s">
        <v>64</v>
      </c>
      <c r="H593">
        <v>12</v>
      </c>
      <c r="I593" s="3">
        <v>3151.94</v>
      </c>
      <c r="J593" s="3">
        <f t="shared" si="9"/>
        <v>37823.279999999999</v>
      </c>
    </row>
    <row r="594" spans="1:10" x14ac:dyDescent="0.3">
      <c r="A594" s="9">
        <v>45563</v>
      </c>
      <c r="B594" t="s">
        <v>33</v>
      </c>
      <c r="C594" t="s">
        <v>17</v>
      </c>
      <c r="D594" t="s">
        <v>12</v>
      </c>
      <c r="E594" t="s">
        <v>13</v>
      </c>
      <c r="F594" t="s">
        <v>14</v>
      </c>
      <c r="G594" t="s">
        <v>31</v>
      </c>
      <c r="H594">
        <v>6</v>
      </c>
      <c r="I594" s="3">
        <v>225.22</v>
      </c>
      <c r="J594" s="3">
        <f t="shared" si="9"/>
        <v>1351.32</v>
      </c>
    </row>
    <row r="595" spans="1:10" x14ac:dyDescent="0.3">
      <c r="A595" s="9">
        <v>45336</v>
      </c>
      <c r="B595" t="s">
        <v>43</v>
      </c>
      <c r="C595" t="s">
        <v>61</v>
      </c>
      <c r="D595" t="s">
        <v>37</v>
      </c>
      <c r="E595" t="s">
        <v>25</v>
      </c>
      <c r="F595" t="s">
        <v>26</v>
      </c>
      <c r="G595" t="s">
        <v>27</v>
      </c>
      <c r="H595">
        <v>16</v>
      </c>
      <c r="I595" s="3">
        <v>9898.94</v>
      </c>
      <c r="J595" s="3">
        <f t="shared" si="9"/>
        <v>158383.04000000001</v>
      </c>
    </row>
    <row r="596" spans="1:10" x14ac:dyDescent="0.3">
      <c r="A596" s="9">
        <v>45591</v>
      </c>
      <c r="B596" t="s">
        <v>28</v>
      </c>
      <c r="C596" t="s">
        <v>72</v>
      </c>
      <c r="D596" t="s">
        <v>58</v>
      </c>
      <c r="E596" t="s">
        <v>46</v>
      </c>
      <c r="F596" t="s">
        <v>55</v>
      </c>
      <c r="G596" t="s">
        <v>74</v>
      </c>
      <c r="H596">
        <v>6</v>
      </c>
      <c r="I596" s="3">
        <v>542.25</v>
      </c>
      <c r="J596" s="3">
        <f t="shared" si="9"/>
        <v>3253.5</v>
      </c>
    </row>
    <row r="597" spans="1:10" x14ac:dyDescent="0.3">
      <c r="A597" s="9">
        <v>45531</v>
      </c>
      <c r="B597" t="s">
        <v>85</v>
      </c>
      <c r="C597" t="s">
        <v>41</v>
      </c>
      <c r="D597" t="s">
        <v>42</v>
      </c>
      <c r="E597" t="s">
        <v>25</v>
      </c>
      <c r="F597" t="s">
        <v>55</v>
      </c>
      <c r="G597" t="s">
        <v>67</v>
      </c>
      <c r="H597">
        <v>13</v>
      </c>
      <c r="I597" s="3">
        <v>2771.24</v>
      </c>
      <c r="J597" s="3">
        <f t="shared" si="9"/>
        <v>36026.119999999995</v>
      </c>
    </row>
    <row r="598" spans="1:10" x14ac:dyDescent="0.3">
      <c r="A598" s="9">
        <v>45553</v>
      </c>
      <c r="B598" t="s">
        <v>62</v>
      </c>
      <c r="C598" t="s">
        <v>57</v>
      </c>
      <c r="D598" t="s">
        <v>58</v>
      </c>
      <c r="E598" t="s">
        <v>46</v>
      </c>
      <c r="F598" t="s">
        <v>26</v>
      </c>
      <c r="G598" t="s">
        <v>50</v>
      </c>
      <c r="H598">
        <v>4</v>
      </c>
      <c r="I598" s="3">
        <v>10819.74</v>
      </c>
      <c r="J598" s="3">
        <f t="shared" si="9"/>
        <v>43278.96</v>
      </c>
    </row>
    <row r="599" spans="1:10" x14ac:dyDescent="0.3">
      <c r="A599" s="9">
        <v>45378</v>
      </c>
      <c r="B599" t="s">
        <v>39</v>
      </c>
      <c r="C599" t="s">
        <v>17</v>
      </c>
      <c r="D599" t="s">
        <v>12</v>
      </c>
      <c r="E599" t="s">
        <v>13</v>
      </c>
      <c r="F599" t="s">
        <v>14</v>
      </c>
      <c r="G599" t="s">
        <v>31</v>
      </c>
      <c r="H599">
        <v>1</v>
      </c>
      <c r="I599" s="3">
        <v>875.02</v>
      </c>
      <c r="J599" s="3">
        <f t="shared" si="9"/>
        <v>875.02</v>
      </c>
    </row>
    <row r="600" spans="1:10" x14ac:dyDescent="0.3">
      <c r="A600" s="9">
        <v>45621</v>
      </c>
      <c r="B600" t="s">
        <v>77</v>
      </c>
      <c r="C600" t="s">
        <v>23</v>
      </c>
      <c r="D600" t="s">
        <v>24</v>
      </c>
      <c r="E600" t="s">
        <v>25</v>
      </c>
      <c r="F600" t="s">
        <v>14</v>
      </c>
      <c r="G600" t="s">
        <v>40</v>
      </c>
      <c r="H600">
        <v>14</v>
      </c>
      <c r="I600" s="3">
        <v>827.88</v>
      </c>
      <c r="J600" s="3">
        <f t="shared" si="9"/>
        <v>11590.32</v>
      </c>
    </row>
    <row r="601" spans="1:10" x14ac:dyDescent="0.3">
      <c r="A601" s="9">
        <v>45181</v>
      </c>
      <c r="B601" t="s">
        <v>85</v>
      </c>
      <c r="C601" t="s">
        <v>52</v>
      </c>
      <c r="D601" t="s">
        <v>53</v>
      </c>
      <c r="E601" t="s">
        <v>54</v>
      </c>
      <c r="F601" t="s">
        <v>26</v>
      </c>
      <c r="G601" t="s">
        <v>32</v>
      </c>
      <c r="H601">
        <v>18</v>
      </c>
      <c r="I601" s="3">
        <v>10866.65</v>
      </c>
      <c r="J601" s="3">
        <f t="shared" si="9"/>
        <v>195599.69999999998</v>
      </c>
    </row>
  </sheetData>
  <autoFilter ref="A1:A6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BC1E-DDA7-4958-9AFA-81D27BFB9569}">
  <dimension ref="A1"/>
  <sheetViews>
    <sheetView tabSelected="1" zoomScale="75" workbookViewId="0">
      <selection activeCell="B25" sqref="B25"/>
    </sheetView>
  </sheetViews>
  <sheetFormatPr defaultRowHeight="14.4" x14ac:dyDescent="0.3"/>
  <cols>
    <col min="1" max="1" width="12.33203125" bestFit="1" customWidth="1"/>
    <col min="2" max="2" width="18.77734375" bestFit="1" customWidth="1"/>
    <col min="3" max="13" width="10.77734375" bestFit="1" customWidth="1"/>
    <col min="14" max="14" width="11.77734375" bestFit="1" customWidth="1"/>
    <col min="15" max="24" width="15.21875" bestFit="1" customWidth="1"/>
    <col min="25" max="25" width="10.77734375" bestFit="1" customWidth="1"/>
    <col min="26" max="411" width="15.21875" bestFit="1" customWidth="1"/>
    <col min="412" max="412" width="10.7773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91F0-BDA3-443B-B1C0-503F80860F23}">
  <dimension ref="A1:T30"/>
  <sheetViews>
    <sheetView zoomScale="39" workbookViewId="0">
      <selection activeCell="S3" sqref="S3:T30"/>
    </sheetView>
  </sheetViews>
  <sheetFormatPr defaultRowHeight="14.4" x14ac:dyDescent="0.3"/>
  <cols>
    <col min="1" max="1" width="21.21875" bestFit="1" customWidth="1"/>
    <col min="2" max="2" width="28.33203125" bestFit="1" customWidth="1"/>
    <col min="4" max="4" width="21.21875" bestFit="1" customWidth="1"/>
    <col min="5" max="5" width="28.33203125" bestFit="1" customWidth="1"/>
    <col min="7" max="7" width="21.21875" bestFit="1" customWidth="1"/>
    <col min="8" max="8" width="28.33203125" bestFit="1" customWidth="1"/>
    <col min="9" max="9" width="17.77734375" customWidth="1"/>
    <col min="10" max="10" width="23.88671875" customWidth="1"/>
    <col min="11" max="11" width="19.6640625" bestFit="1" customWidth="1"/>
    <col min="13" max="13" width="21.21875" bestFit="1" customWidth="1"/>
    <col min="14" max="14" width="28.33203125" bestFit="1" customWidth="1"/>
    <col min="16" max="16" width="13.88671875" bestFit="1" customWidth="1"/>
    <col min="17" max="17" width="25.109375" bestFit="1" customWidth="1"/>
    <col min="19" max="19" width="21.21875" bestFit="1" customWidth="1"/>
    <col min="20" max="20" width="28.33203125" bestFit="1" customWidth="1"/>
    <col min="22" max="22" width="13.88671875" bestFit="1" customWidth="1"/>
    <col min="23" max="23" width="19.21875" bestFit="1" customWidth="1"/>
  </cols>
  <sheetData>
    <row r="1" spans="1:20" x14ac:dyDescent="0.3">
      <c r="G1" s="5" t="s">
        <v>0</v>
      </c>
      <c r="H1" t="s">
        <v>113</v>
      </c>
    </row>
    <row r="3" spans="1:20" x14ac:dyDescent="0.3">
      <c r="A3" s="5" t="s">
        <v>88</v>
      </c>
      <c r="B3" t="s">
        <v>90</v>
      </c>
      <c r="D3" s="5" t="s">
        <v>88</v>
      </c>
      <c r="E3" t="s">
        <v>90</v>
      </c>
      <c r="G3" s="5" t="s">
        <v>88</v>
      </c>
      <c r="H3" t="s">
        <v>90</v>
      </c>
      <c r="J3" s="5" t="s">
        <v>88</v>
      </c>
      <c r="K3" t="s">
        <v>90</v>
      </c>
      <c r="M3" s="5" t="s">
        <v>88</v>
      </c>
      <c r="N3" t="s">
        <v>90</v>
      </c>
      <c r="P3" s="5" t="s">
        <v>88</v>
      </c>
      <c r="Q3" t="s">
        <v>112</v>
      </c>
      <c r="S3" s="5" t="s">
        <v>88</v>
      </c>
      <c r="T3" t="s">
        <v>90</v>
      </c>
    </row>
    <row r="4" spans="1:20" x14ac:dyDescent="0.3">
      <c r="A4" s="6" t="s">
        <v>84</v>
      </c>
      <c r="B4" s="3">
        <v>52305.99</v>
      </c>
      <c r="D4" s="6" t="s">
        <v>65</v>
      </c>
      <c r="E4" s="3">
        <v>31445.119999999999</v>
      </c>
      <c r="G4" s="6" t="s">
        <v>44</v>
      </c>
      <c r="H4" s="3">
        <v>15290.600000000002</v>
      </c>
      <c r="J4" s="6" t="s">
        <v>26</v>
      </c>
      <c r="K4" s="3">
        <v>11707964.889999995</v>
      </c>
      <c r="M4" s="6" t="s">
        <v>25</v>
      </c>
      <c r="N4" s="3">
        <v>5417974.0599999987</v>
      </c>
      <c r="P4" s="6" t="s">
        <v>44</v>
      </c>
      <c r="Q4">
        <v>96087.430000000008</v>
      </c>
      <c r="S4" s="6" t="s">
        <v>98</v>
      </c>
    </row>
    <row r="5" spans="1:20" x14ac:dyDescent="0.3">
      <c r="A5" s="6" t="s">
        <v>76</v>
      </c>
      <c r="B5" s="3">
        <v>41194.509999999995</v>
      </c>
      <c r="D5" s="6" t="s">
        <v>41</v>
      </c>
      <c r="E5" s="3">
        <v>23192.38</v>
      </c>
      <c r="G5" s="6" t="s">
        <v>49</v>
      </c>
      <c r="H5" s="3">
        <v>12785.29</v>
      </c>
      <c r="J5" s="6" t="s">
        <v>55</v>
      </c>
      <c r="K5" s="3">
        <v>2823537.399999999</v>
      </c>
      <c r="M5" s="6" t="s">
        <v>13</v>
      </c>
      <c r="N5" s="3">
        <v>4801892.0299999993</v>
      </c>
      <c r="P5" s="6" t="s">
        <v>49</v>
      </c>
      <c r="Q5">
        <v>70332.12000000001</v>
      </c>
      <c r="S5" s="7" t="s">
        <v>100</v>
      </c>
      <c r="T5">
        <v>578718.83999999985</v>
      </c>
    </row>
    <row r="6" spans="1:20" x14ac:dyDescent="0.3">
      <c r="A6" s="6" t="s">
        <v>73</v>
      </c>
      <c r="B6" s="3">
        <v>36843.719999999994</v>
      </c>
      <c r="D6" s="6" t="s">
        <v>36</v>
      </c>
      <c r="E6" s="3">
        <v>17192.71</v>
      </c>
      <c r="G6" s="6" t="s">
        <v>61</v>
      </c>
      <c r="H6" s="3">
        <v>12121.460000000001</v>
      </c>
      <c r="J6" s="6" t="s">
        <v>18</v>
      </c>
      <c r="K6" s="3">
        <v>1731378.5199999998</v>
      </c>
      <c r="M6" s="6" t="s">
        <v>46</v>
      </c>
      <c r="N6" s="3">
        <v>4356466.42</v>
      </c>
      <c r="P6" s="6" t="s">
        <v>61</v>
      </c>
      <c r="Q6">
        <v>105397.35</v>
      </c>
      <c r="S6" s="7" t="s">
        <v>101</v>
      </c>
      <c r="T6">
        <v>429205.30000000005</v>
      </c>
    </row>
    <row r="7" spans="1:20" x14ac:dyDescent="0.3">
      <c r="A7" s="6" t="s">
        <v>69</v>
      </c>
      <c r="B7" s="3">
        <v>33715</v>
      </c>
      <c r="D7" s="6" t="s">
        <v>44</v>
      </c>
      <c r="E7" s="3">
        <v>15290.600000000002</v>
      </c>
      <c r="G7" s="6" t="s">
        <v>36</v>
      </c>
      <c r="H7" s="3">
        <v>17192.71</v>
      </c>
      <c r="J7" s="6" t="s">
        <v>14</v>
      </c>
      <c r="K7" s="3">
        <v>999878.79999999981</v>
      </c>
      <c r="M7" s="6" t="s">
        <v>54</v>
      </c>
      <c r="N7" s="3">
        <v>2897947.6999999993</v>
      </c>
      <c r="P7" s="6" t="s">
        <v>36</v>
      </c>
      <c r="Q7">
        <v>64270.66</v>
      </c>
      <c r="S7" s="7" t="s">
        <v>102</v>
      </c>
      <c r="T7">
        <v>874176.32999999984</v>
      </c>
    </row>
    <row r="8" spans="1:20" x14ac:dyDescent="0.3">
      <c r="A8" s="6" t="s">
        <v>83</v>
      </c>
      <c r="B8" s="3">
        <v>18765.75</v>
      </c>
      <c r="D8" s="6" t="s">
        <v>78</v>
      </c>
      <c r="E8" s="3">
        <v>15278.470000000001</v>
      </c>
      <c r="G8" s="6" t="s">
        <v>11</v>
      </c>
      <c r="H8" s="3">
        <v>3315.73</v>
      </c>
      <c r="J8" s="6" t="s">
        <v>68</v>
      </c>
      <c r="K8" s="3">
        <v>211520.60000000006</v>
      </c>
      <c r="M8" s="6" t="s">
        <v>89</v>
      </c>
      <c r="N8" s="3">
        <v>17474280.209999997</v>
      </c>
      <c r="P8" s="6" t="s">
        <v>11</v>
      </c>
      <c r="Q8">
        <v>63864.21</v>
      </c>
      <c r="S8" s="7" t="s">
        <v>103</v>
      </c>
      <c r="T8">
        <v>595133.11</v>
      </c>
    </row>
    <row r="9" spans="1:20" x14ac:dyDescent="0.3">
      <c r="A9" s="6" t="s">
        <v>86</v>
      </c>
      <c r="B9" s="3">
        <v>18435.53</v>
      </c>
      <c r="D9" s="6" t="s">
        <v>29</v>
      </c>
      <c r="E9" s="3">
        <v>15088.18</v>
      </c>
      <c r="G9" s="6" t="s">
        <v>41</v>
      </c>
      <c r="H9" s="3">
        <v>23192.38</v>
      </c>
      <c r="J9" s="6" t="s">
        <v>89</v>
      </c>
      <c r="K9" s="3">
        <v>17474280.209999993</v>
      </c>
      <c r="P9" s="6" t="s">
        <v>41</v>
      </c>
      <c r="Q9">
        <v>78252.740000000005</v>
      </c>
      <c r="S9" s="7" t="s">
        <v>104</v>
      </c>
      <c r="T9">
        <v>951195.91000000015</v>
      </c>
    </row>
    <row r="10" spans="1:20" x14ac:dyDescent="0.3">
      <c r="A10" s="6" t="s">
        <v>70</v>
      </c>
      <c r="B10" s="3">
        <v>10260.1</v>
      </c>
      <c r="D10" s="6" t="s">
        <v>34</v>
      </c>
      <c r="E10" s="3">
        <v>14110</v>
      </c>
      <c r="G10" s="6" t="s">
        <v>29</v>
      </c>
      <c r="H10" s="3">
        <v>15088.18</v>
      </c>
      <c r="P10" s="6" t="s">
        <v>29</v>
      </c>
      <c r="Q10">
        <v>103639.88</v>
      </c>
      <c r="S10" s="7" t="s">
        <v>105</v>
      </c>
      <c r="T10">
        <v>541050.13000000012</v>
      </c>
    </row>
    <row r="11" spans="1:20" x14ac:dyDescent="0.3">
      <c r="A11" s="6" t="s">
        <v>89</v>
      </c>
      <c r="B11" s="3">
        <v>211520.59999999998</v>
      </c>
      <c r="D11" s="6" t="s">
        <v>49</v>
      </c>
      <c r="E11" s="3">
        <v>12785.29</v>
      </c>
      <c r="G11" s="6" t="s">
        <v>34</v>
      </c>
      <c r="H11" s="3">
        <v>14110</v>
      </c>
      <c r="M11" s="5" t="s">
        <v>0</v>
      </c>
      <c r="N11" t="s">
        <v>113</v>
      </c>
      <c r="P11" s="6" t="s">
        <v>34</v>
      </c>
      <c r="Q11">
        <v>95585.32</v>
      </c>
      <c r="S11" s="7" t="s">
        <v>106</v>
      </c>
      <c r="T11">
        <v>578049.23</v>
      </c>
    </row>
    <row r="12" spans="1:20" x14ac:dyDescent="0.3">
      <c r="D12" s="6" t="s">
        <v>72</v>
      </c>
      <c r="E12" s="3">
        <v>12311.309999999998</v>
      </c>
      <c r="G12" s="6" t="s">
        <v>65</v>
      </c>
      <c r="H12" s="3">
        <v>31445.119999999999</v>
      </c>
      <c r="P12" s="6" t="s">
        <v>65</v>
      </c>
      <c r="Q12">
        <v>140844.03000000003</v>
      </c>
      <c r="S12" s="7" t="s">
        <v>107</v>
      </c>
      <c r="T12">
        <v>481528.92</v>
      </c>
    </row>
    <row r="13" spans="1:20" x14ac:dyDescent="0.3">
      <c r="D13" s="6" t="s">
        <v>61</v>
      </c>
      <c r="E13" s="3">
        <v>12121.460000000001</v>
      </c>
      <c r="G13" s="6" t="s">
        <v>79</v>
      </c>
      <c r="H13" s="3">
        <v>3655.0499999999997</v>
      </c>
      <c r="M13" s="5" t="s">
        <v>88</v>
      </c>
      <c r="N13" t="s">
        <v>90</v>
      </c>
      <c r="P13" s="6" t="s">
        <v>79</v>
      </c>
      <c r="Q13">
        <v>73209.98</v>
      </c>
      <c r="S13" s="7" t="s">
        <v>108</v>
      </c>
      <c r="T13">
        <v>1233461.51</v>
      </c>
    </row>
    <row r="14" spans="1:20" x14ac:dyDescent="0.3">
      <c r="D14" s="6" t="s">
        <v>23</v>
      </c>
      <c r="E14" s="3">
        <v>10876.37</v>
      </c>
      <c r="G14" s="6" t="s">
        <v>72</v>
      </c>
      <c r="H14" s="3">
        <v>12311.309999999998</v>
      </c>
      <c r="M14" s="6" t="s">
        <v>68</v>
      </c>
      <c r="N14" s="3">
        <v>211520.60000000009</v>
      </c>
      <c r="P14" s="6" t="s">
        <v>72</v>
      </c>
      <c r="Q14">
        <v>80874.970000000016</v>
      </c>
      <c r="S14" s="7" t="s">
        <v>109</v>
      </c>
      <c r="T14">
        <v>749515.34999999986</v>
      </c>
    </row>
    <row r="15" spans="1:20" x14ac:dyDescent="0.3">
      <c r="D15" s="6" t="s">
        <v>57</v>
      </c>
      <c r="E15" s="3">
        <v>9844.5600000000013</v>
      </c>
      <c r="G15" s="6" t="s">
        <v>23</v>
      </c>
      <c r="H15" s="3">
        <v>10876.37</v>
      </c>
      <c r="M15" s="6" t="s">
        <v>89</v>
      </c>
      <c r="N15" s="3">
        <v>211520.60000000009</v>
      </c>
      <c r="P15" s="6" t="s">
        <v>23</v>
      </c>
      <c r="Q15">
        <v>80911.180000000022</v>
      </c>
      <c r="S15" s="7" t="s">
        <v>110</v>
      </c>
      <c r="T15">
        <v>365130.88000000006</v>
      </c>
    </row>
    <row r="16" spans="1:20" x14ac:dyDescent="0.3">
      <c r="D16" s="6" t="s">
        <v>17</v>
      </c>
      <c r="E16" s="3">
        <v>8059.82</v>
      </c>
      <c r="G16" s="6" t="s">
        <v>78</v>
      </c>
      <c r="H16" s="3">
        <v>15278.470000000001</v>
      </c>
      <c r="P16" s="6" t="s">
        <v>78</v>
      </c>
      <c r="Q16">
        <v>57707.56</v>
      </c>
      <c r="S16" s="7" t="s">
        <v>111</v>
      </c>
      <c r="T16">
        <v>748989.85000000009</v>
      </c>
    </row>
    <row r="17" spans="4:20" x14ac:dyDescent="0.3">
      <c r="D17" s="6" t="s">
        <v>52</v>
      </c>
      <c r="E17" s="3">
        <v>6953.5499999999993</v>
      </c>
      <c r="G17" s="6" t="s">
        <v>17</v>
      </c>
      <c r="H17" s="3">
        <v>8059.82</v>
      </c>
      <c r="P17" s="6" t="s">
        <v>17</v>
      </c>
      <c r="Q17">
        <v>102451.51999999999</v>
      </c>
      <c r="S17" s="6" t="s">
        <v>99</v>
      </c>
    </row>
    <row r="18" spans="4:20" x14ac:dyDescent="0.3">
      <c r="D18" s="6" t="s">
        <v>79</v>
      </c>
      <c r="E18" s="3">
        <v>3655.0499999999997</v>
      </c>
      <c r="G18" s="6" t="s">
        <v>52</v>
      </c>
      <c r="H18" s="3">
        <v>6953.5499999999993</v>
      </c>
      <c r="P18" s="6" t="s">
        <v>52</v>
      </c>
      <c r="Q18">
        <v>81483.999999999971</v>
      </c>
      <c r="S18" s="7" t="s">
        <v>100</v>
      </c>
      <c r="T18">
        <v>633245.85</v>
      </c>
    </row>
    <row r="19" spans="4:20" x14ac:dyDescent="0.3">
      <c r="D19" s="6" t="s">
        <v>11</v>
      </c>
      <c r="E19" s="3">
        <v>3315.73</v>
      </c>
      <c r="G19" s="6" t="s">
        <v>57</v>
      </c>
      <c r="H19" s="3">
        <v>9844.5600000000013</v>
      </c>
      <c r="P19" s="6" t="s">
        <v>57</v>
      </c>
      <c r="Q19">
        <v>107776.28000000001</v>
      </c>
      <c r="S19" s="7" t="s">
        <v>101</v>
      </c>
      <c r="T19">
        <v>758879.15999999992</v>
      </c>
    </row>
    <row r="20" spans="4:20" x14ac:dyDescent="0.3">
      <c r="D20" s="6" t="s">
        <v>89</v>
      </c>
      <c r="E20" s="3">
        <v>211520.59999999998</v>
      </c>
      <c r="G20" s="6" t="s">
        <v>89</v>
      </c>
      <c r="H20" s="3">
        <v>211520.59999999998</v>
      </c>
      <c r="P20" s="6" t="s">
        <v>97</v>
      </c>
      <c r="S20" s="7" t="s">
        <v>102</v>
      </c>
      <c r="T20">
        <v>516182.03</v>
      </c>
    </row>
    <row r="21" spans="4:20" x14ac:dyDescent="0.3">
      <c r="P21" s="6" t="s">
        <v>89</v>
      </c>
      <c r="Q21">
        <v>1402689.2300000002</v>
      </c>
      <c r="S21" s="7" t="s">
        <v>103</v>
      </c>
      <c r="T21">
        <v>990352.4600000002</v>
      </c>
    </row>
    <row r="22" spans="4:20" x14ac:dyDescent="0.3">
      <c r="G22" s="5" t="s">
        <v>0</v>
      </c>
      <c r="H22" t="s">
        <v>113</v>
      </c>
      <c r="S22" s="7" t="s">
        <v>104</v>
      </c>
      <c r="T22">
        <v>986694.29999999981</v>
      </c>
    </row>
    <row r="23" spans="4:20" x14ac:dyDescent="0.3">
      <c r="S23" s="7" t="s">
        <v>105</v>
      </c>
      <c r="T23">
        <v>925038.04</v>
      </c>
    </row>
    <row r="24" spans="4:20" x14ac:dyDescent="0.3">
      <c r="G24" s="5" t="s">
        <v>88</v>
      </c>
      <c r="H24" t="s">
        <v>90</v>
      </c>
      <c r="S24" s="7" t="s">
        <v>106</v>
      </c>
      <c r="T24">
        <v>623367.19999999995</v>
      </c>
    </row>
    <row r="25" spans="4:20" x14ac:dyDescent="0.3">
      <c r="G25" s="6" t="s">
        <v>54</v>
      </c>
      <c r="H25" s="3">
        <v>38398.67</v>
      </c>
      <c r="S25" s="7" t="s">
        <v>107</v>
      </c>
      <c r="T25">
        <v>840881.64000000025</v>
      </c>
    </row>
    <row r="26" spans="4:20" x14ac:dyDescent="0.3">
      <c r="G26" s="6" t="s">
        <v>13</v>
      </c>
      <c r="H26" s="3">
        <v>44228.779999999992</v>
      </c>
      <c r="S26" s="7" t="s">
        <v>108</v>
      </c>
      <c r="T26">
        <v>734037.72999999986</v>
      </c>
    </row>
    <row r="27" spans="4:20" x14ac:dyDescent="0.3">
      <c r="G27" s="6" t="s">
        <v>25</v>
      </c>
      <c r="H27" s="3">
        <v>76168.209999999992</v>
      </c>
      <c r="S27" s="7" t="s">
        <v>109</v>
      </c>
      <c r="T27">
        <v>604323.51</v>
      </c>
    </row>
    <row r="28" spans="4:20" x14ac:dyDescent="0.3">
      <c r="G28" s="6" t="s">
        <v>46</v>
      </c>
      <c r="H28" s="3">
        <v>52724.94</v>
      </c>
      <c r="S28" s="7" t="s">
        <v>110</v>
      </c>
      <c r="T28">
        <v>1073404.07</v>
      </c>
    </row>
    <row r="29" spans="4:20" x14ac:dyDescent="0.3">
      <c r="G29" s="6" t="s">
        <v>89</v>
      </c>
      <c r="H29" s="3">
        <v>211520.59999999998</v>
      </c>
      <c r="S29" s="7" t="s">
        <v>111</v>
      </c>
      <c r="T29">
        <v>661718.8600000001</v>
      </c>
    </row>
    <row r="30" spans="4:20" x14ac:dyDescent="0.3">
      <c r="S30" s="6" t="s">
        <v>89</v>
      </c>
      <c r="T30">
        <v>17474280.20999999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3731A4-EAB9-4B59-84B1-10EDF8EBC8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kavya papneja</cp:lastModifiedBy>
  <dcterms:created xsi:type="dcterms:W3CDTF">2026-08-13T06:45:45Z</dcterms:created>
  <dcterms:modified xsi:type="dcterms:W3CDTF">2026-09-18T09:08:10Z</dcterms:modified>
</cp:coreProperties>
</file>