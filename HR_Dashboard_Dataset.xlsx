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KAVYA\EXCEL DATA\"/>
    </mc:Choice>
  </mc:AlternateContent>
  <xr:revisionPtr revIDLastSave="0" documentId="13_ncr:1_{A48C3E72-EA15-420E-886D-E67FB8AE985D}" xr6:coauthVersionLast="47" xr6:coauthVersionMax="47" xr10:uidLastSave="{00000000-0000-0000-0000-000000000000}"/>
  <bookViews>
    <workbookView xWindow="-108" yWindow="-108" windowWidth="23256" windowHeight="12456" activeTab="2" xr2:uid="{00000000-000D-0000-FFFF-FFFF00000000}"/>
  </bookViews>
  <sheets>
    <sheet name="HR_Data" sheetId="1" r:id="rId1"/>
    <sheet name="Dashboard" sheetId="4" r:id="rId2"/>
    <sheet name="sheet" sheetId="3" r:id="rId3"/>
  </sheets>
  <definedNames>
    <definedName name="NativeTimeline_Hire_Date">#N/A</definedName>
    <definedName name="Slicer_Attrition">#N/A</definedName>
    <definedName name="Slicer_Department">#N/A</definedName>
    <definedName name="Slicer_Gender">#N/A</definedName>
  </definedNames>
  <calcPr calcId="191029"/>
  <pivotCaches>
    <pivotCache cacheId="5" r:id="rId4"/>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7" i="1" l="1"/>
  <c r="R16" i="1"/>
  <c r="R14" i="1"/>
  <c r="R13" i="1"/>
</calcChain>
</file>

<file path=xl/sharedStrings.xml><?xml version="1.0" encoding="utf-8"?>
<sst xmlns="http://schemas.openxmlformats.org/spreadsheetml/2006/main" count="3758" uniqueCount="433">
  <si>
    <t>Employee ID</t>
  </si>
  <si>
    <t>Employee Name</t>
  </si>
  <si>
    <t>Gender</t>
  </si>
  <si>
    <t>Age</t>
  </si>
  <si>
    <t>Department</t>
  </si>
  <si>
    <t>Job Title</t>
  </si>
  <si>
    <t>City</t>
  </si>
  <si>
    <t>Education</t>
  </si>
  <si>
    <t>Hire Date</t>
  </si>
  <si>
    <t>Attrition</t>
  </si>
  <si>
    <t>Exit Date</t>
  </si>
  <si>
    <t>Salary</t>
  </si>
  <si>
    <t>Performance Rating</t>
  </si>
  <si>
    <t>Satisfaction Score</t>
  </si>
  <si>
    <t>Overtime</t>
  </si>
  <si>
    <t>Marital Status</t>
  </si>
  <si>
    <t>Rohan Patel</t>
  </si>
  <si>
    <t>Female</t>
  </si>
  <si>
    <t>Sales</t>
  </si>
  <si>
    <t>Sales Executive</t>
  </si>
  <si>
    <t>Delhi</t>
  </si>
  <si>
    <t>MBA</t>
  </si>
  <si>
    <t>No</t>
  </si>
  <si>
    <t>Yes</t>
  </si>
  <si>
    <t>Married</t>
  </si>
  <si>
    <t>Vihaan Pillai</t>
  </si>
  <si>
    <t>Male</t>
  </si>
  <si>
    <t>HR</t>
  </si>
  <si>
    <t>Recruiter</t>
  </si>
  <si>
    <t>Mumbai</t>
  </si>
  <si>
    <t>Diploma</t>
  </si>
  <si>
    <t>Simran Reddy</t>
  </si>
  <si>
    <t>HR Manager</t>
  </si>
  <si>
    <t>Bachelor's</t>
  </si>
  <si>
    <t>Sanya Malhotra</t>
  </si>
  <si>
    <t>Engineering</t>
  </si>
  <si>
    <t>Senior Engineer</t>
  </si>
  <si>
    <t>Ananya Kapoor</t>
  </si>
  <si>
    <t>IT</t>
  </si>
  <si>
    <t>System Admin</t>
  </si>
  <si>
    <t>Meera Gupta</t>
  </si>
  <si>
    <t>IT Manager</t>
  </si>
  <si>
    <t>Single</t>
  </si>
  <si>
    <t>Karan Joshi</t>
  </si>
  <si>
    <t>Marketing</t>
  </si>
  <si>
    <t>Marketing Manager</t>
  </si>
  <si>
    <t>Master's</t>
  </si>
  <si>
    <t>Karan Mehta</t>
  </si>
  <si>
    <t>Engineering Manager</t>
  </si>
  <si>
    <t>Hyderabad</t>
  </si>
  <si>
    <t>26-08-2023</t>
  </si>
  <si>
    <t>Suresh Pillai</t>
  </si>
  <si>
    <t>Finance</t>
  </si>
  <si>
    <t>Accountant</t>
  </si>
  <si>
    <t>Manish Desai</t>
  </si>
  <si>
    <t>Customer Support</t>
  </si>
  <si>
    <t>Support Team Lead</t>
  </si>
  <si>
    <t>Kolkata</t>
  </si>
  <si>
    <t>Divya Verma</t>
  </si>
  <si>
    <t>Account Manager</t>
  </si>
  <si>
    <t>Bengaluru</t>
  </si>
  <si>
    <t>Neha Singh</t>
  </si>
  <si>
    <t>Ahmedabad</t>
  </si>
  <si>
    <t>Aarav Agarwal</t>
  </si>
  <si>
    <t>Software Engineer</t>
  </si>
  <si>
    <t>25-10-2023</t>
  </si>
  <si>
    <t>Divya Nair</t>
  </si>
  <si>
    <t>Support Executive</t>
  </si>
  <si>
    <t>Pune</t>
  </si>
  <si>
    <t>Anjali Joshi</t>
  </si>
  <si>
    <t>Marketing Associate</t>
  </si>
  <si>
    <t>Ritu Joshi</t>
  </si>
  <si>
    <t>Sneha Gupta</t>
  </si>
  <si>
    <t>Ishita Sharma</t>
  </si>
  <si>
    <t>Suresh Patel</t>
  </si>
  <si>
    <t>Operations</t>
  </si>
  <si>
    <t>Operations Manager</t>
  </si>
  <si>
    <t>Ananya Patel</t>
  </si>
  <si>
    <t>Content Specialist</t>
  </si>
  <si>
    <t>11-03-2024</t>
  </si>
  <si>
    <t>Vihaan Singh</t>
  </si>
  <si>
    <t>Ritu Desai</t>
  </si>
  <si>
    <t>IT Support</t>
  </si>
  <si>
    <t>Manish Patel</t>
  </si>
  <si>
    <t>QA Engineer</t>
  </si>
  <si>
    <t>Rahul Mehta</t>
  </si>
  <si>
    <t>Chennai</t>
  </si>
  <si>
    <t>Rahul Saxena</t>
  </si>
  <si>
    <t>Arjun Patel</t>
  </si>
  <si>
    <t>Operations Executive</t>
  </si>
  <si>
    <t>06-02-2023</t>
  </si>
  <si>
    <t>Meera Chopra</t>
  </si>
  <si>
    <t>Ananya Nair</t>
  </si>
  <si>
    <t>Finance Manager</t>
  </si>
  <si>
    <t>Ishita Agarwal</t>
  </si>
  <si>
    <t>Rohan Nair</t>
  </si>
  <si>
    <t>Kavya Agarwal</t>
  </si>
  <si>
    <t>Vihaan Malhotra</t>
  </si>
  <si>
    <t>Aditi Gupta</t>
  </si>
  <si>
    <t>Sneha Kumar</t>
  </si>
  <si>
    <t>13-05-2024</t>
  </si>
  <si>
    <t>Meera Sharma</t>
  </si>
  <si>
    <t>Ishita Bhatia</t>
  </si>
  <si>
    <t>Kavya Mehta</t>
  </si>
  <si>
    <t>Neha Verma</t>
  </si>
  <si>
    <t>Meera Kumar</t>
  </si>
  <si>
    <t>Sneha Agarwal</t>
  </si>
  <si>
    <t>Pooja Bhatia</t>
  </si>
  <si>
    <t>12-03-2024</t>
  </si>
  <si>
    <t>Rakesh Sharma</t>
  </si>
  <si>
    <t>06-07-2024</t>
  </si>
  <si>
    <t>Vihaan Rao</t>
  </si>
  <si>
    <t>Amit Iyer</t>
  </si>
  <si>
    <t>Ritu Kapoor</t>
  </si>
  <si>
    <t>Sneha Rao</t>
  </si>
  <si>
    <t>Aditi Iyer</t>
  </si>
  <si>
    <t>Meera Mehta</t>
  </si>
  <si>
    <t>Ishita Patel</t>
  </si>
  <si>
    <t>15-03-2024</t>
  </si>
  <si>
    <t>Priya Malhotra</t>
  </si>
  <si>
    <t>Rakesh Rao</t>
  </si>
  <si>
    <t>Riya Chopra</t>
  </si>
  <si>
    <t>Aarav Sharma</t>
  </si>
  <si>
    <t>Aarav Reddy</t>
  </si>
  <si>
    <t>Sales Manager</t>
  </si>
  <si>
    <t>Simran Nair</t>
  </si>
  <si>
    <t>Ishita Rao</t>
  </si>
  <si>
    <t>Aditi Kapoor</t>
  </si>
  <si>
    <t>Nishant Kumar</t>
  </si>
  <si>
    <t>Kavya Kapoor</t>
  </si>
  <si>
    <t>Priya Singh</t>
  </si>
  <si>
    <t>Karan Saxena</t>
  </si>
  <si>
    <t>Riya Patel</t>
  </si>
  <si>
    <t>Ishita Kumar</t>
  </si>
  <si>
    <t>Rahul Reddy</t>
  </si>
  <si>
    <t>14-12-2021</t>
  </si>
  <si>
    <t>Suresh Kapoor</t>
  </si>
  <si>
    <t>28-07-2019</t>
  </si>
  <si>
    <t>Amit Reddy</t>
  </si>
  <si>
    <t>Amit Nair</t>
  </si>
  <si>
    <t>Kabir Sharma</t>
  </si>
  <si>
    <t>Neha Nair</t>
  </si>
  <si>
    <t>Pooja Kapoor</t>
  </si>
  <si>
    <t>Ishita Saxena</t>
  </si>
  <si>
    <t>Rahul Agarwal</t>
  </si>
  <si>
    <t>Divya Singh</t>
  </si>
  <si>
    <t>Kabir Chopra</t>
  </si>
  <si>
    <t>Anjali Chopra</t>
  </si>
  <si>
    <t>06-06-2025</t>
  </si>
  <si>
    <t>Arjun Joshi</t>
  </si>
  <si>
    <t>Amit Pillai</t>
  </si>
  <si>
    <t>Riya Saxena</t>
  </si>
  <si>
    <t>Sanya Saxena</t>
  </si>
  <si>
    <t>Ishita Verma</t>
  </si>
  <si>
    <t>Ritu Singh</t>
  </si>
  <si>
    <t>HR Executive</t>
  </si>
  <si>
    <t>Aarohi Verma</t>
  </si>
  <si>
    <t>Manish Chopra</t>
  </si>
  <si>
    <t>02-11-2021</t>
  </si>
  <si>
    <t>Aarav Mehta</t>
  </si>
  <si>
    <t>Arjun Saxena</t>
  </si>
  <si>
    <t>Kabir Verma</t>
  </si>
  <si>
    <t>Aarav Nair</t>
  </si>
  <si>
    <t>Priya Chopra</t>
  </si>
  <si>
    <t>22-10-2024</t>
  </si>
  <si>
    <t>Sanya Kumar</t>
  </si>
  <si>
    <t>Ananya Singh</t>
  </si>
  <si>
    <t>Sanya Nair</t>
  </si>
  <si>
    <t>Yash Kapoor</t>
  </si>
  <si>
    <t>Rahul Nair</t>
  </si>
  <si>
    <t>Karan Verma</t>
  </si>
  <si>
    <t>Kavya Iyer</t>
  </si>
  <si>
    <t>Kavya Rao</t>
  </si>
  <si>
    <t>08-07-2023</t>
  </si>
  <si>
    <t>Riya Malhotra</t>
  </si>
  <si>
    <t>Neha Sharma</t>
  </si>
  <si>
    <t>10-05-2022</t>
  </si>
  <si>
    <t>Yash Patel</t>
  </si>
  <si>
    <t>Aarav Kumar</t>
  </si>
  <si>
    <t>09-12-2024</t>
  </si>
  <si>
    <t>Karan Patel</t>
  </si>
  <si>
    <t>Priya Gupta</t>
  </si>
  <si>
    <t>Amit Patel</t>
  </si>
  <si>
    <t>Simran Verma</t>
  </si>
  <si>
    <t>Financial Analyst</t>
  </si>
  <si>
    <t>19-09-2024</t>
  </si>
  <si>
    <t>Ritu Sharma</t>
  </si>
  <si>
    <t>Yash Agarwal</t>
  </si>
  <si>
    <t>Simran Singh</t>
  </si>
  <si>
    <t>Kabir Kumar</t>
  </si>
  <si>
    <t>Amit Desai</t>
  </si>
  <si>
    <t>Aarohi Malhotra</t>
  </si>
  <si>
    <t>10-09-2024</t>
  </si>
  <si>
    <t>Neha Mehta</t>
  </si>
  <si>
    <t>08-03-2022</t>
  </si>
  <si>
    <t>Yash Verma</t>
  </si>
  <si>
    <t>Vikram Agarwal</t>
  </si>
  <si>
    <t>03-06-2022</t>
  </si>
  <si>
    <t>Nishant Verma</t>
  </si>
  <si>
    <t>Suresh Verma</t>
  </si>
  <si>
    <t>Vihaan Chopra</t>
  </si>
  <si>
    <t>Rohan Sharma</t>
  </si>
  <si>
    <t>Ritu Mehta</t>
  </si>
  <si>
    <t>Simran Patel</t>
  </si>
  <si>
    <t>Nishant Kapoor</t>
  </si>
  <si>
    <t>27-11-2018</t>
  </si>
  <si>
    <t>Karan Sharma</t>
  </si>
  <si>
    <t>Aarav Saxena</t>
  </si>
  <si>
    <t>Ishita Gupta</t>
  </si>
  <si>
    <t>Ananya Pillai</t>
  </si>
  <si>
    <t>31-10-2023</t>
  </si>
  <si>
    <t>29-11-2024</t>
  </si>
  <si>
    <t>13-05-2019</t>
  </si>
  <si>
    <t>Nishant Malhotra</t>
  </si>
  <si>
    <t>Sanya Singh</t>
  </si>
  <si>
    <t>31-01-2024</t>
  </si>
  <si>
    <t>Kabir Pillai</t>
  </si>
  <si>
    <t>28-12-2024</t>
  </si>
  <si>
    <t>Nishant Agarwal</t>
  </si>
  <si>
    <t>Vihaan Saxena</t>
  </si>
  <si>
    <t>Sanya Reddy</t>
  </si>
  <si>
    <t>Suresh Malhotra</t>
  </si>
  <si>
    <t>12-09-2024</t>
  </si>
  <si>
    <t>Simran Kapoor</t>
  </si>
  <si>
    <t>Suresh Bhatia</t>
  </si>
  <si>
    <t>Kavya Chopra</t>
  </si>
  <si>
    <t>Arjun Bhatia</t>
  </si>
  <si>
    <t>Aarav Rao</t>
  </si>
  <si>
    <t>Priya Kumar</t>
  </si>
  <si>
    <t>Amit Malhotra</t>
  </si>
  <si>
    <t>Yash Nair</t>
  </si>
  <si>
    <t>Amit Sharma</t>
  </si>
  <si>
    <t>Aarav Bhatia</t>
  </si>
  <si>
    <t>Anjali Iyer</t>
  </si>
  <si>
    <t>Rohan Mehta</t>
  </si>
  <si>
    <t>Anjali Patel</t>
  </si>
  <si>
    <t>02-05-2024</t>
  </si>
  <si>
    <t>Simran Iyer</t>
  </si>
  <si>
    <t>20-02-2025</t>
  </si>
  <si>
    <t>Ishita Mehta</t>
  </si>
  <si>
    <t>Rakesh Malhotra</t>
  </si>
  <si>
    <t>Ishita Joshi</t>
  </si>
  <si>
    <t>Arjun Verma</t>
  </si>
  <si>
    <t>Rakesh Agarwal</t>
  </si>
  <si>
    <t>Anjali Kapoor</t>
  </si>
  <si>
    <t>Rahul Verma</t>
  </si>
  <si>
    <t>Vihaan Reddy</t>
  </si>
  <si>
    <t>Rahul Bhatia</t>
  </si>
  <si>
    <t>Suresh Mehta</t>
  </si>
  <si>
    <t>Karan Singh</t>
  </si>
  <si>
    <t>Sneha Pillai</t>
  </si>
  <si>
    <t>Sneha Saxena</t>
  </si>
  <si>
    <t>Kabir Bhatia</t>
  </si>
  <si>
    <t>Aarohi Gupta</t>
  </si>
  <si>
    <t>Neha Gupta</t>
  </si>
  <si>
    <t>Neha Patel</t>
  </si>
  <si>
    <t>Yash Bhatia</t>
  </si>
  <si>
    <t>Rakesh Kumar</t>
  </si>
  <si>
    <t>Rakesh Saxena</t>
  </si>
  <si>
    <t>Sneha Kapoor</t>
  </si>
  <si>
    <t>15-12-2024</t>
  </si>
  <si>
    <t>Anjali Saxena</t>
  </si>
  <si>
    <t>Ishita Kapoor</t>
  </si>
  <si>
    <t>Rakesh Bhatia</t>
  </si>
  <si>
    <t>Suresh Joshi</t>
  </si>
  <si>
    <t>Kavya Nair</t>
  </si>
  <si>
    <t>Kavya Desai</t>
  </si>
  <si>
    <t>Ritu Nair</t>
  </si>
  <si>
    <t>Riya Verma</t>
  </si>
  <si>
    <t>Rohan Kapoor</t>
  </si>
  <si>
    <t>05-11-2020</t>
  </si>
  <si>
    <t>Sanya Desai</t>
  </si>
  <si>
    <t>Amit Joshi</t>
  </si>
  <si>
    <t>Yash Mehta</t>
  </si>
  <si>
    <t>Aarohi Kumar</t>
  </si>
  <si>
    <t>Pooja Saxena</t>
  </si>
  <si>
    <t>Anjali Singh</t>
  </si>
  <si>
    <t>Amit Mehta</t>
  </si>
  <si>
    <t>Manish Kapoor</t>
  </si>
  <si>
    <t>Suresh Kumar</t>
  </si>
  <si>
    <t>Anjali Desai</t>
  </si>
  <si>
    <t>Rohan Desai</t>
  </si>
  <si>
    <t>Riya Nair</t>
  </si>
  <si>
    <t>Neha Kumar</t>
  </si>
  <si>
    <t>Ritu Saxena</t>
  </si>
  <si>
    <t>Rakesh Chopra</t>
  </si>
  <si>
    <t>Sneha Reddy</t>
  </si>
  <si>
    <t>Kavya Gupta</t>
  </si>
  <si>
    <t>Sanya Iyer</t>
  </si>
  <si>
    <t>Sneha Nair</t>
  </si>
  <si>
    <t>13-07-2025</t>
  </si>
  <si>
    <t>Meera Nair</t>
  </si>
  <si>
    <t>Kavya Patel</t>
  </si>
  <si>
    <t>Pooja Verma</t>
  </si>
  <si>
    <t>Rakesh Pillai</t>
  </si>
  <si>
    <t>27-12-2024</t>
  </si>
  <si>
    <t>Riya Bhatia</t>
  </si>
  <si>
    <t>25-05-2025</t>
  </si>
  <si>
    <t>Nishant Nair</t>
  </si>
  <si>
    <t>Aarohi Iyer</t>
  </si>
  <si>
    <t>Sanya Bhatia</t>
  </si>
  <si>
    <t>Divya Mehta</t>
  </si>
  <si>
    <t>26-05-2021</t>
  </si>
  <si>
    <t>Riya Reddy</t>
  </si>
  <si>
    <t>Ishita Singh</t>
  </si>
  <si>
    <t>17-03-2022</t>
  </si>
  <si>
    <t>Yash Singh</t>
  </si>
  <si>
    <t>10-11-2020</t>
  </si>
  <si>
    <t>Anjali Bhatia</t>
  </si>
  <si>
    <t>Vikram Patel</t>
  </si>
  <si>
    <t>Kavya Verma</t>
  </si>
  <si>
    <t>Priya Mehta</t>
  </si>
  <si>
    <t>Pooja Mehta</t>
  </si>
  <si>
    <t>Priya Rao</t>
  </si>
  <si>
    <t>06-12-2023</t>
  </si>
  <si>
    <t>31-01-2021</t>
  </si>
  <si>
    <t>Simran Agarwal</t>
  </si>
  <si>
    <t>Neha Joshi</t>
  </si>
  <si>
    <t>Priya Desai</t>
  </si>
  <si>
    <t>Manish Kumar</t>
  </si>
  <si>
    <t>Riya Gupta</t>
  </si>
  <si>
    <t>Neha Kapoor</t>
  </si>
  <si>
    <t>Yash Rao</t>
  </si>
  <si>
    <t>Manish Malhotra</t>
  </si>
  <si>
    <t>Simran Bhatia</t>
  </si>
  <si>
    <t>Rohan Saxena</t>
  </si>
  <si>
    <t>Aarav Desai</t>
  </si>
  <si>
    <t>Aarav Joshi</t>
  </si>
  <si>
    <t>12-01-2020</t>
  </si>
  <si>
    <t>Kavya Kumar</t>
  </si>
  <si>
    <t>31-01-2022</t>
  </si>
  <si>
    <t>Yash Iyer</t>
  </si>
  <si>
    <t>Aditi Verma</t>
  </si>
  <si>
    <t>Ananya Agarwal</t>
  </si>
  <si>
    <t>23-09-2021</t>
  </si>
  <si>
    <t>Aditi Malhotra</t>
  </si>
  <si>
    <t>Karan Rao</t>
  </si>
  <si>
    <t>Rakesh Patel</t>
  </si>
  <si>
    <t>03-10-2024</t>
  </si>
  <si>
    <t>Ritu Agarwal</t>
  </si>
  <si>
    <t>23-02-2024</t>
  </si>
  <si>
    <t>Vikram Mehta</t>
  </si>
  <si>
    <t>Rakesh Mehta</t>
  </si>
  <si>
    <t>Suresh Iyer</t>
  </si>
  <si>
    <t>Ananya Verma</t>
  </si>
  <si>
    <t>31-03-2019</t>
  </si>
  <si>
    <t>06-06-2024</t>
  </si>
  <si>
    <t>08-10-2024</t>
  </si>
  <si>
    <t>Yash Saxena</t>
  </si>
  <si>
    <t>Karan Bhatia</t>
  </si>
  <si>
    <t>22-11-2023</t>
  </si>
  <si>
    <t>Rahul Sharma</t>
  </si>
  <si>
    <t>Pooja Reddy</t>
  </si>
  <si>
    <t>Riya Sharma</t>
  </si>
  <si>
    <t>Kabir Patel</t>
  </si>
  <si>
    <t>Sneha Chopra</t>
  </si>
  <si>
    <t>08-02-2022</t>
  </si>
  <si>
    <t>Kavya Malhotra</t>
  </si>
  <si>
    <t>Arjun Kumar</t>
  </si>
  <si>
    <t>Rohan Pillai</t>
  </si>
  <si>
    <t>Sneha Desai</t>
  </si>
  <si>
    <t>Nishant Gupta</t>
  </si>
  <si>
    <t>Ritu Gupta</t>
  </si>
  <si>
    <t>Vikram Chopra</t>
  </si>
  <si>
    <t>Aarav Malhotra</t>
  </si>
  <si>
    <t>Rahul Malhotra</t>
  </si>
  <si>
    <t>Aarav Kapoor</t>
  </si>
  <si>
    <t>16-08-2024</t>
  </si>
  <si>
    <t>02-10-2024</t>
  </si>
  <si>
    <t>21-01-2024</t>
  </si>
  <si>
    <t>Rahul Singh</t>
  </si>
  <si>
    <t>Karan Desai</t>
  </si>
  <si>
    <t>Ritu Kumar</t>
  </si>
  <si>
    <t>Manish Reddy</t>
  </si>
  <si>
    <t>Meera Singh</t>
  </si>
  <si>
    <t>Arjun Malhotra</t>
  </si>
  <si>
    <t>Priya Sharma</t>
  </si>
  <si>
    <t>Kavya Pillai</t>
  </si>
  <si>
    <t>Anjali Sharma</t>
  </si>
  <si>
    <t>16-07-2020</t>
  </si>
  <si>
    <t>Simran Chopra</t>
  </si>
  <si>
    <t>Rohan Reddy</t>
  </si>
  <si>
    <t>Simran Desai</t>
  </si>
  <si>
    <t>09-03-2022</t>
  </si>
  <si>
    <t>23-04-2024</t>
  </si>
  <si>
    <t>Priya Nair</t>
  </si>
  <si>
    <t>Karan Kapoor</t>
  </si>
  <si>
    <t>17-03-2024</t>
  </si>
  <si>
    <t>Sneha Malhotra</t>
  </si>
  <si>
    <t>15-04-2024</t>
  </si>
  <si>
    <t>Yash Joshi</t>
  </si>
  <si>
    <t>10-07-2020</t>
  </si>
  <si>
    <t>24-10-2023</t>
  </si>
  <si>
    <t>Ritu Verma</t>
  </si>
  <si>
    <t>Pooja Patel</t>
  </si>
  <si>
    <t>Ishita Iyer</t>
  </si>
  <si>
    <t>Arjun Rao</t>
  </si>
  <si>
    <t>Aarav Singh</t>
  </si>
  <si>
    <t>Anjali Gupta</t>
  </si>
  <si>
    <t>Karan Reddy</t>
  </si>
  <si>
    <t>Vihaan Joshi</t>
  </si>
  <si>
    <t>Sanya Agarwal</t>
  </si>
  <si>
    <t>Vikram Joshi</t>
  </si>
  <si>
    <t>Kavya Joshi</t>
  </si>
  <si>
    <t>Aditi Desai</t>
  </si>
  <si>
    <t>Priya Patel</t>
  </si>
  <si>
    <t>Ananya Mehta</t>
  </si>
  <si>
    <t>23-11-2024</t>
  </si>
  <si>
    <t>Vikram Saxena</t>
  </si>
  <si>
    <t>Ananya Joshi</t>
  </si>
  <si>
    <t>07-05-2025</t>
  </si>
  <si>
    <t>Aarohi Desai</t>
  </si>
  <si>
    <t>Pooja Desai</t>
  </si>
  <si>
    <t>Riya Kapoor</t>
  </si>
  <si>
    <t>Pooja Agarwal</t>
  </si>
  <si>
    <t>Total Employees</t>
  </si>
  <si>
    <t>Active Employees</t>
  </si>
  <si>
    <t>Attrition Rate</t>
  </si>
  <si>
    <t>Average Salary</t>
  </si>
  <si>
    <t>Average Age</t>
  </si>
  <si>
    <t>Average Satisfaction Score</t>
  </si>
  <si>
    <t>Grand Total</t>
  </si>
  <si>
    <t>Count of Employee ID</t>
  </si>
  <si>
    <t>Average of Salary</t>
  </si>
  <si>
    <t>&lt;02-01-2018</t>
  </si>
  <si>
    <t>2018</t>
  </si>
  <si>
    <t>2019</t>
  </si>
  <si>
    <t>2020</t>
  </si>
  <si>
    <t>2021</t>
  </si>
  <si>
    <t>2022</t>
  </si>
  <si>
    <t>2023</t>
  </si>
  <si>
    <t>2024</t>
  </si>
  <si>
    <t>Hire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</si>
</sst>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rial"/>
    </font>
    <font>
      <sz val="11"/>
      <name val="Arial"/>
    </font>
    <font>
      <sz val="14"/>
      <color theme="1"/>
      <name val="Calibri"/>
      <family val="2"/>
      <scheme val="minor"/>
    </font>
  </fonts>
  <fills count="3">
    <fill>
      <patternFill patternType="none"/>
    </fill>
    <fill>
      <patternFill patternType="gray125"/>
    </fill>
    <fill>
      <patternFill patternType="solid">
        <fgColor rgb="FFD9E1F2"/>
        <bgColor rgb="FFD9E1F2"/>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4" fontId="0" fillId="0" borderId="0" xfId="0" applyNumberFormat="1"/>
    <xf numFmtId="14" fontId="0" fillId="0" borderId="0" xfId="0" applyNumberFormat="1"/>
    <xf numFmtId="0" fontId="0" fillId="0" borderId="1" xfId="0" applyBorder="1"/>
    <xf numFmtId="2" fontId="0" fillId="0" borderId="1" xfId="0" applyNumberFormat="1" applyBorder="1"/>
    <xf numFmtId="0" fontId="0" fillId="0" borderId="0" xfId="0" pivotButton="1"/>
    <xf numFmtId="0" fontId="0" fillId="0" borderId="0" xfId="0" applyAlignment="1">
      <alignment horizontal="left"/>
    </xf>
    <xf numFmtId="0" fontId="3" fillId="0" borderId="1" xfId="0" applyFont="1" applyBorder="1"/>
    <xf numFmtId="2" fontId="3" fillId="0" borderId="1" xfId="0" applyNumberFormat="1" applyFont="1" applyBorder="1"/>
    <xf numFmtId="1" fontId="3" fillId="0" borderId="1" xfId="0" applyNumberFormat="1" applyFont="1" applyBorder="1"/>
    <xf numFmtId="0" fontId="1" fillId="2" borderId="2" xfId="0" applyFont="1" applyFill="1" applyBorder="1"/>
    <xf numFmtId="0" fontId="1" fillId="2" borderId="3" xfId="0" applyFont="1" applyFill="1" applyBorder="1"/>
    <xf numFmtId="14" fontId="1" fillId="2" borderId="3" xfId="0" applyNumberFormat="1" applyFont="1" applyFill="1" applyBorder="1"/>
    <xf numFmtId="0" fontId="1" fillId="2" borderId="4" xfId="0" applyFont="1" applyFill="1" applyBorder="1"/>
    <xf numFmtId="0" fontId="2" fillId="0" borderId="5" xfId="0" applyFont="1" applyBorder="1"/>
    <xf numFmtId="14" fontId="0" fillId="0" borderId="1" xfId="0" applyNumberFormat="1" applyBorder="1"/>
    <xf numFmtId="4" fontId="0" fillId="0" borderId="1" xfId="0" applyNumberFormat="1" applyBorder="1"/>
    <xf numFmtId="0" fontId="0" fillId="0" borderId="6" xfId="0" applyBorder="1"/>
    <xf numFmtId="0" fontId="2" fillId="0" borderId="7" xfId="0" applyFont="1" applyBorder="1"/>
    <xf numFmtId="0" fontId="0" fillId="0" borderId="8" xfId="0" applyBorder="1"/>
    <xf numFmtId="14" fontId="0" fillId="0" borderId="8" xfId="0" applyNumberFormat="1" applyBorder="1"/>
    <xf numFmtId="4" fontId="0" fillId="0" borderId="8" xfId="0" applyNumberFormat="1" applyBorder="1"/>
    <xf numFmtId="0" fontId="0" fillId="0" borderId="9" xfId="0" applyBorder="1"/>
  </cellXfs>
  <cellStyles count="1">
    <cellStyle name="Normal" xfId="0" builtinId="0"/>
  </cellStyles>
  <dxfs count="21">
    <dxf>
      <font>
        <color rgb="FF9C0006"/>
      </font>
      <fill>
        <patternFill>
          <bgColor rgb="FFFFC7CE"/>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Arial"/>
        <scheme val="none"/>
      </font>
      <fill>
        <patternFill patternType="solid">
          <fgColor rgb="FFD9E1F2"/>
          <bgColor rgb="FFD9E1F2"/>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[HR_Dashboard_Dataset.xlsx]sheet!PivotTable1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sheet!$C$3</c:f>
              <c:strCache>
                <c:ptCount val="1"/>
                <c:pt idx="0">
                  <c:v>Total</c:v>
                </c:pt>
              </c:strCache>
            </c:strRef>
          </c:tx>
          <c:spPr>
            <a:solidFill>
              <a:schemeClr val="accent1"/>
            </a:solidFill>
            <a:ln>
              <a:noFill/>
            </a:ln>
            <a:effectLst/>
          </c:spPr>
          <c:invertIfNegative val="0"/>
          <c:cat>
            <c:strRef>
              <c:f>sheet!$B$4:$B$12</c:f>
              <c:strCache>
                <c:ptCount val="8"/>
                <c:pt idx="0">
                  <c:v>Customer Support</c:v>
                </c:pt>
                <c:pt idx="1">
                  <c:v>Engineering</c:v>
                </c:pt>
                <c:pt idx="2">
                  <c:v>Finance</c:v>
                </c:pt>
                <c:pt idx="3">
                  <c:v>HR</c:v>
                </c:pt>
                <c:pt idx="4">
                  <c:v>IT</c:v>
                </c:pt>
                <c:pt idx="5">
                  <c:v>Marketing</c:v>
                </c:pt>
                <c:pt idx="6">
                  <c:v>Operations</c:v>
                </c:pt>
                <c:pt idx="7">
                  <c:v>Sales</c:v>
                </c:pt>
              </c:strCache>
            </c:strRef>
          </c:cat>
          <c:val>
            <c:numRef>
              <c:f>sheet!$C$4:$C$12</c:f>
              <c:numCache>
                <c:formatCode>General</c:formatCode>
                <c:ptCount val="8"/>
                <c:pt idx="0">
                  <c:v>54</c:v>
                </c:pt>
                <c:pt idx="1">
                  <c:v>54</c:v>
                </c:pt>
                <c:pt idx="2">
                  <c:v>51</c:v>
                </c:pt>
                <c:pt idx="3">
                  <c:v>44</c:v>
                </c:pt>
                <c:pt idx="4">
                  <c:v>48</c:v>
                </c:pt>
                <c:pt idx="5">
                  <c:v>44</c:v>
                </c:pt>
                <c:pt idx="6">
                  <c:v>56</c:v>
                </c:pt>
                <c:pt idx="7">
                  <c:v>49</c:v>
                </c:pt>
              </c:numCache>
            </c:numRef>
          </c:val>
          <c:extLst>
            <c:ext xmlns:c16="http://schemas.microsoft.com/office/drawing/2014/chart" uri="{C3380CC4-5D6E-409C-BE32-E72D297353CC}">
              <c16:uniqueId val="{00000000-42D8-459E-A939-048B58F283C9}"/>
            </c:ext>
          </c:extLst>
        </c:ser>
        <c:dLbls>
          <c:showLegendKey val="0"/>
          <c:showVal val="0"/>
          <c:showCatName val="0"/>
          <c:showSerName val="0"/>
          <c:showPercent val="0"/>
          <c:showBubbleSize val="0"/>
        </c:dLbls>
        <c:gapWidth val="182"/>
        <c:axId val="1252161199"/>
        <c:axId val="1252161679"/>
      </c:barChart>
      <c:catAx>
        <c:axId val="125216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161679"/>
        <c:crosses val="autoZero"/>
        <c:auto val="1"/>
        <c:lblAlgn val="ctr"/>
        <c:lblOffset val="100"/>
        <c:noMultiLvlLbl val="0"/>
      </c:catAx>
      <c:valAx>
        <c:axId val="1252161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16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[HR_Dashboard_Dataset.xlsx]sheet!PivotTable3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C3-4E14-A438-E54339B3DB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C3-4E14-A438-E54339B3DBE1}"/>
              </c:ext>
            </c:extLst>
          </c:dPt>
          <c:cat>
            <c:strRef>
              <c:f>sheet!$E$10:$E$12</c:f>
              <c:strCache>
                <c:ptCount val="2"/>
                <c:pt idx="0">
                  <c:v>Female</c:v>
                </c:pt>
                <c:pt idx="1">
                  <c:v>Male</c:v>
                </c:pt>
              </c:strCache>
            </c:strRef>
          </c:cat>
          <c:val>
            <c:numRef>
              <c:f>sheet!$F$10:$F$12</c:f>
              <c:numCache>
                <c:formatCode>General</c:formatCode>
                <c:ptCount val="2"/>
                <c:pt idx="0">
                  <c:v>198</c:v>
                </c:pt>
                <c:pt idx="1">
                  <c:v>202</c:v>
                </c:pt>
              </c:numCache>
            </c:numRef>
          </c:val>
          <c:extLst>
            <c:ext xmlns:c16="http://schemas.microsoft.com/office/drawing/2014/chart" uri="{C3380CC4-5D6E-409C-BE32-E72D297353CC}">
              <c16:uniqueId val="{00000004-C1C3-4E14-A438-E54339B3DB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[HR_Dashboard_Dataset.xlsx]sheet!PivotTable2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sheet!$F$3</c:f>
              <c:strCache>
                <c:ptCount val="1"/>
                <c:pt idx="0">
                  <c:v>Total</c:v>
                </c:pt>
              </c:strCache>
            </c:strRef>
          </c:tx>
          <c:spPr>
            <a:solidFill>
              <a:schemeClr val="accent1"/>
            </a:solidFill>
            <a:ln>
              <a:noFill/>
            </a:ln>
            <a:effectLst/>
          </c:spPr>
          <c:invertIfNegative val="0"/>
          <c:cat>
            <c:strRef>
              <c:f>sheet!$E$4:$E$6</c:f>
              <c:strCache>
                <c:ptCount val="2"/>
                <c:pt idx="0">
                  <c:v>No</c:v>
                </c:pt>
                <c:pt idx="1">
                  <c:v>Yes</c:v>
                </c:pt>
              </c:strCache>
            </c:strRef>
          </c:cat>
          <c:val>
            <c:numRef>
              <c:f>sheet!$F$4:$F$6</c:f>
              <c:numCache>
                <c:formatCode>General</c:formatCode>
                <c:ptCount val="2"/>
                <c:pt idx="0">
                  <c:v>336</c:v>
                </c:pt>
                <c:pt idx="1">
                  <c:v>64</c:v>
                </c:pt>
              </c:numCache>
            </c:numRef>
          </c:val>
          <c:extLst>
            <c:ext xmlns:c16="http://schemas.microsoft.com/office/drawing/2014/chart" uri="{C3380CC4-5D6E-409C-BE32-E72D297353CC}">
              <c16:uniqueId val="{00000000-FCDC-4B71-825B-9FB1C9872ABA}"/>
            </c:ext>
          </c:extLst>
        </c:ser>
        <c:dLbls>
          <c:showLegendKey val="0"/>
          <c:showVal val="0"/>
          <c:showCatName val="0"/>
          <c:showSerName val="0"/>
          <c:showPercent val="0"/>
          <c:showBubbleSize val="0"/>
        </c:dLbls>
        <c:gapWidth val="182"/>
        <c:axId val="1526837567"/>
        <c:axId val="1252161199"/>
      </c:barChart>
      <c:catAx>
        <c:axId val="152683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161199"/>
        <c:crosses val="autoZero"/>
        <c:auto val="1"/>
        <c:lblAlgn val="ctr"/>
        <c:lblOffset val="100"/>
        <c:noMultiLvlLbl val="0"/>
      </c:catAx>
      <c:valAx>
        <c:axId val="125216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83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[HR_Dashboard_Dataset.xlsx]sheet!PivotTable11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sheet!$L$3</c:f>
              <c:strCache>
                <c:ptCount val="1"/>
                <c:pt idx="0">
                  <c:v>Total</c:v>
                </c:pt>
              </c:strCache>
            </c:strRef>
          </c:tx>
          <c:spPr>
            <a:ln w="28575" cap="rnd">
              <a:solidFill>
                <a:schemeClr val="accent1"/>
              </a:solidFill>
              <a:round/>
            </a:ln>
            <a:effectLst/>
          </c:spPr>
          <c:marker>
            <c:symbol val="none"/>
          </c:marker>
          <c:cat>
            <c:strRef>
              <c:f>sheet!$K$4:$K$12</c:f>
              <c:strCache>
                <c:ptCount val="8"/>
                <c:pt idx="0">
                  <c:v>&lt;02-01-2018</c:v>
                </c:pt>
                <c:pt idx="1">
                  <c:v>2018</c:v>
                </c:pt>
                <c:pt idx="2">
                  <c:v>2019</c:v>
                </c:pt>
                <c:pt idx="3">
                  <c:v>2020</c:v>
                </c:pt>
                <c:pt idx="4">
                  <c:v>2021</c:v>
                </c:pt>
                <c:pt idx="5">
                  <c:v>2022</c:v>
                </c:pt>
                <c:pt idx="6">
                  <c:v>2023</c:v>
                </c:pt>
                <c:pt idx="7">
                  <c:v>2024</c:v>
                </c:pt>
              </c:strCache>
            </c:strRef>
          </c:cat>
          <c:val>
            <c:numRef>
              <c:f>sheet!$L$4:$L$12</c:f>
              <c:numCache>
                <c:formatCode>General</c:formatCode>
                <c:ptCount val="8"/>
                <c:pt idx="1">
                  <c:v>74</c:v>
                </c:pt>
                <c:pt idx="2">
                  <c:v>68</c:v>
                </c:pt>
                <c:pt idx="3">
                  <c:v>59</c:v>
                </c:pt>
                <c:pt idx="4">
                  <c:v>47</c:v>
                </c:pt>
                <c:pt idx="5">
                  <c:v>56</c:v>
                </c:pt>
                <c:pt idx="6">
                  <c:v>70</c:v>
                </c:pt>
                <c:pt idx="7">
                  <c:v>26</c:v>
                </c:pt>
              </c:numCache>
            </c:numRef>
          </c:val>
          <c:smooth val="0"/>
          <c:extLst>
            <c:ext xmlns:c16="http://schemas.microsoft.com/office/drawing/2014/chart" uri="{C3380CC4-5D6E-409C-BE32-E72D297353CC}">
              <c16:uniqueId val="{00000000-5BE1-4D2D-AF75-483826C37B83}"/>
            </c:ext>
          </c:extLst>
        </c:ser>
        <c:dLbls>
          <c:showLegendKey val="0"/>
          <c:showVal val="0"/>
          <c:showCatName val="0"/>
          <c:showSerName val="0"/>
          <c:showPercent val="0"/>
          <c:showBubbleSize val="0"/>
        </c:dLbls>
        <c:smooth val="0"/>
        <c:axId val="563350943"/>
        <c:axId val="563352863"/>
      </c:lineChart>
      <c:catAx>
        <c:axId val="56335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352863"/>
        <c:crosses val="autoZero"/>
        <c:auto val="1"/>
        <c:lblAlgn val="ctr"/>
        <c:lblOffset val="100"/>
        <c:noMultiLvlLbl val="0"/>
      </c:catAx>
      <c:valAx>
        <c:axId val="56335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35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[HR_Dashboard_Dataset.xlsx]sheet!PivotTable4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sheet!$I$3</c:f>
              <c:strCache>
                <c:ptCount val="1"/>
                <c:pt idx="0">
                  <c:v>Total</c:v>
                </c:pt>
              </c:strCache>
            </c:strRef>
          </c:tx>
          <c:spPr>
            <a:solidFill>
              <a:schemeClr val="accent1"/>
            </a:solidFill>
            <a:ln>
              <a:noFill/>
            </a:ln>
            <a:effectLst/>
          </c:spPr>
          <c:invertIfNegative val="0"/>
          <c:cat>
            <c:strRef>
              <c:f>sheet!$H$4:$H$27</c:f>
              <c:strCache>
                <c:ptCount val="23"/>
                <c:pt idx="0">
                  <c:v>Account Manager</c:v>
                </c:pt>
                <c:pt idx="1">
                  <c:v>Accountant</c:v>
                </c:pt>
                <c:pt idx="2">
                  <c:v>Content Specialist</c:v>
                </c:pt>
                <c:pt idx="3">
                  <c:v>Engineering Manager</c:v>
                </c:pt>
                <c:pt idx="4">
                  <c:v>Finance Manager</c:v>
                </c:pt>
                <c:pt idx="5">
                  <c:v>Financial Analyst</c:v>
                </c:pt>
                <c:pt idx="6">
                  <c:v>HR Executive</c:v>
                </c:pt>
                <c:pt idx="7">
                  <c:v>HR Manager</c:v>
                </c:pt>
                <c:pt idx="8">
                  <c:v>IT Manager</c:v>
                </c:pt>
                <c:pt idx="9">
                  <c:v>IT Support</c:v>
                </c:pt>
                <c:pt idx="10">
                  <c:v>Marketing Associate</c:v>
                </c:pt>
                <c:pt idx="11">
                  <c:v>Marketing Manager</c:v>
                </c:pt>
                <c:pt idx="12">
                  <c:v>Operations Executive</c:v>
                </c:pt>
                <c:pt idx="13">
                  <c:v>Operations Manager</c:v>
                </c:pt>
                <c:pt idx="14">
                  <c:v>QA Engineer</c:v>
                </c:pt>
                <c:pt idx="15">
                  <c:v>Recruiter</c:v>
                </c:pt>
                <c:pt idx="16">
                  <c:v>Sales Executive</c:v>
                </c:pt>
                <c:pt idx="17">
                  <c:v>Sales Manager</c:v>
                </c:pt>
                <c:pt idx="18">
                  <c:v>Senior Engineer</c:v>
                </c:pt>
                <c:pt idx="19">
                  <c:v>Software Engineer</c:v>
                </c:pt>
                <c:pt idx="20">
                  <c:v>Support Executive</c:v>
                </c:pt>
                <c:pt idx="21">
                  <c:v>Support Team Lead</c:v>
                </c:pt>
                <c:pt idx="22">
                  <c:v>System Admin</c:v>
                </c:pt>
              </c:strCache>
            </c:strRef>
          </c:cat>
          <c:val>
            <c:numRef>
              <c:f>sheet!$I$4:$I$27</c:f>
              <c:numCache>
                <c:formatCode>#,##0.00</c:formatCode>
                <c:ptCount val="23"/>
                <c:pt idx="0">
                  <c:v>85690</c:v>
                </c:pt>
                <c:pt idx="1">
                  <c:v>50690.476190476191</c:v>
                </c:pt>
                <c:pt idx="2">
                  <c:v>42843.75</c:v>
                </c:pt>
                <c:pt idx="3">
                  <c:v>121822.22222222222</c:v>
                </c:pt>
                <c:pt idx="4">
                  <c:v>92094.736842105267</c:v>
                </c:pt>
                <c:pt idx="5">
                  <c:v>54381.818181818184</c:v>
                </c:pt>
                <c:pt idx="6">
                  <c:v>39725</c:v>
                </c:pt>
                <c:pt idx="7">
                  <c:v>76353.846153846156</c:v>
                </c:pt>
                <c:pt idx="8">
                  <c:v>85952.941176470587</c:v>
                </c:pt>
                <c:pt idx="9">
                  <c:v>48095</c:v>
                </c:pt>
                <c:pt idx="10">
                  <c:v>42050</c:v>
                </c:pt>
                <c:pt idx="11">
                  <c:v>79921.428571428565</c:v>
                </c:pt>
                <c:pt idx="12">
                  <c:v>40214.285714285717</c:v>
                </c:pt>
                <c:pt idx="13">
                  <c:v>70675</c:v>
                </c:pt>
                <c:pt idx="14">
                  <c:v>64495</c:v>
                </c:pt>
                <c:pt idx="15">
                  <c:v>41786.666666666664</c:v>
                </c:pt>
                <c:pt idx="16">
                  <c:v>47094.73684210526</c:v>
                </c:pt>
                <c:pt idx="17">
                  <c:v>83000</c:v>
                </c:pt>
                <c:pt idx="18">
                  <c:v>97350</c:v>
                </c:pt>
                <c:pt idx="19">
                  <c:v>68342.857142857145</c:v>
                </c:pt>
                <c:pt idx="20">
                  <c:v>33679.411764705881</c:v>
                </c:pt>
                <c:pt idx="21">
                  <c:v>60305</c:v>
                </c:pt>
                <c:pt idx="22">
                  <c:v>52045.454545454544</c:v>
                </c:pt>
              </c:numCache>
            </c:numRef>
          </c:val>
          <c:extLst>
            <c:ext xmlns:c16="http://schemas.microsoft.com/office/drawing/2014/chart" uri="{C3380CC4-5D6E-409C-BE32-E72D297353CC}">
              <c16:uniqueId val="{00000000-D671-44D2-A217-6F9938EF3D1A}"/>
            </c:ext>
          </c:extLst>
        </c:ser>
        <c:dLbls>
          <c:showLegendKey val="0"/>
          <c:showVal val="0"/>
          <c:showCatName val="0"/>
          <c:showSerName val="0"/>
          <c:showPercent val="0"/>
          <c:showBubbleSize val="0"/>
        </c:dLbls>
        <c:gapWidth val="182"/>
        <c:axId val="1583770271"/>
        <c:axId val="1583771231"/>
      </c:barChart>
      <c:catAx>
        <c:axId val="158377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71231"/>
        <c:crosses val="autoZero"/>
        <c:auto val="1"/>
        <c:lblAlgn val="ctr"/>
        <c:lblOffset val="100"/>
        <c:noMultiLvlLbl val="0"/>
      </c:catAx>
      <c:valAx>
        <c:axId val="15837712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7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10885</xdr:colOff>
      <xdr:row>11</xdr:row>
      <xdr:rowOff>30415</xdr:rowOff>
    </xdr:from>
    <xdr:to>
      <xdr:col>4</xdr:col>
      <xdr:colOff>490496</xdr:colOff>
      <xdr:row>23</xdr:row>
      <xdr:rowOff>40277</xdr:rowOff>
    </xdr:to>
    <xdr:graphicFrame macro="">
      <xdr:nvGraphicFramePr>
        <xdr:cNvPr id="2" name="Chart 1">
          <a:extLst>
            <a:ext uri="{FF2B5EF4-FFF2-40B4-BE49-F238E27FC236}">
              <a16:creationId xmlns:a16="http://schemas.microsoft.com/office/drawing/2014/main" id="{10D2A49B-DF08-EA93-F442-F55E4833D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193275</xdr:colOff>
      <xdr:row>9</xdr:row>
      <xdr:rowOff>44333</xdr:rowOff>
    </xdr:from>
    <xdr:to>
      <xdr:col>9</xdr:col>
      <xdr:colOff>533037</xdr:colOff>
      <xdr:row>18</xdr:row>
      <xdr:rowOff>120105</xdr:rowOff>
    </xdr:to>
    <xdr:graphicFrame macro="">
      <xdr:nvGraphicFramePr>
        <xdr:cNvPr id="3" name="Chart 2">
          <a:extLst>
            <a:ext uri="{FF2B5EF4-FFF2-40B4-BE49-F238E27FC236}">
              <a16:creationId xmlns:a16="http://schemas.microsoft.com/office/drawing/2014/main" id="{E4BDBCFE-4E91-01E4-DC0A-AC4B603D9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158932</xdr:colOff>
      <xdr:row>2</xdr:row>
      <xdr:rowOff>4055</xdr:rowOff>
    </xdr:from>
    <xdr:to>
      <xdr:col>20</xdr:col>
      <xdr:colOff>565930</xdr:colOff>
      <xdr:row>14</xdr:row>
      <xdr:rowOff>40277</xdr:rowOff>
    </xdr:to>
    <xdr:graphicFrame macro="">
      <xdr:nvGraphicFramePr>
        <xdr:cNvPr id="4" name="Chart 3">
          <a:extLst>
            <a:ext uri="{FF2B5EF4-FFF2-40B4-BE49-F238E27FC236}">
              <a16:creationId xmlns:a16="http://schemas.microsoft.com/office/drawing/2014/main" id="{FDD4D15A-0C3F-6D28-B872-84FBE9735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359229</xdr:colOff>
      <xdr:row>24</xdr:row>
      <xdr:rowOff>124482</xdr:rowOff>
    </xdr:from>
    <xdr:to>
      <xdr:col>4</xdr:col>
      <xdr:colOff>504009</xdr:colOff>
      <xdr:row>36</xdr:row>
      <xdr:rowOff>95795</xdr:rowOff>
    </xdr:to>
    <xdr:graphicFrame macro="">
      <xdr:nvGraphicFramePr>
        <xdr:cNvPr id="5" name="Chart 4">
          <a:extLst>
            <a:ext uri="{FF2B5EF4-FFF2-40B4-BE49-F238E27FC236}">
              <a16:creationId xmlns:a16="http://schemas.microsoft.com/office/drawing/2014/main" id="{2ED7959C-2BF3-FEB1-771F-C8590A5B9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172890</xdr:colOff>
      <xdr:row>20</xdr:row>
      <xdr:rowOff>35924</xdr:rowOff>
    </xdr:from>
    <xdr:to>
      <xdr:col>10</xdr:col>
      <xdr:colOff>19594</xdr:colOff>
      <xdr:row>33</xdr:row>
      <xdr:rowOff>22924</xdr:rowOff>
    </xdr:to>
    <xdr:graphicFrame macro="">
      <xdr:nvGraphicFramePr>
        <xdr:cNvPr id="6" name="Chart 5">
          <a:extLst>
            <a:ext uri="{FF2B5EF4-FFF2-40B4-BE49-F238E27FC236}">
              <a16:creationId xmlns:a16="http://schemas.microsoft.com/office/drawing/2014/main" id="{E5F4A0F0-A917-5674-EB8D-4FC14B14C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367938</xdr:colOff>
      <xdr:row>15</xdr:row>
      <xdr:rowOff>152400</xdr:rowOff>
    </xdr:from>
    <xdr:to>
      <xdr:col>14</xdr:col>
      <xdr:colOff>367938</xdr:colOff>
      <xdr:row>29</xdr:row>
      <xdr:rowOff>127997</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4A12BB1D-FFD3-F865-48F4-71B720AF3FA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686109" y="3004457"/>
              <a:ext cx="1828800" cy="2566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96157</xdr:colOff>
      <xdr:row>0</xdr:row>
      <xdr:rowOff>170543</xdr:rowOff>
    </xdr:from>
    <xdr:to>
      <xdr:col>10</xdr:col>
      <xdr:colOff>385717</xdr:colOff>
      <xdr:row>8</xdr:row>
      <xdr:rowOff>97246</xdr:rowOff>
    </xdr:to>
    <mc:AlternateContent xmlns:mc="http://schemas.openxmlformats.org/markup-compatibility/2006" xmlns:tsle="http://schemas.microsoft.com/office/drawing/2012/timeslicer">
      <mc:Choice Requires="tsle">
        <xdr:graphicFrame macro="">
          <xdr:nvGraphicFramePr>
            <xdr:cNvPr id="11" name="Hire Date">
              <a:extLst>
                <a:ext uri="{FF2B5EF4-FFF2-40B4-BE49-F238E27FC236}">
                  <a16:creationId xmlns:a16="http://schemas.microsoft.com/office/drawing/2014/main" id="{8EFA83FF-0825-6514-B334-37A950029D52}"/>
                </a:ext>
              </a:extLst>
            </xdr:cNvPr>
            <xdr:cNvGraphicFramePr/>
          </xdr:nvGraphicFramePr>
          <xdr:xfrm>
            <a:off x="0" y="0"/>
            <a:ext cx="0" cy="0"/>
          </xdr:xfrm>
          <a:graphic>
            <a:graphicData uri="http://schemas.microsoft.com/office/drawing/2012/timeslicer">
              <tsle:timeslicer name="Hire Date"/>
            </a:graphicData>
          </a:graphic>
        </xdr:graphicFrame>
      </mc:Choice>
      <mc:Fallback xmlns="">
        <xdr:sp macro="" textlink="">
          <xdr:nvSpPr>
            <xdr:cNvPr id="0" name=""/>
            <xdr:cNvSpPr>
              <a:spLocks noTextEdit="1"/>
            </xdr:cNvSpPr>
          </xdr:nvSpPr>
          <xdr:spPr>
            <a:xfrm>
              <a:off x="5756728" y="170543"/>
              <a:ext cx="3337560" cy="13962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405676</xdr:colOff>
      <xdr:row>17</xdr:row>
      <xdr:rowOff>114300</xdr:rowOff>
    </xdr:from>
    <xdr:to>
      <xdr:col>18</xdr:col>
      <xdr:colOff>405676</xdr:colOff>
      <xdr:row>31</xdr:row>
      <xdr:rowOff>55789</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3D05E60E-A876-B9F7-E52B-74D07F7717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162247" y="3336471"/>
              <a:ext cx="1828800" cy="2532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357778</xdr:colOff>
      <xdr:row>2</xdr:row>
      <xdr:rowOff>72207</xdr:rowOff>
    </xdr:from>
    <xdr:to>
      <xdr:col>14</xdr:col>
      <xdr:colOff>357778</xdr:colOff>
      <xdr:row>15</xdr:row>
      <xdr:rowOff>6439</xdr:rowOff>
    </xdr:to>
    <mc:AlternateContent xmlns:mc="http://schemas.openxmlformats.org/markup-compatibility/2006" xmlns:a14="http://schemas.microsoft.com/office/drawing/2010/main">
      <mc:Choice Requires="a14">
        <xdr:graphicFrame macro="">
          <xdr:nvGraphicFramePr>
            <xdr:cNvPr id="14" name="Attrition">
              <a:extLst>
                <a:ext uri="{FF2B5EF4-FFF2-40B4-BE49-F238E27FC236}">
                  <a16:creationId xmlns:a16="http://schemas.microsoft.com/office/drawing/2014/main" id="{C45CE53C-E3B2-D505-11B0-A7E7F736874F}"/>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9675949" y="442321"/>
              <a:ext cx="1828800" cy="2416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250.546163541665" createdVersion="8" refreshedVersion="8" minRefreshableVersion="3" recordCount="400" xr:uid="{8254DA85-3C24-4585-847B-06E2C28BB7DA}">
  <cacheSource type="worksheet">
    <worksheetSource name="Table1"/>
  </cacheSource>
  <cacheFields count="17">
    <cacheField name="Employee ID" numFmtId="0">
      <sharedItems containsSemiMixedTypes="0" containsString="0" containsNumber="1" containsInteger="1" minValue="1001" maxValue="1400"/>
    </cacheField>
    <cacheField name="Employee Name" numFmtId="0">
      <sharedItems/>
    </cacheField>
    <cacheField name="Gender" numFmtId="0">
      <sharedItems count="2">
        <s v="Female"/>
        <s v="Male"/>
      </sharedItems>
    </cacheField>
    <cacheField name="Age" numFmtId="0">
      <sharedItems containsSemiMixedTypes="0" containsString="0" containsNumber="1" containsInteger="1" minValue="22" maxValue="58"/>
    </cacheField>
    <cacheField name="Department" numFmtId="0">
      <sharedItems count="8">
        <s v="Sales"/>
        <s v="HR"/>
        <s v="Engineering"/>
        <s v="IT"/>
        <s v="Marketing"/>
        <s v="Finance"/>
        <s v="Customer Support"/>
        <s v="Operations"/>
      </sharedItems>
    </cacheField>
    <cacheField name="Job Title" numFmtId="0">
      <sharedItems count="23">
        <s v="Sales Executive"/>
        <s v="Recruiter"/>
        <s v="HR Manager"/>
        <s v="Senior Engineer"/>
        <s v="System Admin"/>
        <s v="IT Manager"/>
        <s v="Marketing Manager"/>
        <s v="Engineering Manager"/>
        <s v="Accountant"/>
        <s v="Support Team Lead"/>
        <s v="Account Manager"/>
        <s v="Software Engineer"/>
        <s v="Support Executive"/>
        <s v="Marketing Associate"/>
        <s v="Operations Manager"/>
        <s v="Content Specialist"/>
        <s v="IT Support"/>
        <s v="QA Engineer"/>
        <s v="Operations Executive"/>
        <s v="Finance Manager"/>
        <s v="Sales Manager"/>
        <s v="HR Executive"/>
        <s v="Financial Analyst"/>
      </sharedItems>
    </cacheField>
    <cacheField name="City" numFmtId="0">
      <sharedItems count="8">
        <s v="Delhi"/>
        <s v="Mumbai"/>
        <s v="Hyderabad"/>
        <s v="Kolkata"/>
        <s v="Bengaluru"/>
        <s v="Ahmedabad"/>
        <s v="Pune"/>
        <s v="Chennai"/>
      </sharedItems>
    </cacheField>
    <cacheField name="Education" numFmtId="0">
      <sharedItems/>
    </cacheField>
    <cacheField name="Hire Date" numFmtId="14">
      <sharedItems containsNonDate="0" containsDate="1" containsMixedTypes="1" minDate="2018-01-02T00:00:00" maxDate="2024-06-26T00:00:00" count="734">
        <d v="2023-09-10T00:00:00"/>
        <d v="2020-06-24T00:00:00"/>
        <d v="2018-09-02T00:00:00"/>
        <d v="2023-07-21T00:00:00"/>
        <d v="2024-06-05T00:00:00"/>
        <d v="2024-06-25T00:00:00"/>
        <d v="2019-06-14T00:00:00"/>
        <d v="2022-04-08T00:00:00"/>
        <d v="2023-12-30T00:00:00"/>
        <d v="2022-06-29T00:00:00"/>
        <d v="2018-04-15T00:00:00"/>
        <d v="2018-12-18T00:00:00"/>
        <d v="2023-10-25T00:00:00"/>
        <d v="2018-04-29T00:00:00"/>
        <d v="2020-03-16T00:00:00"/>
        <d v="2022-11-13T00:00:00"/>
        <d v="2019-08-22T00:00:00"/>
        <d v="2020-10-28T00:00:00"/>
        <d v="2019-09-14T00:00:00"/>
        <d v="2023-12-14T00:00:00"/>
        <d v="2023-09-29T00:00:00"/>
        <d v="2022-12-16T00:00:00"/>
        <d v="2019-01-21T00:00:00"/>
        <d v="2022-02-07T00:00:00"/>
        <d v="2020-12-23T00:00:00"/>
        <d v="2022-10-09T00:00:00"/>
        <d v="2023-08-11T00:00:00"/>
        <d v="2018-10-17T00:00:00"/>
        <d v="2020-01-30T00:00:00"/>
        <d v="2018-12-10T00:00:00"/>
        <d v="2021-05-31T00:00:00"/>
        <d v="2022-10-25T00:00:00"/>
        <d v="2024-04-06T00:00:00"/>
        <d v="2018-11-01T00:00:00"/>
        <d v="2018-11-14T00:00:00"/>
        <d v="2021-04-06T00:00:00"/>
        <d v="2022-05-04T00:00:00"/>
        <d v="2020-08-05T00:00:00"/>
        <d v="2022-03-21T00:00:00"/>
        <d v="2018-11-09T00:00:00"/>
        <d v="2022-03-10T00:00:00"/>
        <d v="2019-06-06T00:00:00"/>
        <d v="2019-10-25T00:00:00"/>
        <d v="2019-12-17T00:00:00"/>
        <d v="2018-09-12T00:00:00"/>
        <d v="2019-09-15T00:00:00"/>
        <d v="2023-12-04T00:00:00"/>
        <d v="2021-07-19T00:00:00"/>
        <d v="2020-11-19T00:00:00"/>
        <d v="2018-10-04T00:00:00"/>
        <d v="2023-06-10T00:00:00"/>
        <d v="2023-01-16T00:00:00"/>
        <d v="2022-12-18T00:00:00"/>
        <d v="2023-04-24T00:00:00"/>
        <d v="2018-09-14T00:00:00"/>
        <d v="2018-01-16T00:00:00"/>
        <d v="2023-07-27T00:00:00"/>
        <d v="2020-10-09T00:00:00"/>
        <d v="2022-09-21T00:00:00"/>
        <d v="2021-01-01T00:00:00"/>
        <d v="2020-10-04T00:00:00"/>
        <d v="2019-05-04T00:00:00"/>
        <d v="2020-06-10T00:00:00"/>
        <d v="2018-05-09T00:00:00"/>
        <d v="2018-07-30T00:00:00"/>
        <d v="2022-10-02T00:00:00"/>
        <d v="2019-12-05T00:00:00"/>
        <d v="2022-05-08T00:00:00"/>
        <d v="2019-10-03T00:00:00"/>
        <d v="2020-10-17T00:00:00"/>
        <d v="2023-04-23T00:00:00"/>
        <d v="2023-09-27T00:00:00"/>
        <d v="2018-09-26T00:00:00"/>
        <d v="2022-03-05T00:00:00"/>
        <d v="2023-11-06T00:00:00"/>
        <d v="2019-12-25T00:00:00"/>
        <d v="2019-03-12T00:00:00"/>
        <d v="2023-01-21T00:00:00"/>
        <d v="2018-01-02T00:00:00"/>
        <d v="2023-09-08T00:00:00"/>
        <d v="2023-01-28T00:00:00"/>
        <d v="2020-06-07T00:00:00"/>
        <d v="2018-01-27T00:00:00"/>
        <d v="2019-03-13T00:00:00"/>
        <d v="2018-09-28T00:00:00"/>
        <d v="2019-02-14T00:00:00"/>
        <d v="2021-08-07T00:00:00"/>
        <d v="2024-06-11T00:00:00"/>
        <d v="2023-10-12T00:00:00"/>
        <d v="2019-01-25T00:00:00"/>
        <d v="2023-03-03T00:00:00"/>
        <d v="2022-12-03T00:00:00"/>
        <d v="2021-08-30T00:00:00"/>
        <d v="2022-11-17T00:00:00"/>
        <d v="2018-04-01T00:00:00"/>
        <d v="2020-11-30T00:00:00"/>
        <d v="2018-02-13T00:00:00"/>
        <d v="2021-01-28T00:00:00"/>
        <d v="2021-12-24T00:00:00"/>
        <d v="2021-11-14T00:00:00"/>
        <d v="2022-07-07T00:00:00"/>
        <d v="2019-05-01T00:00:00"/>
        <d v="2021-08-06T00:00:00"/>
        <d v="2019-01-20T00:00:00"/>
        <d v="2023-11-23T00:00:00"/>
        <d v="2023-08-26T00:00:00"/>
        <d v="2024-03-20T00:00:00"/>
        <d v="2023-02-19T00:00:00"/>
        <d v="2022-09-24T00:00:00"/>
        <d v="2018-02-27T00:00:00"/>
        <d v="2018-01-20T00:00:00"/>
        <d v="2018-07-25T00:00:00"/>
        <d v="2018-02-16T00:00:00"/>
        <d v="2024-06-13T00:00:00"/>
        <d v="2018-09-06T00:00:00"/>
        <d v="2020-08-17T00:00:00"/>
        <d v="2022-04-26T00:00:00"/>
        <d v="2020-02-27T00:00:00"/>
        <d v="2022-03-03T00:00:00"/>
        <d v="2022-10-11T00:00:00"/>
        <d v="2018-07-28T00:00:00"/>
        <d v="2022-05-30T00:00:00"/>
        <d v="2023-10-04T00:00:00"/>
        <d v="2021-08-19T00:00:00"/>
        <d v="2020-06-22T00:00:00"/>
        <d v="2023-05-10T00:00:00"/>
        <d v="2019-09-30T00:00:00"/>
        <d v="2024-04-12T00:00:00"/>
        <d v="2018-08-24T00:00:00"/>
        <d v="2020-06-13T00:00:00"/>
        <d v="2020-04-23T00:00:00"/>
        <d v="2023-07-13T00:00:00"/>
        <d v="2023-10-31T00:00:00"/>
        <d v="2018-04-16T00:00:00"/>
        <d v="2018-03-14T00:00:00"/>
        <d v="2023-08-14T00:00:00"/>
        <d v="2019-08-24T00:00:00"/>
        <d v="2018-03-27T00:00:00"/>
        <d v="2019-05-14T00:00:00"/>
        <d v="2023-12-27T00:00:00"/>
        <d v="2024-02-25T00:00:00"/>
        <d v="2024-02-15T00:00:00"/>
        <d v="2018-03-31T00:00:00"/>
        <d v="2021-10-12T00:00:00"/>
        <d v="2024-03-02T00:00:00"/>
        <d v="2021-04-14T00:00:00"/>
        <d v="2022-03-25T00:00:00"/>
        <d v="2024-01-07T00:00:00"/>
        <d v="2020-07-28T00:00:00"/>
        <d v="2022-01-25T00:00:00"/>
        <d v="2020-02-10T00:00:00"/>
        <d v="2019-02-08T00:00:00"/>
        <d v="2019-02-15T00:00:00"/>
        <d v="2018-05-15T00:00:00"/>
        <d v="2022-12-06T00:00:00"/>
        <d v="2022-05-16T00:00:00"/>
        <d v="2018-02-01T00:00:00"/>
        <d v="2020-02-23T00:00:00"/>
        <d v="2019-06-08T00:00:00"/>
        <d v="2020-04-17T00:00:00"/>
        <d v="2021-01-12T00:00:00"/>
        <d v="2018-10-06T00:00:00"/>
        <d v="2021-12-28T00:00:00"/>
        <d v="2021-12-13T00:00:00"/>
        <d v="2018-06-10T00:00:00"/>
        <d v="2018-06-25T00:00:00"/>
        <d v="2021-02-25T00:00:00"/>
        <d v="2024-04-09T00:00:00"/>
        <d v="2019-07-16T00:00:00"/>
        <d v="2020-09-13T00:00:00"/>
        <d v="2023-06-17T00:00:00"/>
        <d v="2019-11-20T00:00:00"/>
        <d v="2020-02-17T00:00:00"/>
        <d v="2021-04-28T00:00:00"/>
        <d v="2022-02-18T00:00:00"/>
        <d v="2019-10-08T00:00:00"/>
        <d v="2019-12-24T00:00:00"/>
        <d v="2018-09-03T00:00:00"/>
        <d v="2018-12-16T00:00:00"/>
        <d v="2024-02-24T00:00:00"/>
        <d v="2018-10-28T00:00:00"/>
        <d v="2018-12-26T00:00:00"/>
        <d v="2023-11-20T00:00:00"/>
        <d v="2020-03-02T00:00:00"/>
        <d v="2019-08-14T00:00:00"/>
        <d v="2018-11-02T00:00:00"/>
        <d v="2018-01-25T00:00:00"/>
        <d v="2020-12-09T00:00:00"/>
        <d v="2018-10-23T00:00:00"/>
        <d v="2018-09-29T00:00:00"/>
        <d v="2022-10-21T00:00:00"/>
        <d v="2018-07-15T00:00:00"/>
        <d v="2018-01-21T00:00:00"/>
        <d v="2022-08-24T00:00:00"/>
        <d v="2019-10-04T00:00:00"/>
        <d v="2021-06-20T00:00:00"/>
        <d v="2022-01-24T00:00:00"/>
        <d v="2019-10-26T00:00:00"/>
        <d v="2018-03-05T00:00:00"/>
        <d v="2020-12-10T00:00:00"/>
        <d v="2021-03-03T00:00:00"/>
        <d v="2018-07-09T00:00:00"/>
        <d v="2021-12-11T00:00:00"/>
        <d v="2018-06-05T00:00:00"/>
        <d v="2022-10-22T00:00:00"/>
        <d v="2019-12-27T00:00:00"/>
        <d v="2024-02-07T00:00:00"/>
        <d v="2019-08-09T00:00:00"/>
        <d v="2022-05-31T00:00:00"/>
        <d v="2020-06-25T00:00:00"/>
        <d v="2021-08-11T00:00:00"/>
        <d v="2018-12-27T00:00:00"/>
        <d v="2023-11-03T00:00:00"/>
        <d v="2021-01-29T00:00:00"/>
        <d v="2021-09-11T00:00:00"/>
        <d v="2019-12-23T00:00:00"/>
        <d v="2023-02-27T00:00:00"/>
        <d v="2018-08-13T00:00:00"/>
        <d v="2021-01-30T00:00:00"/>
        <d v="2018-07-29T00:00:00"/>
        <d v="2022-12-28T00:00:00"/>
        <d v="2021-04-22T00:00:00"/>
        <d v="2022-10-06T00:00:00"/>
        <d v="2020-05-28T00:00:00"/>
        <d v="2019-09-02T00:00:00"/>
        <d v="2019-01-16T00:00:00"/>
        <d v="2018-01-06T00:00:00"/>
        <d v="2021-05-06T00:00:00"/>
        <d v="2019-06-25T00:00:00"/>
        <d v="2020-09-04T00:00:00"/>
        <d v="2024-03-24T00:00:00"/>
        <d v="2019-12-03T00:00:00"/>
        <d v="2018-10-27T00:00:00"/>
        <d v="2023-05-19T00:00:00"/>
        <d v="2023-07-26T00:00:00"/>
        <d v="2020-03-22T00:00:00"/>
        <d v="2022-10-14T00:00:00"/>
        <d v="2021-12-19T00:00:00"/>
        <d v="2020-01-25T00:00:00"/>
        <d v="2019-12-20T00:00:00"/>
        <d v="2021-09-18T00:00:00"/>
        <d v="2021-06-28T00:00:00"/>
        <d v="2019-12-12T00:00:00"/>
        <d v="2021-02-10T00:00:00"/>
        <d v="2021-05-04T00:00:00"/>
        <d v="2022-01-21T00:00:00"/>
        <d v="2021-02-16T00:00:00"/>
        <d v="2018-02-18T00:00:00"/>
        <d v="2019-04-28T00:00:00"/>
        <d v="2020-05-22T00:00:00"/>
        <d v="2020-06-29T00:00:00"/>
        <d v="2020-07-05T00:00:00"/>
        <d v="2019-07-23T00:00:00"/>
        <d v="2019-01-02T00:00:00"/>
        <d v="2019-07-02T00:00:00"/>
        <d v="2018-11-10T00:00:00"/>
        <d v="2020-04-22T00:00:00"/>
        <d v="2021-12-26T00:00:00"/>
        <d v="2023-05-05T00:00:00"/>
        <d v="2019-10-22T00:00:00"/>
        <d v="2021-10-18T00:00:00"/>
        <d v="2023-02-13T00:00:00"/>
        <d v="2019-04-30T00:00:00"/>
        <d v="2023-03-26T00:00:00"/>
        <d v="2020-02-05T00:00:00"/>
        <d v="2024-02-13T00:00:00"/>
        <d v="2018-12-20T00:00:00"/>
        <d v="2018-01-29T00:00:00"/>
        <d v="2022-10-31T00:00:00"/>
        <d v="2019-01-23T00:00:00"/>
        <d v="2022-01-01T00:00:00"/>
        <d v="2018-09-21T00:00:00"/>
        <d v="2022-11-02T00:00:00"/>
        <d v="2020-11-28T00:00:00"/>
        <d v="2022-01-20T00:00:00"/>
        <d v="2019-01-24T00:00:00"/>
        <d v="2020-02-18T00:00:00"/>
        <d v="2018-12-31T00:00:00"/>
        <d v="2019-11-12T00:00:00"/>
        <d v="2023-04-17T00:00:00"/>
        <d v="2023-07-09T00:00:00"/>
        <d v="2023-04-06T00:00:00"/>
        <d v="2023-11-07T00:00:00"/>
        <d v="2021-02-23T00:00:00"/>
        <d v="2019-07-25T00:00:00"/>
        <d v="2023-06-07T00:00:00"/>
        <d v="2018-05-11T00:00:00"/>
        <d v="2024-02-23T00:00:00"/>
        <d v="2019-11-18T00:00:00"/>
        <d v="2021-04-01T00:00:00"/>
        <d v="2024-04-05T00:00:00"/>
        <d v="2024-02-01T00:00:00"/>
        <d v="2018-05-27T00:00:00"/>
        <d v="2023-02-07T00:00:00"/>
        <d v="2020-10-16T00:00:00"/>
        <d v="2023-11-10T00:00:00"/>
        <d v="2020-12-13T00:00:00"/>
        <d v="2022-11-19T00:00:00"/>
        <d v="2021-10-20T00:00:00"/>
        <d v="2023-10-06T00:00:00"/>
        <d v="2018-10-14T00:00:00"/>
        <d v="2023-02-10T00:00:00"/>
        <d v="2019-12-13T00:00:00"/>
        <d v="2020-01-28T00:00:00"/>
        <d v="2021-11-09T00:00:00"/>
        <d v="2022-03-30T00:00:00"/>
        <d v="2021-06-11T00:00:00"/>
        <d v="2023-03-07T00:00:00"/>
        <d v="2019-03-10T00:00:00"/>
        <d v="2024-05-17T00:00:00"/>
        <d v="2022-02-11T00:00:00"/>
        <d v="2022-03-29T00:00:00"/>
        <d v="2020-05-31T00:00:00"/>
        <d v="2020-06-05T00:00:00"/>
        <d v="2023-03-09T00:00:00"/>
        <d v="2023-02-28T00:00:00"/>
        <d v="2020-06-14T00:00:00"/>
        <d v="2020-03-21T00:00:00"/>
        <d v="2021-12-12T00:00:00"/>
        <d v="2018-01-17T00:00:00"/>
        <d v="2021-08-16T00:00:00"/>
        <d v="2024-05-04T00:00:00"/>
        <d v="2022-03-26T00:00:00"/>
        <d v="2024-03-06T00:00:00"/>
        <d v="2018-06-06T00:00:00"/>
        <d v="2019-05-11T00:00:00"/>
        <d v="2022-12-30T00:00:00"/>
        <d v="2019-12-18T00:00:00"/>
        <d v="2022-03-23T00:00:00"/>
        <d v="2021-02-07T00:00:00"/>
        <d v="2020-11-23T00:00:00"/>
        <d v="2018-08-08T00:00:00"/>
        <d v="2018-12-02T00:00:00"/>
        <d v="2020-12-02T00:00:00"/>
        <d v="2022-12-22T00:00:00"/>
        <d v="2021-07-27T00:00:00"/>
        <d v="2019-01-26T00:00:00"/>
        <d v="2019-05-23T00:00:00"/>
        <d v="2020-09-27T00:00:00"/>
        <d v="2020-04-10T00:00:00"/>
        <d v="2019-03-29T00:00:00"/>
        <d v="2019-07-01T00:00:00"/>
        <d v="2018-12-30T00:00:00"/>
        <d v="2022-10-23T00:00:00"/>
        <d v="2020-07-26T00:00:00"/>
        <d v="2021-03-24T00:00:00"/>
        <d v="2024-02-03T00:00:00"/>
        <d v="2019-08-02T00:00:00"/>
        <d v="2021-11-26T00:00:00"/>
        <d v="2020-12-03T00:00:00"/>
        <d v="2023-12-24T00:00:00"/>
        <d v="2022-10-27T00:00:00"/>
        <d v="2022-07-05T00:00:00"/>
        <d v="2020-08-15T00:00:00"/>
        <d v="2023-06-19T00:00:00"/>
        <d v="2023-09-23T00:00:00"/>
        <d v="2018-05-24T00:00:00"/>
        <d v="2024-05-30T00:00:00"/>
        <d v="2019-04-21T00:00:00"/>
        <d v="2023-05-17T00:00:00"/>
        <d v="2019-01-08T00:00:00"/>
        <d v="2023-10-15T00:00:00"/>
        <d v="2024-04-26T00:00:00"/>
        <d v="2022-09-06T00:00:00"/>
        <d v="2023-02-16T00:00:00"/>
        <d v="2019-12-10T00:00:00"/>
        <d v="2019-07-06T00:00:00"/>
        <s v="10-09-2023" u="1"/>
        <s v="24-06-2020" u="1"/>
        <s v="02-09-2018" u="1"/>
        <s v="21-07-2023" u="1"/>
        <s v="05-06-2024" u="1"/>
        <s v="25-06-2024" u="1"/>
        <s v="14-06-2019" u="1"/>
        <s v="08-04-2022" u="1"/>
        <s v="30-12-2023" u="1"/>
        <s v="29-06-2022" u="1"/>
        <s v="15-04-2018" u="1"/>
        <s v="18-12-2018" u="1"/>
        <s v="25-10-2023" u="1"/>
        <s v="29-04-2018" u="1"/>
        <s v="16-03-2020" u="1"/>
        <s v="13-11-2022" u="1"/>
        <s v="22-08-2019" u="1"/>
        <s v="28-10-2020" u="1"/>
        <s v="14-09-2019" u="1"/>
        <s v="14-12-2023" u="1"/>
        <s v="29-09-2023" u="1"/>
        <s v="16-12-2022" u="1"/>
        <s v="21-01-2019" u="1"/>
        <s v="07-02-2022" u="1"/>
        <s v="23-12-2020" u="1"/>
        <s v="09-10-2022" u="1"/>
        <s v="11-08-2023" u="1"/>
        <s v="17-10-2018" u="1"/>
        <s v="30-01-2020" u="1"/>
        <s v="10-12-2018" u="1"/>
        <s v="31-05-2021" u="1"/>
        <s v="25-10-2022" u="1"/>
        <s v="06-04-2024" u="1"/>
        <s v="01-11-2018" u="1"/>
        <s v="14-11-2018" u="1"/>
        <s v="06-04-2021" u="1"/>
        <s v="04-05-2022" u="1"/>
        <s v="05-08-2020" u="1"/>
        <s v="21-03-2022" u="1"/>
        <s v="09-11-2018" u="1"/>
        <s v="10-03-2022" u="1"/>
        <s v="06-06-2019" u="1"/>
        <s v="25-10-2019" u="1"/>
        <s v="17-12-2019" u="1"/>
        <s v="12-09-2018" u="1"/>
        <s v="15-09-2019" u="1"/>
        <s v="04-12-2023" u="1"/>
        <s v="19-07-2021" u="1"/>
        <s v="19-11-2020" u="1"/>
        <s v="04-10-2018" u="1"/>
        <s v="10-06-2023" u="1"/>
        <s v="16-01-2023" u="1"/>
        <s v="18-12-2022" u="1"/>
        <s v="24-04-2023" u="1"/>
        <s v="14-09-2018" u="1"/>
        <s v="16-01-2018" u="1"/>
        <s v="27-07-2023" u="1"/>
        <s v="09-10-2020" u="1"/>
        <s v="21-09-2022" u="1"/>
        <s v="01-01-2021" u="1"/>
        <s v="04-10-2020" u="1"/>
        <s v="04-05-2019" u="1"/>
        <s v="10-06-2020" u="1"/>
        <s v="09-05-2018" u="1"/>
        <s v="30-07-2018" u="1"/>
        <s v="02-10-2022" u="1"/>
        <s v="05-12-2019" u="1"/>
        <s v="08-05-2022" u="1"/>
        <s v="03-10-2019" u="1"/>
        <s v="17-10-2020" u="1"/>
        <s v="23-04-2023" u="1"/>
        <s v="27-09-2023" u="1"/>
        <s v="26-09-2018" u="1"/>
        <s v="05-03-2022" u="1"/>
        <s v="06-11-2023" u="1"/>
        <s v="25-12-2019" u="1"/>
        <s v="12-03-2019" u="1"/>
        <s v="21-01-2023" u="1"/>
        <s v="02-01-2018" u="1"/>
        <s v="08-09-2023" u="1"/>
        <s v="28-01-2023" u="1"/>
        <s v="07-06-2020" u="1"/>
        <s v="27-01-2018" u="1"/>
        <s v="13-03-2019" u="1"/>
        <s v="28-09-2018" u="1"/>
        <s v="14-02-2019" u="1"/>
        <s v="07-08-2021" u="1"/>
        <s v="11-06-2024" u="1"/>
        <s v="12-10-2023" u="1"/>
        <s v="25-01-2019" u="1"/>
        <s v="03-03-2023" u="1"/>
        <s v="03-12-2022" u="1"/>
        <s v="30-08-2021" u="1"/>
        <s v="17-11-2022" u="1"/>
        <s v="01-04-2018" u="1"/>
        <s v="30-11-2020" u="1"/>
        <s v="13-02-2018" u="1"/>
        <s v="28-01-2021" u="1"/>
        <s v="24-12-2021" u="1"/>
        <s v="14-11-2021" u="1"/>
        <s v="07-07-2022" u="1"/>
        <s v="01-05-2019" u="1"/>
        <s v="06-08-2021" u="1"/>
        <s v="20-01-2019" u="1"/>
        <s v="23-11-2023" u="1"/>
        <s v="26-08-2023" u="1"/>
        <s v="20-03-2024" u="1"/>
        <s v="19-02-2023" u="1"/>
        <s v="24-09-2022" u="1"/>
        <s v="27-02-2018" u="1"/>
        <s v="20-01-2018" u="1"/>
        <s v="25-07-2018" u="1"/>
        <s v="16-02-2018" u="1"/>
        <s v="13-06-2024" u="1"/>
        <s v="06-09-2018" u="1"/>
        <s v="17-08-2020" u="1"/>
        <s v="26-04-2022" u="1"/>
        <s v="27-02-2020" u="1"/>
        <s v="03-03-2022" u="1"/>
        <s v="11-10-2022" u="1"/>
        <s v="28-07-2018" u="1"/>
        <s v="30-05-2022" u="1"/>
        <s v="04-10-2023" u="1"/>
        <s v="19-08-2021" u="1"/>
        <s v="22-06-2020" u="1"/>
        <s v="10-05-2023" u="1"/>
        <s v="30-09-2019" u="1"/>
        <s v="12-04-2024" u="1"/>
        <s v="24-08-2018" u="1"/>
        <s v="13-06-2020" u="1"/>
        <s v="23-04-2020" u="1"/>
        <s v="13-07-2023" u="1"/>
        <s v="31-10-2023" u="1"/>
        <s v="16-04-2018" u="1"/>
        <s v="14-03-2018" u="1"/>
        <s v="14-08-2023" u="1"/>
        <s v="24-08-2019" u="1"/>
        <s v="27-03-2018" u="1"/>
        <s v="14-05-2019" u="1"/>
        <s v="27-12-2023" u="1"/>
        <s v="25-02-2024" u="1"/>
        <s v="15-02-2024" u="1"/>
        <s v="31-03-2018" u="1"/>
        <s v="12-10-2021" u="1"/>
        <s v="02-03-2024" u="1"/>
        <s v="14-04-2021" u="1"/>
        <s v="25-03-2022" u="1"/>
        <s v="07-01-2024" u="1"/>
        <s v="28-07-2020" u="1"/>
        <s v="25-01-2022" u="1"/>
        <s v="10-02-2020" u="1"/>
        <s v="08-02-2019" u="1"/>
        <s v="15-02-2019" u="1"/>
        <s v="15-05-2018" u="1"/>
        <s v="06-12-2022" u="1"/>
        <s v="16-05-2022" u="1"/>
        <s v="01-02-2018" u="1"/>
        <s v="23-02-2020" u="1"/>
        <s v="08-06-2019" u="1"/>
        <s v="17-04-2020" u="1"/>
        <s v="12-01-2021" u="1"/>
        <s v="06-10-2018" u="1"/>
        <s v="28-12-2021" u="1"/>
        <s v="13-12-2021" u="1"/>
        <s v="10-06-2018" u="1"/>
        <s v="25-06-2018" u="1"/>
        <s v="25-02-2021" u="1"/>
        <s v="09-04-2024" u="1"/>
        <s v="16-07-2019" u="1"/>
        <s v="13-09-2020" u="1"/>
        <s v="17-06-2023" u="1"/>
        <s v="20-11-2019" u="1"/>
        <s v="17-02-2020" u="1"/>
        <s v="28-04-2021" u="1"/>
        <s v="18-02-2022" u="1"/>
        <s v="08-10-2019" u="1"/>
        <s v="24-12-2019" u="1"/>
        <s v="03-09-2018" u="1"/>
        <s v="16-12-2018" u="1"/>
        <s v="24-02-2024" u="1"/>
        <s v="28-10-2018" u="1"/>
        <s v="26-12-2018" u="1"/>
        <s v="20-11-2023" u="1"/>
        <s v="02-03-2020" u="1"/>
        <s v="14-08-2019" u="1"/>
        <s v="02-11-2018" u="1"/>
        <s v="25-01-2018" u="1"/>
        <s v="09-12-2020" u="1"/>
        <s v="23-10-2018" u="1"/>
        <s v="29-09-2018" u="1"/>
        <s v="21-10-2022" u="1"/>
        <s v="15-07-2018" u="1"/>
        <s v="21-01-2018" u="1"/>
        <s v="24-08-2022" u="1"/>
        <s v="04-10-2019" u="1"/>
        <s v="20-06-2021" u="1"/>
        <s v="24-01-2022" u="1"/>
        <s v="26-10-2019" u="1"/>
        <s v="05-03-2018" u="1"/>
        <s v="10-12-2020" u="1"/>
        <s v="03-03-2021" u="1"/>
        <s v="09-07-2018" u="1"/>
        <s v="11-12-2021" u="1"/>
        <s v="05-06-2018" u="1"/>
        <s v="22-10-2022" u="1"/>
        <s v="27-12-2019" u="1"/>
        <s v="07-02-2024" u="1"/>
        <s v="09-08-2019" u="1"/>
        <s v="31-05-2022" u="1"/>
        <s v="25-06-2020" u="1"/>
        <s v="11-08-2021" u="1"/>
        <s v="27-12-2018" u="1"/>
        <s v="03-11-2023" u="1"/>
        <s v="29-01-2021" u="1"/>
        <s v="11-09-2021" u="1"/>
        <s v="23-12-2019" u="1"/>
        <s v="27-02-2023" u="1"/>
        <s v="13-08-2018" u="1"/>
        <s v="30-01-2021" u="1"/>
        <s v="29-07-2018" u="1"/>
        <s v="28-12-2022" u="1"/>
        <s v="22-04-2021" u="1"/>
        <s v="06-10-2022" u="1"/>
        <s v="28-05-2020" u="1"/>
        <s v="02-09-2019" u="1"/>
        <s v="16-01-2019" u="1"/>
        <s v="06-01-2018" u="1"/>
        <s v="06-05-2021" u="1"/>
        <s v="25-06-2019" u="1"/>
        <s v="04-09-2020" u="1"/>
        <s v="24-03-2024" u="1"/>
        <s v="03-12-2019" u="1"/>
        <s v="27-10-2018" u="1"/>
        <s v="19-05-2023" u="1"/>
        <s v="26-07-2023" u="1"/>
        <s v="22-03-2020" u="1"/>
        <s v="14-10-2022" u="1"/>
        <s v="19-12-2021" u="1"/>
        <s v="25-01-2020" u="1"/>
        <s v="20-12-2019" u="1"/>
        <s v="18-09-2021" u="1"/>
        <s v="28-06-2021" u="1"/>
        <s v="12-12-2019" u="1"/>
        <s v="10-02-2021" u="1"/>
        <s v="04-05-2021" u="1"/>
        <s v="21-01-2022" u="1"/>
        <s v="16-02-2021" u="1"/>
        <s v="18-02-2018" u="1"/>
        <s v="28-04-2019" u="1"/>
        <s v="22-05-2020" u="1"/>
        <s v="29-06-2020" u="1"/>
        <s v="05-07-2020" u="1"/>
        <s v="23-07-2019" u="1"/>
        <s v="02-01-2019" u="1"/>
        <s v="02-07-2019" u="1"/>
        <s v="10-11-2018" u="1"/>
        <s v="22-04-2020" u="1"/>
        <s v="26-12-2021" u="1"/>
        <s v="05-05-2023" u="1"/>
        <s v="22-10-2019" u="1"/>
        <s v="18-10-2021" u="1"/>
        <s v="13-02-2023" u="1"/>
        <s v="30-04-2019" u="1"/>
        <s v="26-03-2023" u="1"/>
        <s v="05-02-2020" u="1"/>
        <s v="13-02-2024" u="1"/>
        <s v="20-12-2018" u="1"/>
        <s v="29-01-2018" u="1"/>
        <s v="31-10-2022" u="1"/>
        <s v="23-01-2019" u="1"/>
        <s v="01-01-2022" u="1"/>
        <s v="21-09-2018" u="1"/>
        <s v="02-11-2022" u="1"/>
        <s v="28-11-2020" u="1"/>
        <s v="20-01-2022" u="1"/>
        <s v="24-01-2019" u="1"/>
        <s v="18-02-2020" u="1"/>
        <s v="31-12-2018" u="1"/>
        <s v="12-11-2019" u="1"/>
        <s v="17-04-2023" u="1"/>
        <s v="09-07-2023" u="1"/>
        <s v="06-04-2023" u="1"/>
        <s v="07-11-2023" u="1"/>
        <s v="23-02-2021" u="1"/>
        <s v="25-07-2019" u="1"/>
        <s v="07-06-2023" u="1"/>
        <s v="11-05-2018" u="1"/>
        <s v="23-02-2024" u="1"/>
        <s v="18-11-2019" u="1"/>
        <s v="01-04-2021" u="1"/>
        <s v="05-04-2024" u="1"/>
        <s v="01-02-2024" u="1"/>
        <s v="27-05-2018" u="1"/>
        <s v="07-02-2023" u="1"/>
        <s v="16-10-2020" u="1"/>
        <s v="10-11-2023" u="1"/>
        <s v="13-12-2020" u="1"/>
        <s v="19-11-2022" u="1"/>
        <s v="20-10-2021" u="1"/>
        <s v="06-10-2023" u="1"/>
        <s v="14-10-2018" u="1"/>
        <s v="10-02-2023" u="1"/>
        <s v="13-12-2019" u="1"/>
        <s v="28-01-2020" u="1"/>
        <s v="09-11-2021" u="1"/>
        <s v="30-03-2022" u="1"/>
        <s v="11-06-2021" u="1"/>
        <s v="07-03-2023" u="1"/>
        <s v="10-03-2019" u="1"/>
        <s v="17-05-2024" u="1"/>
        <s v="11-02-2022" u="1"/>
        <s v="29-03-2022" u="1"/>
        <s v="31-05-2020" u="1"/>
        <s v="05-06-2020" u="1"/>
        <s v="09-03-2023" u="1"/>
        <s v="28-02-2023" u="1"/>
        <s v="14-06-2020" u="1"/>
        <s v="21-03-2020" u="1"/>
        <s v="12-12-2021" u="1"/>
        <s v="17-01-2018" u="1"/>
        <s v="16-08-2021" u="1"/>
        <s v="04-05-2024" u="1"/>
        <s v="26-03-2022" u="1"/>
        <s v="06-03-2024" u="1"/>
        <s v="06-06-2018" u="1"/>
        <s v="11-05-2019" u="1"/>
        <s v="30-12-2022" u="1"/>
        <s v="18-12-2019" u="1"/>
        <s v="23-03-2022" u="1"/>
        <s v="07-02-2021" u="1"/>
        <s v="23-11-2020" u="1"/>
        <s v="08-08-2018" u="1"/>
        <s v="02-12-2018" u="1"/>
        <s v="02-12-2020" u="1"/>
        <s v="22-12-2022" u="1"/>
        <s v="27-07-2021" u="1"/>
        <s v="26-01-2019" u="1"/>
        <s v="23-05-2019" u="1"/>
        <s v="27-09-2020" u="1"/>
        <s v="10-04-2020" u="1"/>
        <s v="29-03-2019" u="1"/>
        <s v="01-07-2019" u="1"/>
        <s v="30-12-2018" u="1"/>
        <s v="23-10-2022" u="1"/>
        <s v="26-07-2020" u="1"/>
        <s v="24-03-2021" u="1"/>
        <s v="03-02-2024" u="1"/>
        <s v="02-08-2019" u="1"/>
        <s v="26-11-2021" u="1"/>
        <s v="03-12-2020" u="1"/>
        <s v="24-12-2023" u="1"/>
        <s v="27-10-2022" u="1"/>
        <s v="05-07-2022" u="1"/>
        <s v="15-08-2020" u="1"/>
        <s v="19-06-2023" u="1"/>
        <s v="23-09-2023" u="1"/>
        <s v="24-05-2018" u="1"/>
        <s v="30-05-2024" u="1"/>
        <s v="21-04-2019" u="1"/>
        <s v="17-05-2023" u="1"/>
        <s v="08-01-2019" u="1"/>
        <s v="15-10-2023" u="1"/>
        <s v="26-04-2024" u="1"/>
        <s v="06-09-2022" u="1"/>
        <s v="16-02-2023" u="1"/>
        <s v="10-12-2019" u="1"/>
        <s v="06-07-2019" u="1"/>
      </sharedItems>
      <fieldGroup par="16"/>
    </cacheField>
    <cacheField name="Attrition" numFmtId="0">
      <sharedItems count="2">
        <s v="No"/>
        <s v="Yes"/>
      </sharedItems>
    </cacheField>
    <cacheField name="Exit Date" numFmtId="14">
      <sharedItems containsBlank="1"/>
    </cacheField>
    <cacheField name="Salary" numFmtId="4">
      <sharedItems containsSemiMixedTypes="0" containsString="0" containsNumber="1" containsInteger="1" minValue="27300" maxValue="144300" count="306">
        <n v="42100"/>
        <n v="34700"/>
        <n v="79000"/>
        <n v="109200"/>
        <n v="56000"/>
        <n v="107800"/>
        <n v="86600"/>
        <n v="144300"/>
        <n v="49900"/>
        <n v="50400"/>
        <n v="71100"/>
        <n v="43600"/>
        <n v="64800"/>
        <n v="39900"/>
        <n v="41400"/>
        <n v="88100"/>
        <n v="99600"/>
        <n v="109400"/>
        <n v="72500"/>
        <n v="45000"/>
        <n v="41800"/>
        <n v="46900"/>
        <n v="65600"/>
        <n v="27400"/>
        <n v="40300"/>
        <n v="45900"/>
        <n v="41600"/>
        <n v="100700"/>
        <n v="51300"/>
        <n v="63400"/>
        <n v="36500"/>
        <n v="39500"/>
        <n v="35300"/>
        <n v="102900"/>
        <n v="56600"/>
        <n v="94200"/>
        <n v="102000"/>
        <n v="46700"/>
        <n v="87900"/>
        <n v="49700"/>
        <n v="83800"/>
        <n v="59700"/>
        <n v="76000"/>
        <n v="31600"/>
        <n v="33600"/>
        <n v="50800"/>
        <n v="89500"/>
        <n v="89700"/>
        <n v="42400"/>
        <n v="29800"/>
        <n v="42700"/>
        <n v="38700"/>
        <n v="74300"/>
        <n v="63500"/>
        <n v="37500"/>
        <n v="102500"/>
        <n v="53200"/>
        <n v="38500"/>
        <n v="94400"/>
        <n v="75500"/>
        <n v="75800"/>
        <n v="77800"/>
        <n v="44400"/>
        <n v="48700"/>
        <n v="28700"/>
        <n v="106300"/>
        <n v="57500"/>
        <n v="91300"/>
        <n v="58800"/>
        <n v="48500"/>
        <n v="71400"/>
        <n v="138400"/>
        <n v="34600"/>
        <n v="87600"/>
        <n v="75000"/>
        <n v="88800"/>
        <n v="47700"/>
        <n v="80800"/>
        <n v="74500"/>
        <n v="79600"/>
        <n v="85900"/>
        <n v="100000"/>
        <n v="54100"/>
        <n v="40600"/>
        <n v="79200"/>
        <n v="80600"/>
        <n v="82400"/>
        <n v="87300"/>
        <n v="97300"/>
        <n v="98200"/>
        <n v="30700"/>
        <n v="52200"/>
        <n v="71600"/>
        <n v="48300"/>
        <n v="36000"/>
        <n v="88000"/>
        <n v="67000"/>
        <n v="38800"/>
        <n v="46300"/>
        <n v="136500"/>
        <n v="40100"/>
        <n v="74700"/>
        <n v="62200"/>
        <n v="60200"/>
        <n v="35200"/>
        <n v="56100"/>
        <n v="84800"/>
        <n v="41000"/>
        <n v="98600"/>
        <n v="98900"/>
        <n v="80400"/>
        <n v="89300"/>
        <n v="60700"/>
        <n v="44100"/>
        <n v="76800"/>
        <n v="46200"/>
        <n v="91800"/>
        <n v="89900"/>
        <n v="76100"/>
        <n v="67800"/>
        <n v="55900"/>
        <n v="50000"/>
        <n v="89400"/>
        <n v="62400"/>
        <n v="38000"/>
        <n v="71800"/>
        <n v="55000"/>
        <n v="44600"/>
        <n v="53300"/>
        <n v="93500"/>
        <n v="27700"/>
        <n v="84300"/>
        <n v="95200"/>
        <n v="99000"/>
        <n v="56700"/>
        <n v="72200"/>
        <n v="45700"/>
        <n v="126900"/>
        <n v="57100"/>
        <n v="70400"/>
        <n v="60800"/>
        <n v="84400"/>
        <n v="32500"/>
        <n v="87800"/>
        <n v="37000"/>
        <n v="87100"/>
        <n v="39200"/>
        <n v="64500"/>
        <n v="112700"/>
        <n v="78400"/>
        <n v="69700"/>
        <n v="30100"/>
        <n v="45800"/>
        <n v="97800"/>
        <n v="72800"/>
        <n v="34300"/>
        <n v="69100"/>
        <n v="30500"/>
        <n v="61900"/>
        <n v="67300"/>
        <n v="73400"/>
        <n v="48900"/>
        <n v="28900"/>
        <n v="56200"/>
        <n v="47800"/>
        <n v="69800"/>
        <n v="54700"/>
        <n v="34500"/>
        <n v="46400"/>
        <n v="52700"/>
        <n v="61500"/>
        <n v="54300"/>
        <n v="79700"/>
        <n v="49600"/>
        <n v="73500"/>
        <n v="37900"/>
        <n v="52300"/>
        <n v="74000"/>
        <n v="42200"/>
        <n v="59200"/>
        <n v="69000"/>
        <n v="36300"/>
        <n v="103600"/>
        <n v="46500"/>
        <n v="40000"/>
        <n v="73200"/>
        <n v="35700"/>
        <n v="48100"/>
        <n v="41100"/>
        <n v="39700"/>
        <n v="62500"/>
        <n v="91200"/>
        <n v="72600"/>
        <n v="90200"/>
        <n v="117000"/>
        <n v="108700"/>
        <n v="57900"/>
        <n v="72700"/>
        <n v="86700"/>
        <n v="40200"/>
        <n v="48600"/>
        <n v="78100"/>
        <n v="37300"/>
        <n v="73900"/>
        <n v="84500"/>
        <n v="44800"/>
        <n v="46600"/>
        <n v="78800"/>
        <n v="45600"/>
        <n v="67200"/>
        <n v="48400"/>
        <n v="66800"/>
        <n v="93200"/>
        <n v="57400"/>
        <n v="80500"/>
        <n v="68900"/>
        <n v="36900"/>
        <n v="78000"/>
        <n v="37100"/>
        <n v="44700"/>
        <n v="51700"/>
        <n v="54200"/>
        <n v="69900"/>
        <n v="86500"/>
        <n v="58000"/>
        <n v="52900"/>
        <n v="52800"/>
        <n v="45300"/>
        <n v="34800"/>
        <n v="49200"/>
        <n v="39000"/>
        <n v="86300"/>
        <n v="45500"/>
        <n v="75100"/>
        <n v="63300"/>
        <n v="68800"/>
        <n v="38200"/>
        <n v="42600"/>
        <n v="37800"/>
        <n v="38600"/>
        <n v="95900"/>
        <n v="96400"/>
        <n v="30200"/>
        <n v="50600"/>
        <n v="102100"/>
        <n v="33500"/>
        <n v="44500"/>
        <n v="53900"/>
        <n v="76600"/>
        <n v="81400"/>
        <n v="38300"/>
        <n v="39600"/>
        <n v="58700"/>
        <n v="114000"/>
        <n v="36200"/>
        <n v="107500"/>
        <n v="35900"/>
        <n v="75200"/>
        <n v="60500"/>
        <n v="82500"/>
        <n v="27300"/>
        <n v="65900"/>
        <n v="45200"/>
        <n v="74600"/>
        <n v="47500"/>
        <n v="47400"/>
        <n v="68600"/>
        <n v="103300"/>
        <n v="70300"/>
        <n v="70800"/>
        <n v="76200"/>
        <n v="42900"/>
        <n v="60900"/>
        <n v="28300"/>
        <n v="96600"/>
        <n v="53400"/>
        <n v="54000"/>
        <n v="77900"/>
        <n v="52400"/>
        <n v="89600"/>
        <n v="72900"/>
        <n v="86100"/>
        <n v="46800"/>
        <n v="44900"/>
        <n v="71700"/>
        <n v="68100"/>
        <n v="31800"/>
        <n v="37400"/>
        <n v="39400"/>
        <n v="61100"/>
        <n v="50300"/>
        <n v="38900"/>
        <n v="34900"/>
        <n v="83600"/>
        <n v="100400"/>
        <n v="47300"/>
        <n v="110900"/>
        <n v="70600"/>
        <n v="49100"/>
        <n v="84000"/>
        <n v="31200"/>
        <n v="55800"/>
        <n v="62600"/>
        <n v="71000"/>
        <n v="86400"/>
        <n v="60400"/>
      </sharedItems>
    </cacheField>
    <cacheField name="Performance Rating" numFmtId="0">
      <sharedItems containsSemiMixedTypes="0" containsString="0" containsNumber="1" containsInteger="1" minValue="1" maxValue="5" count="5">
        <n v="2"/>
        <n v="5"/>
        <n v="3"/>
        <n v="4"/>
        <n v="1"/>
      </sharedItems>
    </cacheField>
    <cacheField name="Satisfaction Score" numFmtId="0">
      <sharedItems containsSemiMixedTypes="0" containsString="0" containsNumber="1" containsInteger="1" minValue="1" maxValue="5"/>
    </cacheField>
    <cacheField name="Overtime" numFmtId="0">
      <sharedItems/>
    </cacheField>
    <cacheField name="Marital Status" numFmtId="0">
      <sharedItems/>
    </cacheField>
    <cacheField name="Hire Date2" numFmtId="0" databaseField="0">
      <fieldGroup base="8">
        <discretePr count="734">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367"/>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discretePr>
        <groupItems count="368">
          <s v="10-09-2023"/>
          <s v="24-06-2020"/>
          <s v="02-09-2018"/>
          <s v="21-07-2023"/>
          <s v="05-06-2024"/>
          <s v="25-06-2024"/>
          <s v="14-06-2019"/>
          <s v="08-04-2022"/>
          <s v="30-12-2023"/>
          <s v="29-06-2022"/>
          <s v="15-04-2018"/>
          <s v="18-12-2018"/>
          <s v="25-10-2023"/>
          <s v="29-04-2018"/>
          <s v="16-03-2020"/>
          <s v="13-11-2022"/>
          <s v="22-08-2019"/>
          <s v="28-10-2020"/>
          <s v="14-09-2019"/>
          <s v="14-12-2023"/>
          <s v="29-09-2023"/>
          <s v="16-12-2022"/>
          <s v="21-01-2019"/>
          <s v="07-02-2022"/>
          <s v="23-12-2020"/>
          <s v="09-10-2022"/>
          <s v="11-08-2023"/>
          <s v="17-10-2018"/>
          <s v="30-01-2020"/>
          <s v="10-12-2018"/>
          <s v="31-05-2021"/>
          <s v="25-10-2022"/>
          <s v="06-04-2024"/>
          <s v="01-11-2018"/>
          <s v="14-11-2018"/>
          <s v="06-04-2021"/>
          <s v="04-05-2022"/>
          <s v="05-08-2020"/>
          <s v="21-03-2022"/>
          <s v="09-11-2018"/>
          <s v="10-03-2022"/>
          <s v="06-06-2019"/>
          <s v="25-10-2019"/>
          <s v="17-12-2019"/>
          <s v="12-09-2018"/>
          <s v="15-09-2019"/>
          <s v="04-12-2023"/>
          <s v="19-07-2021"/>
          <s v="19-11-2020"/>
          <s v="04-10-2018"/>
          <s v="10-06-2023"/>
          <s v="16-01-2023"/>
          <s v="18-12-2022"/>
          <s v="24-04-2023"/>
          <s v="14-09-2018"/>
          <s v="16-01-2018"/>
          <s v="27-07-2023"/>
          <s v="09-10-2020"/>
          <s v="21-09-2022"/>
          <s v="01-01-2021"/>
          <s v="04-10-2020"/>
          <s v="04-05-2019"/>
          <s v="10-06-2020"/>
          <s v="09-05-2018"/>
          <s v="30-07-2018"/>
          <s v="02-10-2022"/>
          <s v="05-12-2019"/>
          <s v="08-05-2022"/>
          <s v="03-10-2019"/>
          <s v="17-10-2020"/>
          <s v="23-04-2023"/>
          <s v="27-09-2023"/>
          <s v="26-09-2018"/>
          <s v="05-03-2022"/>
          <s v="06-11-2023"/>
          <s v="25-12-2019"/>
          <s v="12-03-2019"/>
          <s v="21-01-2023"/>
          <s v="02-01-2018"/>
          <s v="08-09-2023"/>
          <s v="28-01-2023"/>
          <s v="07-06-2020"/>
          <s v="27-01-2018"/>
          <s v="13-03-2019"/>
          <s v="28-09-2018"/>
          <s v="14-02-2019"/>
          <s v="07-08-2021"/>
          <s v="11-06-2024"/>
          <s v="12-10-2023"/>
          <s v="25-01-2019"/>
          <s v="03-03-2023"/>
          <s v="03-12-2022"/>
          <s v="30-08-2021"/>
          <s v="17-11-2022"/>
          <s v="01-04-2018"/>
          <s v="30-11-2020"/>
          <s v="13-02-2018"/>
          <s v="28-01-2021"/>
          <s v="24-12-2021"/>
          <s v="14-11-2021"/>
          <s v="07-07-2022"/>
          <s v="01-05-2019"/>
          <s v="06-08-2021"/>
          <s v="20-01-2019"/>
          <s v="23-11-2023"/>
          <s v="26-08-2023"/>
          <s v="20-03-2024"/>
          <s v="19-02-2023"/>
          <s v="24-09-2022"/>
          <s v="27-02-2018"/>
          <s v="20-01-2018"/>
          <s v="25-07-2018"/>
          <s v="16-02-2018"/>
          <s v="13-06-2024"/>
          <s v="06-09-2018"/>
          <s v="17-08-2020"/>
          <s v="26-04-2022"/>
          <s v="27-02-2020"/>
          <s v="03-03-2022"/>
          <s v="11-10-2022"/>
          <s v="28-07-2018"/>
          <s v="30-05-2022"/>
          <s v="04-10-2023"/>
          <s v="19-08-2021"/>
          <s v="22-06-2020"/>
          <s v="10-05-2023"/>
          <s v="30-09-2019"/>
          <s v="12-04-2024"/>
          <s v="24-08-2018"/>
          <s v="13-06-2020"/>
          <s v="23-04-2020"/>
          <s v="13-07-2023"/>
          <s v="31-10-2023"/>
          <s v="16-04-2018"/>
          <s v="14-03-2018"/>
          <s v="14-08-2023"/>
          <s v="24-08-2019"/>
          <s v="27-03-2018"/>
          <s v="14-05-2019"/>
          <s v="27-12-2023"/>
          <s v="25-02-2024"/>
          <s v="15-02-2024"/>
          <s v="31-03-2018"/>
          <s v="12-10-2021"/>
          <s v="02-03-2024"/>
          <s v="14-04-2021"/>
          <s v="25-03-2022"/>
          <s v="07-01-2024"/>
          <s v="28-07-2020"/>
          <s v="25-01-2022"/>
          <s v="10-02-2020"/>
          <s v="08-02-2019"/>
          <s v="15-02-2019"/>
          <s v="15-05-2018"/>
          <s v="06-12-2022"/>
          <s v="16-05-2022"/>
          <s v="01-02-2018"/>
          <s v="23-02-2020"/>
          <s v="08-06-2019"/>
          <s v="17-04-2020"/>
          <s v="12-01-2021"/>
          <s v="06-10-2018"/>
          <s v="28-12-2021"/>
          <s v="13-12-2021"/>
          <s v="10-06-2018"/>
          <s v="25-06-2018"/>
          <s v="25-02-2021"/>
          <s v="09-04-2024"/>
          <s v="16-07-2019"/>
          <s v="13-09-2020"/>
          <s v="17-06-2023"/>
          <s v="20-11-2019"/>
          <s v="17-02-2020"/>
          <s v="28-04-2021"/>
          <s v="18-02-2022"/>
          <s v="08-10-2019"/>
          <s v="24-12-2019"/>
          <s v="03-09-2018"/>
          <s v="16-12-2018"/>
          <s v="24-02-2024"/>
          <s v="28-10-2018"/>
          <s v="26-12-2018"/>
          <s v="20-11-2023"/>
          <s v="02-03-2020"/>
          <s v="14-08-2019"/>
          <s v="02-11-2018"/>
          <s v="25-01-2018"/>
          <s v="09-12-2020"/>
          <s v="23-10-2018"/>
          <s v="29-09-2018"/>
          <s v="21-10-2022"/>
          <s v="15-07-2018"/>
          <s v="21-01-2018"/>
          <s v="24-08-2022"/>
          <s v="04-10-2019"/>
          <s v="20-06-2021"/>
          <s v="24-01-2022"/>
          <s v="26-10-2019"/>
          <s v="05-03-2018"/>
          <s v="10-12-2020"/>
          <s v="03-03-2021"/>
          <s v="09-07-2018"/>
          <s v="11-12-2021"/>
          <s v="05-06-2018"/>
          <s v="22-10-2022"/>
          <s v="27-12-2019"/>
          <s v="07-02-2024"/>
          <s v="09-08-2019"/>
          <s v="31-05-2022"/>
          <s v="25-06-2020"/>
          <s v="11-08-2021"/>
          <s v="27-12-2018"/>
          <s v="03-11-2023"/>
          <s v="29-01-2021"/>
          <s v="11-09-2021"/>
          <s v="23-12-2019"/>
          <s v="27-02-2023"/>
          <s v="13-08-2018"/>
          <s v="30-01-2021"/>
          <s v="29-07-2018"/>
          <s v="28-12-2022"/>
          <s v="22-04-2021"/>
          <s v="06-10-2022"/>
          <s v="28-05-2020"/>
          <s v="02-09-2019"/>
          <s v="16-01-2019"/>
          <s v="06-01-2018"/>
          <s v="06-05-2021"/>
          <s v="25-06-2019"/>
          <s v="04-09-2020"/>
          <s v="24-03-2024"/>
          <s v="03-12-2019"/>
          <s v="27-10-2018"/>
          <s v="19-05-2023"/>
          <s v="26-07-2023"/>
          <s v="22-03-2020"/>
          <s v="14-10-2022"/>
          <s v="19-12-2021"/>
          <s v="25-01-2020"/>
          <s v="20-12-2019"/>
          <s v="18-09-2021"/>
          <s v="28-06-2021"/>
          <s v="12-12-2019"/>
          <s v="10-02-2021"/>
          <s v="04-05-2021"/>
          <s v="21-01-2022"/>
          <s v="16-02-2021"/>
          <s v="18-02-2018"/>
          <s v="28-04-2019"/>
          <s v="22-05-2020"/>
          <s v="29-06-2020"/>
          <s v="05-07-2020"/>
          <s v="23-07-2019"/>
          <s v="02-01-2019"/>
          <s v="02-07-2019"/>
          <s v="10-11-2018"/>
          <s v="22-04-2020"/>
          <s v="26-12-2021"/>
          <s v="05-05-2023"/>
          <s v="22-10-2019"/>
          <s v="18-10-2021"/>
          <s v="13-02-2023"/>
          <s v="30-04-2019"/>
          <s v="26-03-2023"/>
          <s v="05-02-2020"/>
          <s v="13-02-2024"/>
          <s v="20-12-2018"/>
          <s v="29-01-2018"/>
          <s v="31-10-2022"/>
          <s v="23-01-2019"/>
          <s v="01-01-2022"/>
          <s v="21-09-2018"/>
          <s v="02-11-2022"/>
          <s v="28-11-2020"/>
          <s v="20-01-2022"/>
          <s v="24-01-2019"/>
          <s v="18-02-2020"/>
          <s v="31-12-2018"/>
          <s v="12-11-2019"/>
          <s v="17-04-2023"/>
          <s v="09-07-2023"/>
          <s v="06-04-2023"/>
          <s v="07-11-2023"/>
          <s v="23-02-2021"/>
          <s v="25-07-2019"/>
          <s v="07-06-2023"/>
          <s v="11-05-2018"/>
          <s v="23-02-2024"/>
          <s v="18-11-2019"/>
          <s v="01-04-2021"/>
          <s v="05-04-2024"/>
          <s v="01-02-2024"/>
          <s v="27-05-2018"/>
          <s v="07-02-2023"/>
          <s v="16-10-2020"/>
          <s v="10-11-2023"/>
          <s v="13-12-2020"/>
          <s v="19-11-2022"/>
          <s v="20-10-2021"/>
          <s v="06-10-2023"/>
          <s v="14-10-2018"/>
          <s v="10-02-2023"/>
          <s v="13-12-2019"/>
          <s v="28-01-2020"/>
          <s v="09-11-2021"/>
          <s v="30-03-2022"/>
          <s v="11-06-2021"/>
          <s v="07-03-2023"/>
          <s v="10-03-2019"/>
          <s v="17-05-2024"/>
          <s v="11-02-2022"/>
          <s v="29-03-2022"/>
          <s v="31-05-2020"/>
          <s v="05-06-2020"/>
          <s v="09-03-2023"/>
          <s v="28-02-2023"/>
          <s v="14-06-2020"/>
          <s v="21-03-2020"/>
          <s v="12-12-2021"/>
          <s v="17-01-2018"/>
          <s v="16-08-2021"/>
          <s v="04-05-2024"/>
          <s v="26-03-2022"/>
          <s v="06-03-2024"/>
          <s v="06-06-2018"/>
          <s v="11-05-2019"/>
          <s v="30-12-2022"/>
          <s v="18-12-2019"/>
          <s v="23-03-2022"/>
          <s v="07-02-2021"/>
          <s v="23-11-2020"/>
          <s v="08-08-2018"/>
          <s v="02-12-2018"/>
          <s v="02-12-2020"/>
          <s v="22-12-2022"/>
          <s v="27-07-2021"/>
          <s v="26-01-2019"/>
          <s v="23-05-2019"/>
          <s v="27-09-2020"/>
          <s v="10-04-2020"/>
          <s v="29-03-2019"/>
          <s v="01-07-2019"/>
          <s v="30-12-2018"/>
          <s v="23-10-2022"/>
          <s v="26-07-2020"/>
          <s v="24-03-2021"/>
          <s v="03-02-2024"/>
          <s v="02-08-2019"/>
          <s v="26-11-2021"/>
          <s v="03-12-2020"/>
          <s v="24-12-2023"/>
          <s v="27-10-2022"/>
          <s v="05-07-2022"/>
          <s v="15-08-2020"/>
          <s v="19-06-2023"/>
          <s v="23-09-2023"/>
          <s v="24-05-2018"/>
          <s v="30-05-2024"/>
          <s v="21-04-2019"/>
          <s v="17-05-2023"/>
          <s v="08-01-2019"/>
          <s v="15-10-2023"/>
          <s v="26-04-2024"/>
          <s v="06-09-2022"/>
          <s v="16-02-2023"/>
          <s v="10-12-2019"/>
          <s v="06-07-2019"/>
          <s v="Group1"/>
        </groupItems>
      </fieldGroup>
    </cacheField>
  </cacheFields>
  <extLst>
    <ext xmlns:x14="http://schemas.microsoft.com/office/spreadsheetml/2009/9/main" uri="{725AE2AE-9491-48be-B2B4-4EB974FC3084}">
      <x14:pivotCacheDefinition pivotCacheId="1649216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250.547502893518" createdVersion="8" refreshedVersion="8" minRefreshableVersion="3" recordCount="401" xr:uid="{0B6D957F-720E-4E19-8F14-72BC084CD108}">
  <cacheSource type="worksheet">
    <worksheetSource ref="A1:P1048576" sheet="HR_Data"/>
  </cacheSource>
  <cacheFields count="19">
    <cacheField name="Employee ID" numFmtId="0">
      <sharedItems containsString="0" containsBlank="1" containsNumber="1" containsInteger="1" minValue="1001" maxValue="1400"/>
    </cacheField>
    <cacheField name="Employee Name" numFmtId="0">
      <sharedItems containsBlank="1"/>
    </cacheField>
    <cacheField name="Gender" numFmtId="0">
      <sharedItems containsBlank="1"/>
    </cacheField>
    <cacheField name="Age" numFmtId="0">
      <sharedItems containsString="0" containsBlank="1" containsNumber="1" containsInteger="1" minValue="22" maxValue="58"/>
    </cacheField>
    <cacheField name="Department" numFmtId="0">
      <sharedItems containsBlank="1"/>
    </cacheField>
    <cacheField name="Job Title" numFmtId="0">
      <sharedItems containsBlank="1"/>
    </cacheField>
    <cacheField name="City" numFmtId="0">
      <sharedItems containsBlank="1"/>
    </cacheField>
    <cacheField name="Education" numFmtId="0">
      <sharedItems containsBlank="1"/>
    </cacheField>
    <cacheField name="Hire Date" numFmtId="14">
      <sharedItems containsNonDate="0" containsDate="1" containsString="0" containsBlank="1" minDate="2018-01-02T00:00:00" maxDate="2024-06-26T00:00:00" count="368">
        <d v="2023-09-10T00:00:00"/>
        <d v="2020-06-24T00:00:00"/>
        <d v="2018-09-02T00:00:00"/>
        <d v="2023-07-21T00:00:00"/>
        <d v="2024-06-05T00:00:00"/>
        <d v="2024-06-25T00:00:00"/>
        <d v="2019-06-14T00:00:00"/>
        <d v="2022-04-08T00:00:00"/>
        <d v="2023-12-30T00:00:00"/>
        <d v="2022-06-29T00:00:00"/>
        <d v="2018-04-15T00:00:00"/>
        <d v="2018-12-18T00:00:00"/>
        <d v="2023-10-25T00:00:00"/>
        <d v="2018-04-29T00:00:00"/>
        <d v="2020-03-16T00:00:00"/>
        <d v="2022-11-13T00:00:00"/>
        <d v="2019-08-22T00:00:00"/>
        <d v="2020-10-28T00:00:00"/>
        <d v="2019-09-14T00:00:00"/>
        <d v="2023-12-14T00:00:00"/>
        <d v="2023-09-29T00:00:00"/>
        <d v="2022-12-16T00:00:00"/>
        <d v="2019-01-21T00:00:00"/>
        <d v="2022-02-07T00:00:00"/>
        <d v="2020-12-23T00:00:00"/>
        <d v="2022-10-09T00:00:00"/>
        <d v="2023-08-11T00:00:00"/>
        <d v="2018-10-17T00:00:00"/>
        <d v="2020-01-30T00:00:00"/>
        <d v="2018-12-10T00:00:00"/>
        <d v="2021-05-31T00:00:00"/>
        <d v="2022-10-25T00:00:00"/>
        <d v="2024-04-06T00:00:00"/>
        <d v="2018-11-01T00:00:00"/>
        <d v="2018-11-14T00:00:00"/>
        <d v="2021-04-06T00:00:00"/>
        <d v="2022-05-04T00:00:00"/>
        <d v="2020-08-05T00:00:00"/>
        <d v="2022-03-21T00:00:00"/>
        <d v="2018-11-09T00:00:00"/>
        <d v="2022-03-10T00:00:00"/>
        <d v="2019-06-06T00:00:00"/>
        <d v="2019-10-25T00:00:00"/>
        <d v="2019-12-17T00:00:00"/>
        <d v="2018-09-12T00:00:00"/>
        <d v="2019-09-15T00:00:00"/>
        <d v="2023-12-04T00:00:00"/>
        <d v="2021-07-19T00:00:00"/>
        <d v="2020-11-19T00:00:00"/>
        <d v="2018-10-04T00:00:00"/>
        <d v="2023-06-10T00:00:00"/>
        <d v="2023-01-16T00:00:00"/>
        <d v="2022-12-18T00:00:00"/>
        <d v="2023-04-24T00:00:00"/>
        <d v="2018-09-14T00:00:00"/>
        <d v="2018-01-16T00:00:00"/>
        <d v="2023-07-27T00:00:00"/>
        <d v="2020-10-09T00:00:00"/>
        <d v="2022-09-21T00:00:00"/>
        <d v="2021-01-01T00:00:00"/>
        <d v="2020-10-04T00:00:00"/>
        <d v="2019-05-04T00:00:00"/>
        <d v="2020-06-10T00:00:00"/>
        <d v="2018-05-09T00:00:00"/>
        <d v="2018-07-30T00:00:00"/>
        <d v="2022-10-02T00:00:00"/>
        <d v="2019-12-05T00:00:00"/>
        <d v="2022-05-08T00:00:00"/>
        <d v="2019-10-03T00:00:00"/>
        <d v="2020-10-17T00:00:00"/>
        <d v="2023-04-23T00:00:00"/>
        <d v="2023-09-27T00:00:00"/>
        <d v="2018-09-26T00:00:00"/>
        <d v="2022-03-05T00:00:00"/>
        <d v="2023-11-06T00:00:00"/>
        <d v="2019-12-25T00:00:00"/>
        <d v="2019-03-12T00:00:00"/>
        <d v="2023-01-21T00:00:00"/>
        <d v="2018-01-02T00:00:00"/>
        <d v="2023-09-08T00:00:00"/>
        <d v="2023-01-28T00:00:00"/>
        <d v="2020-06-07T00:00:00"/>
        <d v="2018-01-27T00:00:00"/>
        <d v="2019-03-13T00:00:00"/>
        <d v="2018-09-28T00:00:00"/>
        <d v="2019-02-14T00:00:00"/>
        <d v="2021-08-07T00:00:00"/>
        <d v="2024-06-11T00:00:00"/>
        <d v="2023-10-12T00:00:00"/>
        <d v="2019-01-25T00:00:00"/>
        <d v="2023-03-03T00:00:00"/>
        <d v="2022-12-03T00:00:00"/>
        <d v="2021-08-30T00:00:00"/>
        <d v="2022-11-17T00:00:00"/>
        <d v="2018-04-01T00:00:00"/>
        <d v="2020-11-30T00:00:00"/>
        <d v="2018-02-13T00:00:00"/>
        <d v="2021-01-28T00:00:00"/>
        <d v="2021-12-24T00:00:00"/>
        <d v="2021-11-14T00:00:00"/>
        <d v="2022-07-07T00:00:00"/>
        <d v="2019-05-01T00:00:00"/>
        <d v="2021-08-06T00:00:00"/>
        <d v="2019-01-20T00:00:00"/>
        <d v="2023-11-23T00:00:00"/>
        <d v="2023-08-26T00:00:00"/>
        <d v="2024-03-20T00:00:00"/>
        <d v="2023-02-19T00:00:00"/>
        <d v="2022-09-24T00:00:00"/>
        <d v="2018-02-27T00:00:00"/>
        <d v="2018-01-20T00:00:00"/>
        <d v="2018-07-25T00:00:00"/>
        <d v="2018-02-16T00:00:00"/>
        <d v="2024-06-13T00:00:00"/>
        <d v="2018-09-06T00:00:00"/>
        <d v="2020-08-17T00:00:00"/>
        <d v="2022-04-26T00:00:00"/>
        <d v="2020-02-27T00:00:00"/>
        <d v="2022-03-03T00:00:00"/>
        <d v="2022-10-11T00:00:00"/>
        <d v="2018-07-28T00:00:00"/>
        <d v="2022-05-30T00:00:00"/>
        <d v="2023-10-04T00:00:00"/>
        <d v="2021-08-19T00:00:00"/>
        <d v="2020-06-22T00:00:00"/>
        <d v="2023-05-10T00:00:00"/>
        <d v="2019-09-30T00:00:00"/>
        <d v="2024-04-12T00:00:00"/>
        <d v="2018-08-24T00:00:00"/>
        <d v="2020-06-13T00:00:00"/>
        <d v="2020-04-23T00:00:00"/>
        <d v="2023-07-13T00:00:00"/>
        <d v="2023-10-31T00:00:00"/>
        <d v="2018-04-16T00:00:00"/>
        <d v="2018-03-14T00:00:00"/>
        <d v="2023-08-14T00:00:00"/>
        <d v="2019-08-24T00:00:00"/>
        <d v="2018-03-27T00:00:00"/>
        <d v="2019-05-14T00:00:00"/>
        <d v="2023-12-27T00:00:00"/>
        <d v="2024-02-25T00:00:00"/>
        <d v="2024-02-15T00:00:00"/>
        <d v="2018-03-31T00:00:00"/>
        <d v="2021-10-12T00:00:00"/>
        <d v="2024-03-02T00:00:00"/>
        <d v="2021-04-14T00:00:00"/>
        <d v="2022-03-25T00:00:00"/>
        <d v="2024-01-07T00:00:00"/>
        <d v="2020-07-28T00:00:00"/>
        <d v="2022-01-25T00:00:00"/>
        <d v="2020-02-10T00:00:00"/>
        <d v="2019-02-08T00:00:00"/>
        <d v="2019-02-15T00:00:00"/>
        <d v="2018-05-15T00:00:00"/>
        <d v="2022-12-06T00:00:00"/>
        <d v="2022-05-16T00:00:00"/>
        <d v="2018-02-01T00:00:00"/>
        <d v="2020-02-23T00:00:00"/>
        <d v="2019-06-08T00:00:00"/>
        <d v="2020-04-17T00:00:00"/>
        <d v="2021-01-12T00:00:00"/>
        <d v="2018-10-06T00:00:00"/>
        <d v="2021-12-28T00:00:00"/>
        <d v="2021-12-13T00:00:00"/>
        <d v="2018-06-10T00:00:00"/>
        <d v="2018-06-25T00:00:00"/>
        <d v="2021-02-25T00:00:00"/>
        <d v="2024-04-09T00:00:00"/>
        <d v="2019-07-16T00:00:00"/>
        <d v="2020-09-13T00:00:00"/>
        <d v="2023-06-17T00:00:00"/>
        <d v="2019-11-20T00:00:00"/>
        <d v="2020-02-17T00:00:00"/>
        <d v="2021-04-28T00:00:00"/>
        <d v="2022-02-18T00:00:00"/>
        <d v="2019-10-08T00:00:00"/>
        <d v="2019-12-24T00:00:00"/>
        <d v="2018-09-03T00:00:00"/>
        <d v="2018-12-16T00:00:00"/>
        <d v="2024-02-24T00:00:00"/>
        <d v="2018-10-28T00:00:00"/>
        <d v="2018-12-26T00:00:00"/>
        <d v="2023-11-20T00:00:00"/>
        <d v="2020-03-02T00:00:00"/>
        <d v="2019-08-14T00:00:00"/>
        <d v="2018-11-02T00:00:00"/>
        <d v="2018-01-25T00:00:00"/>
        <d v="2020-12-09T00:00:00"/>
        <d v="2018-10-23T00:00:00"/>
        <d v="2018-09-29T00:00:00"/>
        <d v="2022-10-21T00:00:00"/>
        <d v="2018-07-15T00:00:00"/>
        <d v="2018-01-21T00:00:00"/>
        <d v="2022-08-24T00:00:00"/>
        <d v="2019-10-04T00:00:00"/>
        <d v="2021-06-20T00:00:00"/>
        <d v="2022-01-24T00:00:00"/>
        <d v="2019-10-26T00:00:00"/>
        <d v="2018-03-05T00:00:00"/>
        <d v="2020-12-10T00:00:00"/>
        <d v="2021-03-03T00:00:00"/>
        <d v="2018-07-09T00:00:00"/>
        <d v="2021-12-11T00:00:00"/>
        <d v="2018-06-05T00:00:00"/>
        <d v="2022-10-22T00:00:00"/>
        <d v="2019-12-27T00:00:00"/>
        <d v="2024-02-07T00:00:00"/>
        <d v="2019-08-09T00:00:00"/>
        <d v="2022-05-31T00:00:00"/>
        <d v="2020-06-25T00:00:00"/>
        <d v="2021-08-11T00:00:00"/>
        <d v="2018-12-27T00:00:00"/>
        <d v="2023-11-03T00:00:00"/>
        <d v="2021-01-29T00:00:00"/>
        <d v="2021-09-11T00:00:00"/>
        <d v="2019-12-23T00:00:00"/>
        <d v="2023-02-27T00:00:00"/>
        <d v="2018-08-13T00:00:00"/>
        <d v="2021-01-30T00:00:00"/>
        <d v="2018-07-29T00:00:00"/>
        <d v="2022-12-28T00:00:00"/>
        <d v="2021-04-22T00:00:00"/>
        <d v="2022-10-06T00:00:00"/>
        <d v="2020-05-28T00:00:00"/>
        <d v="2019-09-02T00:00:00"/>
        <d v="2019-01-16T00:00:00"/>
        <d v="2018-01-06T00:00:00"/>
        <d v="2021-05-06T00:00:00"/>
        <d v="2019-06-25T00:00:00"/>
        <d v="2020-09-04T00:00:00"/>
        <d v="2024-03-24T00:00:00"/>
        <d v="2019-12-03T00:00:00"/>
        <d v="2018-10-27T00:00:00"/>
        <d v="2023-05-19T00:00:00"/>
        <d v="2023-07-26T00:00:00"/>
        <d v="2020-03-22T00:00:00"/>
        <d v="2022-10-14T00:00:00"/>
        <d v="2021-12-19T00:00:00"/>
        <d v="2020-01-25T00:00:00"/>
        <d v="2019-12-20T00:00:00"/>
        <d v="2021-09-18T00:00:00"/>
        <d v="2021-06-28T00:00:00"/>
        <d v="2019-12-12T00:00:00"/>
        <d v="2021-02-10T00:00:00"/>
        <d v="2021-05-04T00:00:00"/>
        <d v="2022-01-21T00:00:00"/>
        <d v="2021-02-16T00:00:00"/>
        <d v="2018-02-18T00:00:00"/>
        <d v="2019-04-28T00:00:00"/>
        <d v="2020-05-22T00:00:00"/>
        <d v="2020-06-29T00:00:00"/>
        <d v="2020-07-05T00:00:00"/>
        <d v="2019-07-23T00:00:00"/>
        <d v="2019-01-02T00:00:00"/>
        <d v="2019-07-02T00:00:00"/>
        <d v="2018-11-10T00:00:00"/>
        <d v="2020-04-22T00:00:00"/>
        <d v="2021-12-26T00:00:00"/>
        <d v="2023-05-05T00:00:00"/>
        <d v="2019-10-22T00:00:00"/>
        <d v="2021-10-18T00:00:00"/>
        <d v="2023-02-13T00:00:00"/>
        <d v="2019-04-30T00:00:00"/>
        <d v="2023-03-26T00:00:00"/>
        <d v="2020-02-05T00:00:00"/>
        <d v="2024-02-13T00:00:00"/>
        <d v="2018-12-20T00:00:00"/>
        <d v="2018-01-29T00:00:00"/>
        <d v="2022-10-31T00:00:00"/>
        <d v="2019-01-23T00:00:00"/>
        <d v="2022-01-01T00:00:00"/>
        <d v="2018-09-21T00:00:00"/>
        <d v="2022-11-02T00:00:00"/>
        <d v="2020-11-28T00:00:00"/>
        <d v="2022-01-20T00:00:00"/>
        <d v="2019-01-24T00:00:00"/>
        <d v="2020-02-18T00:00:00"/>
        <d v="2018-12-31T00:00:00"/>
        <d v="2019-11-12T00:00:00"/>
        <d v="2023-04-17T00:00:00"/>
        <d v="2023-07-09T00:00:00"/>
        <d v="2023-04-06T00:00:00"/>
        <d v="2023-11-07T00:00:00"/>
        <d v="2021-02-23T00:00:00"/>
        <d v="2019-07-25T00:00:00"/>
        <d v="2023-06-07T00:00:00"/>
        <d v="2018-05-11T00:00:00"/>
        <d v="2024-02-23T00:00:00"/>
        <d v="2019-11-18T00:00:00"/>
        <d v="2021-04-01T00:00:00"/>
        <d v="2024-04-05T00:00:00"/>
        <d v="2024-02-01T00:00:00"/>
        <d v="2018-05-27T00:00:00"/>
        <d v="2023-02-07T00:00:00"/>
        <d v="2020-10-16T00:00:00"/>
        <d v="2023-11-10T00:00:00"/>
        <d v="2020-12-13T00:00:00"/>
        <d v="2022-11-19T00:00:00"/>
        <d v="2021-10-20T00:00:00"/>
        <d v="2023-10-06T00:00:00"/>
        <d v="2018-10-14T00:00:00"/>
        <d v="2023-02-10T00:00:00"/>
        <d v="2019-12-13T00:00:00"/>
        <d v="2020-01-28T00:00:00"/>
        <d v="2021-11-09T00:00:00"/>
        <d v="2022-03-30T00:00:00"/>
        <d v="2021-06-11T00:00:00"/>
        <d v="2023-03-07T00:00:00"/>
        <d v="2019-03-10T00:00:00"/>
        <d v="2024-05-17T00:00:00"/>
        <d v="2022-02-11T00:00:00"/>
        <d v="2022-03-29T00:00:00"/>
        <d v="2020-05-31T00:00:00"/>
        <d v="2020-06-05T00:00:00"/>
        <d v="2023-03-09T00:00:00"/>
        <d v="2023-02-28T00:00:00"/>
        <d v="2020-06-14T00:00:00"/>
        <d v="2020-03-21T00:00:00"/>
        <d v="2021-12-12T00:00:00"/>
        <d v="2018-01-17T00:00:00"/>
        <d v="2021-08-16T00:00:00"/>
        <d v="2024-05-04T00:00:00"/>
        <d v="2022-03-26T00:00:00"/>
        <d v="2024-03-06T00:00:00"/>
        <d v="2018-06-06T00:00:00"/>
        <d v="2019-05-11T00:00:00"/>
        <d v="2022-12-30T00:00:00"/>
        <d v="2019-12-18T00:00:00"/>
        <d v="2022-03-23T00:00:00"/>
        <d v="2021-02-07T00:00:00"/>
        <d v="2020-11-23T00:00:00"/>
        <d v="2018-08-08T00:00:00"/>
        <d v="2018-12-02T00:00:00"/>
        <d v="2020-12-02T00:00:00"/>
        <d v="2022-12-22T00:00:00"/>
        <d v="2021-07-27T00:00:00"/>
        <d v="2019-01-26T00:00:00"/>
        <d v="2019-05-23T00:00:00"/>
        <d v="2020-09-27T00:00:00"/>
        <d v="2020-04-10T00:00:00"/>
        <d v="2019-03-29T00:00:00"/>
        <d v="2019-07-01T00:00:00"/>
        <d v="2018-12-30T00:00:00"/>
        <d v="2022-10-23T00:00:00"/>
        <d v="2020-07-26T00:00:00"/>
        <d v="2021-03-24T00:00:00"/>
        <d v="2024-02-03T00:00:00"/>
        <d v="2019-08-02T00:00:00"/>
        <d v="2021-11-26T00:00:00"/>
        <d v="2020-12-03T00:00:00"/>
        <d v="2023-12-24T00:00:00"/>
        <d v="2022-10-27T00:00:00"/>
        <d v="2022-07-05T00:00:00"/>
        <d v="2020-08-15T00:00:00"/>
        <d v="2023-06-19T00:00:00"/>
        <d v="2023-09-23T00:00:00"/>
        <d v="2018-05-24T00:00:00"/>
        <d v="2024-05-30T00:00:00"/>
        <d v="2019-04-21T00:00:00"/>
        <d v="2023-05-17T00:00:00"/>
        <d v="2019-01-08T00:00:00"/>
        <d v="2023-10-15T00:00:00"/>
        <d v="2024-04-26T00:00:00"/>
        <d v="2022-09-06T00:00:00"/>
        <d v="2023-02-16T00:00:00"/>
        <d v="2019-12-10T00:00:00"/>
        <d v="2019-07-06T00:00:00"/>
        <m/>
      </sharedItems>
      <fieldGroup par="18"/>
    </cacheField>
    <cacheField name="Attrition" numFmtId="0">
      <sharedItems containsBlank="1"/>
    </cacheField>
    <cacheField name="Exit Date" numFmtId="14">
      <sharedItems containsBlank="1"/>
    </cacheField>
    <cacheField name="Salary" numFmtId="0">
      <sharedItems containsString="0" containsBlank="1" containsNumber="1" containsInteger="1" minValue="27300" maxValue="144300"/>
    </cacheField>
    <cacheField name="Performance Rating" numFmtId="0">
      <sharedItems containsString="0" containsBlank="1" containsNumber="1" containsInteger="1" minValue="1" maxValue="5"/>
    </cacheField>
    <cacheField name="Satisfaction Score" numFmtId="0">
      <sharedItems containsString="0" containsBlank="1" containsNumber="1" containsInteger="1" minValue="1" maxValue="5"/>
    </cacheField>
    <cacheField name="Overtime" numFmtId="0">
      <sharedItems containsBlank="1"/>
    </cacheField>
    <cacheField name="Marital Status" numFmtId="0">
      <sharedItems containsBlank="1"/>
    </cacheField>
    <cacheField name="Months (Hire Date)" numFmtId="0" databaseField="0">
      <fieldGroup base="8">
        <rangePr groupBy="months" startDate="2018-01-02T00:00:00" endDate="2024-06-26T00:00:00"/>
        <groupItems count="14">
          <s v="&lt;02-01-2018"/>
          <s v="Jan"/>
          <s v="Feb"/>
          <s v="Mar"/>
          <s v="Apr"/>
          <s v="May"/>
          <s v="Jun"/>
          <s v="Jul"/>
          <s v="Aug"/>
          <s v="Sep"/>
          <s v="Oct"/>
          <s v="Nov"/>
          <s v="Dec"/>
          <s v="&gt;26-06-2024"/>
        </groupItems>
      </fieldGroup>
    </cacheField>
    <cacheField name="Quarters (Hire Date)" numFmtId="0" databaseField="0">
      <fieldGroup base="8">
        <rangePr groupBy="quarters" startDate="2018-01-02T00:00:00" endDate="2024-06-26T00:00:00"/>
        <groupItems count="6">
          <s v="&lt;02-01-2018"/>
          <s v="Qtr1"/>
          <s v="Qtr2"/>
          <s v="Qtr3"/>
          <s v="Qtr4"/>
          <s v="&gt;26-06-2024"/>
        </groupItems>
      </fieldGroup>
    </cacheField>
    <cacheField name="Years (Hire Date)" numFmtId="0" databaseField="0">
      <fieldGroup base="8">
        <rangePr groupBy="years" startDate="2018-01-02T00:00:00" endDate="2024-06-26T00:00:00"/>
        <groupItems count="9">
          <s v="&lt;02-01-2018"/>
          <s v="2018"/>
          <s v="2019"/>
          <s v="2020"/>
          <s v="2021"/>
          <s v="2022"/>
          <s v="2023"/>
          <s v="2024"/>
          <s v="&gt;26-06-2024"/>
        </groupItems>
      </fieldGroup>
    </cacheField>
  </cacheFields>
  <extLst>
    <ext xmlns:x14="http://schemas.microsoft.com/office/spreadsheetml/2009/9/main" uri="{725AE2AE-9491-48be-B2B4-4EB974FC3084}">
      <x14:pivotCacheDefinition pivotCacheId="875221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n v="1001"/>
    <s v="Rohan Patel"/>
    <x v="0"/>
    <n v="25"/>
    <x v="0"/>
    <x v="0"/>
    <x v="0"/>
    <s v="MBA"/>
    <x v="0"/>
    <x v="0"/>
    <m/>
    <x v="0"/>
    <x v="0"/>
    <n v="2"/>
    <s v="Yes"/>
    <s v="Married"/>
  </r>
  <r>
    <n v="1002"/>
    <s v="Vihaan Pillai"/>
    <x v="1"/>
    <n v="25"/>
    <x v="1"/>
    <x v="1"/>
    <x v="1"/>
    <s v="Diploma"/>
    <x v="1"/>
    <x v="0"/>
    <m/>
    <x v="1"/>
    <x v="1"/>
    <n v="2"/>
    <s v="Yes"/>
    <s v="Married"/>
  </r>
  <r>
    <n v="1003"/>
    <s v="Simran Reddy"/>
    <x v="1"/>
    <n v="58"/>
    <x v="1"/>
    <x v="2"/>
    <x v="0"/>
    <s v="Bachelor's"/>
    <x v="2"/>
    <x v="0"/>
    <m/>
    <x v="2"/>
    <x v="2"/>
    <n v="3"/>
    <s v="No"/>
    <s v="Married"/>
  </r>
  <r>
    <n v="1004"/>
    <s v="Sanya Malhotra"/>
    <x v="1"/>
    <n v="55"/>
    <x v="2"/>
    <x v="3"/>
    <x v="0"/>
    <s v="MBA"/>
    <x v="3"/>
    <x v="0"/>
    <m/>
    <x v="3"/>
    <x v="3"/>
    <n v="1"/>
    <s v="Yes"/>
    <s v="Married"/>
  </r>
  <r>
    <n v="1005"/>
    <s v="Ananya Kapoor"/>
    <x v="1"/>
    <n v="57"/>
    <x v="3"/>
    <x v="4"/>
    <x v="1"/>
    <s v="Bachelor's"/>
    <x v="4"/>
    <x v="0"/>
    <m/>
    <x v="4"/>
    <x v="3"/>
    <n v="3"/>
    <s v="No"/>
    <s v="Married"/>
  </r>
  <r>
    <n v="1006"/>
    <s v="Meera Gupta"/>
    <x v="0"/>
    <n v="41"/>
    <x v="3"/>
    <x v="5"/>
    <x v="0"/>
    <s v="Bachelor's"/>
    <x v="5"/>
    <x v="0"/>
    <m/>
    <x v="5"/>
    <x v="3"/>
    <n v="4"/>
    <s v="No"/>
    <s v="Single"/>
  </r>
  <r>
    <n v="1007"/>
    <s v="Karan Joshi"/>
    <x v="1"/>
    <n v="40"/>
    <x v="4"/>
    <x v="6"/>
    <x v="1"/>
    <s v="Master's"/>
    <x v="6"/>
    <x v="0"/>
    <m/>
    <x v="6"/>
    <x v="2"/>
    <n v="4"/>
    <s v="Yes"/>
    <s v="Single"/>
  </r>
  <r>
    <n v="1008"/>
    <s v="Karan Mehta"/>
    <x v="0"/>
    <n v="44"/>
    <x v="2"/>
    <x v="7"/>
    <x v="2"/>
    <s v="Diploma"/>
    <x v="7"/>
    <x v="1"/>
    <s v="26-08-2023"/>
    <x v="7"/>
    <x v="2"/>
    <n v="2"/>
    <s v="Yes"/>
    <s v="Married"/>
  </r>
  <r>
    <n v="1009"/>
    <s v="Suresh Pillai"/>
    <x v="1"/>
    <n v="48"/>
    <x v="5"/>
    <x v="8"/>
    <x v="1"/>
    <s v="Master's"/>
    <x v="8"/>
    <x v="0"/>
    <m/>
    <x v="8"/>
    <x v="3"/>
    <n v="5"/>
    <s v="Yes"/>
    <s v="Married"/>
  </r>
  <r>
    <n v="1010"/>
    <s v="Manish Desai"/>
    <x v="0"/>
    <n v="52"/>
    <x v="6"/>
    <x v="9"/>
    <x v="3"/>
    <s v="Bachelor's"/>
    <x v="9"/>
    <x v="0"/>
    <m/>
    <x v="9"/>
    <x v="0"/>
    <n v="2"/>
    <s v="Yes"/>
    <s v="Married"/>
  </r>
  <r>
    <n v="1011"/>
    <s v="Divya Verma"/>
    <x v="1"/>
    <n v="45"/>
    <x v="0"/>
    <x v="10"/>
    <x v="4"/>
    <s v="Bachelor's"/>
    <x v="10"/>
    <x v="0"/>
    <m/>
    <x v="10"/>
    <x v="2"/>
    <n v="3"/>
    <s v="No"/>
    <s v="Married"/>
  </r>
  <r>
    <n v="1012"/>
    <s v="Neha Singh"/>
    <x v="1"/>
    <n v="41"/>
    <x v="3"/>
    <x v="4"/>
    <x v="5"/>
    <s v="Diploma"/>
    <x v="11"/>
    <x v="0"/>
    <m/>
    <x v="11"/>
    <x v="3"/>
    <n v="4"/>
    <s v="Yes"/>
    <s v="Single"/>
  </r>
  <r>
    <n v="1013"/>
    <s v="Aarav Agarwal"/>
    <x v="0"/>
    <n v="38"/>
    <x v="2"/>
    <x v="11"/>
    <x v="2"/>
    <s v="Bachelor's"/>
    <x v="12"/>
    <x v="0"/>
    <m/>
    <x v="12"/>
    <x v="2"/>
    <n v="5"/>
    <s v="No"/>
    <s v="Single"/>
  </r>
  <r>
    <n v="1014"/>
    <s v="Divya Nair"/>
    <x v="1"/>
    <n v="44"/>
    <x v="6"/>
    <x v="12"/>
    <x v="6"/>
    <s v="Diploma"/>
    <x v="13"/>
    <x v="0"/>
    <m/>
    <x v="13"/>
    <x v="3"/>
    <n v="2"/>
    <s v="No"/>
    <s v="Married"/>
  </r>
  <r>
    <n v="1015"/>
    <s v="Anjali Joshi"/>
    <x v="0"/>
    <n v="52"/>
    <x v="4"/>
    <x v="13"/>
    <x v="0"/>
    <s v="Master's"/>
    <x v="14"/>
    <x v="0"/>
    <m/>
    <x v="14"/>
    <x v="2"/>
    <n v="5"/>
    <s v="Yes"/>
    <s v="Married"/>
  </r>
  <r>
    <n v="1016"/>
    <s v="Ritu Joshi"/>
    <x v="1"/>
    <n v="33"/>
    <x v="4"/>
    <x v="6"/>
    <x v="6"/>
    <s v="Diploma"/>
    <x v="15"/>
    <x v="0"/>
    <m/>
    <x v="15"/>
    <x v="2"/>
    <n v="4"/>
    <s v="No"/>
    <s v="Married"/>
  </r>
  <r>
    <n v="1017"/>
    <s v="Sneha Gupta"/>
    <x v="1"/>
    <n v="51"/>
    <x v="2"/>
    <x v="3"/>
    <x v="1"/>
    <s v="Master's"/>
    <x v="16"/>
    <x v="0"/>
    <m/>
    <x v="16"/>
    <x v="3"/>
    <n v="3"/>
    <s v="Yes"/>
    <s v="Single"/>
  </r>
  <r>
    <n v="1018"/>
    <s v="Ishita Sharma"/>
    <x v="1"/>
    <n v="23"/>
    <x v="2"/>
    <x v="7"/>
    <x v="6"/>
    <s v="Master's"/>
    <x v="17"/>
    <x v="0"/>
    <m/>
    <x v="17"/>
    <x v="3"/>
    <n v="3"/>
    <s v="No"/>
    <s v="Married"/>
  </r>
  <r>
    <n v="1019"/>
    <s v="Suresh Patel"/>
    <x v="1"/>
    <n v="56"/>
    <x v="7"/>
    <x v="14"/>
    <x v="3"/>
    <s v="Master's"/>
    <x v="18"/>
    <x v="0"/>
    <m/>
    <x v="18"/>
    <x v="4"/>
    <n v="2"/>
    <s v="Yes"/>
    <s v="Single"/>
  </r>
  <r>
    <n v="1020"/>
    <s v="Ananya Patel"/>
    <x v="0"/>
    <n v="55"/>
    <x v="4"/>
    <x v="15"/>
    <x v="1"/>
    <s v="MBA"/>
    <x v="19"/>
    <x v="1"/>
    <s v="11-03-2024"/>
    <x v="19"/>
    <x v="3"/>
    <n v="2"/>
    <s v="Yes"/>
    <s v="Married"/>
  </r>
  <r>
    <n v="1021"/>
    <s v="Vihaan Singh"/>
    <x v="0"/>
    <n v="54"/>
    <x v="0"/>
    <x v="0"/>
    <x v="5"/>
    <s v="MBA"/>
    <x v="20"/>
    <x v="0"/>
    <m/>
    <x v="20"/>
    <x v="2"/>
    <n v="4"/>
    <s v="Yes"/>
    <s v="Married"/>
  </r>
  <r>
    <n v="1022"/>
    <s v="Ritu Desai"/>
    <x v="1"/>
    <n v="47"/>
    <x v="3"/>
    <x v="16"/>
    <x v="3"/>
    <s v="Bachelor's"/>
    <x v="21"/>
    <x v="0"/>
    <m/>
    <x v="21"/>
    <x v="3"/>
    <n v="2"/>
    <s v="No"/>
    <s v="Single"/>
  </r>
  <r>
    <n v="1023"/>
    <s v="Manish Patel"/>
    <x v="0"/>
    <n v="36"/>
    <x v="2"/>
    <x v="17"/>
    <x v="4"/>
    <s v="Diploma"/>
    <x v="22"/>
    <x v="0"/>
    <m/>
    <x v="22"/>
    <x v="2"/>
    <n v="2"/>
    <s v="Yes"/>
    <s v="Married"/>
  </r>
  <r>
    <n v="1024"/>
    <s v="Rahul Mehta"/>
    <x v="0"/>
    <n v="27"/>
    <x v="6"/>
    <x v="12"/>
    <x v="7"/>
    <s v="MBA"/>
    <x v="23"/>
    <x v="0"/>
    <m/>
    <x v="23"/>
    <x v="3"/>
    <n v="1"/>
    <s v="No"/>
    <s v="Married"/>
  </r>
  <r>
    <n v="1025"/>
    <s v="Rahul Saxena"/>
    <x v="0"/>
    <n v="27"/>
    <x v="4"/>
    <x v="13"/>
    <x v="6"/>
    <s v="Bachelor's"/>
    <x v="24"/>
    <x v="0"/>
    <m/>
    <x v="24"/>
    <x v="1"/>
    <n v="2"/>
    <s v="No"/>
    <s v="Married"/>
  </r>
  <r>
    <n v="1026"/>
    <s v="Arjun Patel"/>
    <x v="0"/>
    <n v="33"/>
    <x v="7"/>
    <x v="18"/>
    <x v="2"/>
    <s v="Bachelor's"/>
    <x v="25"/>
    <x v="1"/>
    <s v="06-02-2023"/>
    <x v="25"/>
    <x v="2"/>
    <n v="3"/>
    <s v="Yes"/>
    <s v="Single"/>
  </r>
  <r>
    <n v="1027"/>
    <s v="Meera Chopra"/>
    <x v="1"/>
    <n v="39"/>
    <x v="3"/>
    <x v="16"/>
    <x v="7"/>
    <s v="Diploma"/>
    <x v="6"/>
    <x v="0"/>
    <m/>
    <x v="26"/>
    <x v="3"/>
    <n v="2"/>
    <s v="No"/>
    <s v="Single"/>
  </r>
  <r>
    <n v="1028"/>
    <s v="Ananya Nair"/>
    <x v="0"/>
    <n v="50"/>
    <x v="5"/>
    <x v="19"/>
    <x v="6"/>
    <s v="MBA"/>
    <x v="26"/>
    <x v="0"/>
    <m/>
    <x v="27"/>
    <x v="2"/>
    <n v="3"/>
    <s v="Yes"/>
    <s v="Single"/>
  </r>
  <r>
    <n v="1029"/>
    <s v="Ishita Agarwal"/>
    <x v="1"/>
    <n v="49"/>
    <x v="3"/>
    <x v="16"/>
    <x v="5"/>
    <s v="Bachelor's"/>
    <x v="3"/>
    <x v="0"/>
    <m/>
    <x v="28"/>
    <x v="1"/>
    <n v="3"/>
    <s v="Yes"/>
    <s v="Single"/>
  </r>
  <r>
    <n v="1030"/>
    <s v="Rohan Nair"/>
    <x v="1"/>
    <n v="22"/>
    <x v="6"/>
    <x v="9"/>
    <x v="1"/>
    <s v="Master's"/>
    <x v="27"/>
    <x v="0"/>
    <m/>
    <x v="29"/>
    <x v="1"/>
    <n v="1"/>
    <s v="Yes"/>
    <s v="Married"/>
  </r>
  <r>
    <n v="1031"/>
    <s v="Kavya Agarwal"/>
    <x v="0"/>
    <n v="51"/>
    <x v="1"/>
    <x v="1"/>
    <x v="2"/>
    <s v="Bachelor's"/>
    <x v="28"/>
    <x v="0"/>
    <m/>
    <x v="30"/>
    <x v="2"/>
    <n v="3"/>
    <s v="No"/>
    <s v="Single"/>
  </r>
  <r>
    <n v="1032"/>
    <s v="Vihaan Malhotra"/>
    <x v="1"/>
    <n v="46"/>
    <x v="7"/>
    <x v="18"/>
    <x v="1"/>
    <s v="MBA"/>
    <x v="29"/>
    <x v="0"/>
    <m/>
    <x v="31"/>
    <x v="3"/>
    <n v="5"/>
    <s v="Yes"/>
    <s v="Single"/>
  </r>
  <r>
    <n v="1033"/>
    <s v="Aditi Gupta"/>
    <x v="1"/>
    <n v="41"/>
    <x v="6"/>
    <x v="12"/>
    <x v="3"/>
    <s v="Bachelor's"/>
    <x v="30"/>
    <x v="0"/>
    <m/>
    <x v="32"/>
    <x v="0"/>
    <n v="2"/>
    <s v="No"/>
    <s v="Married"/>
  </r>
  <r>
    <n v="1034"/>
    <s v="Sneha Kumar"/>
    <x v="1"/>
    <n v="54"/>
    <x v="5"/>
    <x v="19"/>
    <x v="4"/>
    <s v="Bachelor's"/>
    <x v="31"/>
    <x v="1"/>
    <s v="13-05-2024"/>
    <x v="33"/>
    <x v="3"/>
    <n v="5"/>
    <s v="Yes"/>
    <s v="Single"/>
  </r>
  <r>
    <n v="1035"/>
    <s v="Meera Sharma"/>
    <x v="1"/>
    <n v="50"/>
    <x v="2"/>
    <x v="17"/>
    <x v="0"/>
    <s v="Diploma"/>
    <x v="32"/>
    <x v="0"/>
    <m/>
    <x v="34"/>
    <x v="4"/>
    <n v="2"/>
    <s v="No"/>
    <s v="Married"/>
  </r>
  <r>
    <n v="1036"/>
    <s v="Ishita Bhatia"/>
    <x v="1"/>
    <n v="38"/>
    <x v="4"/>
    <x v="15"/>
    <x v="0"/>
    <s v="Diploma"/>
    <x v="33"/>
    <x v="0"/>
    <m/>
    <x v="8"/>
    <x v="2"/>
    <n v="2"/>
    <s v="No"/>
    <s v="Married"/>
  </r>
  <r>
    <n v="1037"/>
    <s v="Kavya Mehta"/>
    <x v="1"/>
    <n v="34"/>
    <x v="3"/>
    <x v="5"/>
    <x v="2"/>
    <s v="Bachelor's"/>
    <x v="34"/>
    <x v="0"/>
    <m/>
    <x v="35"/>
    <x v="2"/>
    <n v="3"/>
    <s v="Yes"/>
    <s v="Single"/>
  </r>
  <r>
    <n v="1038"/>
    <s v="Neha Verma"/>
    <x v="0"/>
    <n v="53"/>
    <x v="5"/>
    <x v="19"/>
    <x v="0"/>
    <s v="Master's"/>
    <x v="35"/>
    <x v="0"/>
    <m/>
    <x v="36"/>
    <x v="2"/>
    <n v="1"/>
    <s v="Yes"/>
    <s v="Married"/>
  </r>
  <r>
    <n v="1039"/>
    <s v="Meera Kumar"/>
    <x v="1"/>
    <n v="39"/>
    <x v="5"/>
    <x v="8"/>
    <x v="0"/>
    <s v="Diploma"/>
    <x v="36"/>
    <x v="0"/>
    <m/>
    <x v="37"/>
    <x v="1"/>
    <n v="5"/>
    <s v="Yes"/>
    <s v="Single"/>
  </r>
  <r>
    <n v="1040"/>
    <s v="Sneha Agarwal"/>
    <x v="0"/>
    <n v="45"/>
    <x v="7"/>
    <x v="18"/>
    <x v="2"/>
    <s v="Bachelor's"/>
    <x v="37"/>
    <x v="0"/>
    <m/>
    <x v="13"/>
    <x v="1"/>
    <n v="2"/>
    <s v="Yes"/>
    <s v="Married"/>
  </r>
  <r>
    <n v="1041"/>
    <s v="Pooja Bhatia"/>
    <x v="0"/>
    <n v="44"/>
    <x v="5"/>
    <x v="19"/>
    <x v="4"/>
    <s v="Diploma"/>
    <x v="38"/>
    <x v="1"/>
    <s v="12-03-2024"/>
    <x v="38"/>
    <x v="3"/>
    <n v="4"/>
    <s v="Yes"/>
    <s v="Single"/>
  </r>
  <r>
    <n v="1042"/>
    <s v="Rakesh Sharma"/>
    <x v="0"/>
    <n v="46"/>
    <x v="5"/>
    <x v="8"/>
    <x v="0"/>
    <s v="Diploma"/>
    <x v="39"/>
    <x v="0"/>
    <m/>
    <x v="39"/>
    <x v="2"/>
    <n v="1"/>
    <s v="No"/>
    <s v="Single"/>
  </r>
  <r>
    <n v="1043"/>
    <s v="Vihaan Malhotra"/>
    <x v="1"/>
    <n v="34"/>
    <x v="1"/>
    <x v="2"/>
    <x v="3"/>
    <s v="MBA"/>
    <x v="40"/>
    <x v="1"/>
    <s v="06-07-2024"/>
    <x v="40"/>
    <x v="2"/>
    <n v="5"/>
    <s v="Yes"/>
    <s v="Single"/>
  </r>
  <r>
    <n v="1044"/>
    <s v="Vihaan Rao"/>
    <x v="0"/>
    <n v="57"/>
    <x v="2"/>
    <x v="17"/>
    <x v="5"/>
    <s v="Bachelor's"/>
    <x v="41"/>
    <x v="0"/>
    <m/>
    <x v="41"/>
    <x v="2"/>
    <n v="3"/>
    <s v="No"/>
    <s v="Married"/>
  </r>
  <r>
    <n v="1045"/>
    <s v="Amit Iyer"/>
    <x v="0"/>
    <n v="32"/>
    <x v="3"/>
    <x v="5"/>
    <x v="3"/>
    <s v="Bachelor's"/>
    <x v="42"/>
    <x v="0"/>
    <m/>
    <x v="42"/>
    <x v="3"/>
    <n v="5"/>
    <s v="Yes"/>
    <s v="Married"/>
  </r>
  <r>
    <n v="1046"/>
    <s v="Ritu Kapoor"/>
    <x v="0"/>
    <n v="27"/>
    <x v="6"/>
    <x v="12"/>
    <x v="6"/>
    <s v="Master's"/>
    <x v="43"/>
    <x v="0"/>
    <m/>
    <x v="43"/>
    <x v="0"/>
    <n v="3"/>
    <s v="Yes"/>
    <s v="Single"/>
  </r>
  <r>
    <n v="1047"/>
    <s v="Sneha Rao"/>
    <x v="0"/>
    <n v="43"/>
    <x v="6"/>
    <x v="12"/>
    <x v="3"/>
    <s v="MBA"/>
    <x v="44"/>
    <x v="0"/>
    <m/>
    <x v="44"/>
    <x v="3"/>
    <n v="5"/>
    <s v="Yes"/>
    <s v="Single"/>
  </r>
  <r>
    <n v="1048"/>
    <s v="Aditi Iyer"/>
    <x v="0"/>
    <n v="23"/>
    <x v="6"/>
    <x v="9"/>
    <x v="3"/>
    <s v="MBA"/>
    <x v="41"/>
    <x v="0"/>
    <m/>
    <x v="39"/>
    <x v="3"/>
    <n v="4"/>
    <s v="No"/>
    <s v="Single"/>
  </r>
  <r>
    <n v="1049"/>
    <s v="Meera Mehta"/>
    <x v="0"/>
    <n v="31"/>
    <x v="3"/>
    <x v="16"/>
    <x v="0"/>
    <s v="Master's"/>
    <x v="45"/>
    <x v="0"/>
    <m/>
    <x v="45"/>
    <x v="3"/>
    <n v="4"/>
    <s v="Yes"/>
    <s v="Single"/>
  </r>
  <r>
    <n v="1050"/>
    <s v="Ishita Patel"/>
    <x v="1"/>
    <n v="38"/>
    <x v="0"/>
    <x v="10"/>
    <x v="2"/>
    <s v="Master's"/>
    <x v="46"/>
    <x v="1"/>
    <s v="15-03-2024"/>
    <x v="46"/>
    <x v="3"/>
    <n v="3"/>
    <s v="Yes"/>
    <s v="Married"/>
  </r>
  <r>
    <n v="1051"/>
    <s v="Aditi Iyer"/>
    <x v="1"/>
    <n v="39"/>
    <x v="0"/>
    <x v="10"/>
    <x v="2"/>
    <s v="Diploma"/>
    <x v="47"/>
    <x v="0"/>
    <m/>
    <x v="47"/>
    <x v="1"/>
    <n v="2"/>
    <s v="Yes"/>
    <s v="Single"/>
  </r>
  <r>
    <n v="1052"/>
    <s v="Priya Malhotra"/>
    <x v="1"/>
    <n v="27"/>
    <x v="0"/>
    <x v="0"/>
    <x v="5"/>
    <s v="Diploma"/>
    <x v="48"/>
    <x v="0"/>
    <m/>
    <x v="48"/>
    <x v="2"/>
    <n v="4"/>
    <s v="Yes"/>
    <s v="Married"/>
  </r>
  <r>
    <n v="1053"/>
    <s v="Rakesh Rao"/>
    <x v="0"/>
    <n v="54"/>
    <x v="6"/>
    <x v="12"/>
    <x v="1"/>
    <s v="MBA"/>
    <x v="49"/>
    <x v="0"/>
    <m/>
    <x v="49"/>
    <x v="1"/>
    <n v="2"/>
    <s v="Yes"/>
    <s v="Married"/>
  </r>
  <r>
    <n v="1054"/>
    <s v="Riya Chopra"/>
    <x v="0"/>
    <n v="36"/>
    <x v="4"/>
    <x v="15"/>
    <x v="5"/>
    <s v="Master's"/>
    <x v="50"/>
    <x v="0"/>
    <m/>
    <x v="50"/>
    <x v="3"/>
    <n v="2"/>
    <s v="No"/>
    <s v="Single"/>
  </r>
  <r>
    <n v="1055"/>
    <s v="Aarav Sharma"/>
    <x v="1"/>
    <n v="47"/>
    <x v="6"/>
    <x v="12"/>
    <x v="1"/>
    <s v="Master's"/>
    <x v="51"/>
    <x v="0"/>
    <m/>
    <x v="51"/>
    <x v="1"/>
    <n v="1"/>
    <s v="Yes"/>
    <s v="Married"/>
  </r>
  <r>
    <n v="1056"/>
    <s v="Aarav Reddy"/>
    <x v="0"/>
    <n v="43"/>
    <x v="0"/>
    <x v="20"/>
    <x v="3"/>
    <s v="MBA"/>
    <x v="52"/>
    <x v="0"/>
    <m/>
    <x v="52"/>
    <x v="4"/>
    <n v="3"/>
    <s v="No"/>
    <s v="Single"/>
  </r>
  <r>
    <n v="1057"/>
    <s v="Simran Nair"/>
    <x v="0"/>
    <n v="25"/>
    <x v="7"/>
    <x v="14"/>
    <x v="3"/>
    <s v="Bachelor's"/>
    <x v="53"/>
    <x v="0"/>
    <m/>
    <x v="53"/>
    <x v="3"/>
    <n v="3"/>
    <s v="No"/>
    <s v="Married"/>
  </r>
  <r>
    <n v="1058"/>
    <s v="Ishita Rao"/>
    <x v="1"/>
    <n v="51"/>
    <x v="6"/>
    <x v="12"/>
    <x v="3"/>
    <s v="Bachelor's"/>
    <x v="54"/>
    <x v="0"/>
    <m/>
    <x v="54"/>
    <x v="0"/>
    <n v="1"/>
    <s v="No"/>
    <s v="Married"/>
  </r>
  <r>
    <n v="1059"/>
    <s v="Aditi Kapoor"/>
    <x v="1"/>
    <n v="41"/>
    <x v="5"/>
    <x v="19"/>
    <x v="7"/>
    <s v="MBA"/>
    <x v="55"/>
    <x v="0"/>
    <m/>
    <x v="55"/>
    <x v="3"/>
    <n v="1"/>
    <s v="Yes"/>
    <s v="Single"/>
  </r>
  <r>
    <n v="1060"/>
    <s v="Nishant Kumar"/>
    <x v="0"/>
    <n v="30"/>
    <x v="6"/>
    <x v="9"/>
    <x v="3"/>
    <s v="Diploma"/>
    <x v="56"/>
    <x v="0"/>
    <m/>
    <x v="56"/>
    <x v="3"/>
    <n v="2"/>
    <s v="Yes"/>
    <s v="Married"/>
  </r>
  <r>
    <n v="1061"/>
    <s v="Kavya Kapoor"/>
    <x v="0"/>
    <n v="32"/>
    <x v="7"/>
    <x v="18"/>
    <x v="6"/>
    <s v="Diploma"/>
    <x v="57"/>
    <x v="0"/>
    <m/>
    <x v="57"/>
    <x v="3"/>
    <n v="5"/>
    <s v="No"/>
    <s v="Single"/>
  </r>
  <r>
    <n v="1062"/>
    <s v="Priya Singh"/>
    <x v="1"/>
    <n v="28"/>
    <x v="5"/>
    <x v="19"/>
    <x v="0"/>
    <s v="Master's"/>
    <x v="58"/>
    <x v="0"/>
    <m/>
    <x v="58"/>
    <x v="3"/>
    <n v="2"/>
    <s v="Yes"/>
    <s v="Married"/>
  </r>
  <r>
    <n v="1063"/>
    <s v="Karan Saxena"/>
    <x v="1"/>
    <n v="58"/>
    <x v="4"/>
    <x v="6"/>
    <x v="2"/>
    <s v="MBA"/>
    <x v="59"/>
    <x v="0"/>
    <m/>
    <x v="59"/>
    <x v="3"/>
    <n v="2"/>
    <s v="Yes"/>
    <s v="Single"/>
  </r>
  <r>
    <n v="1064"/>
    <s v="Riya Patel"/>
    <x v="0"/>
    <n v="38"/>
    <x v="1"/>
    <x v="2"/>
    <x v="0"/>
    <s v="Diploma"/>
    <x v="60"/>
    <x v="0"/>
    <m/>
    <x v="60"/>
    <x v="2"/>
    <n v="4"/>
    <s v="Yes"/>
    <s v="Single"/>
  </r>
  <r>
    <n v="1065"/>
    <s v="Ishita Kumar"/>
    <x v="1"/>
    <n v="36"/>
    <x v="3"/>
    <x v="4"/>
    <x v="1"/>
    <s v="MBA"/>
    <x v="61"/>
    <x v="0"/>
    <m/>
    <x v="20"/>
    <x v="3"/>
    <n v="2"/>
    <s v="Yes"/>
    <s v="Married"/>
  </r>
  <r>
    <n v="1066"/>
    <s v="Rahul Reddy"/>
    <x v="0"/>
    <n v="44"/>
    <x v="5"/>
    <x v="19"/>
    <x v="1"/>
    <s v="Bachelor's"/>
    <x v="62"/>
    <x v="1"/>
    <s v="14-12-2021"/>
    <x v="61"/>
    <x v="2"/>
    <n v="1"/>
    <s v="Yes"/>
    <s v="Single"/>
  </r>
  <r>
    <n v="1067"/>
    <s v="Suresh Kapoor"/>
    <x v="0"/>
    <n v="35"/>
    <x v="7"/>
    <x v="18"/>
    <x v="2"/>
    <s v="Bachelor's"/>
    <x v="63"/>
    <x v="1"/>
    <s v="28-07-2019"/>
    <x v="62"/>
    <x v="3"/>
    <n v="4"/>
    <s v="Yes"/>
    <s v="Single"/>
  </r>
  <r>
    <n v="1068"/>
    <s v="Amit Reddy"/>
    <x v="0"/>
    <n v="48"/>
    <x v="5"/>
    <x v="8"/>
    <x v="2"/>
    <s v="MBA"/>
    <x v="64"/>
    <x v="0"/>
    <m/>
    <x v="63"/>
    <x v="3"/>
    <n v="4"/>
    <s v="Yes"/>
    <s v="Married"/>
  </r>
  <r>
    <n v="1069"/>
    <s v="Amit Nair"/>
    <x v="0"/>
    <n v="32"/>
    <x v="6"/>
    <x v="12"/>
    <x v="1"/>
    <s v="Diploma"/>
    <x v="65"/>
    <x v="0"/>
    <m/>
    <x v="64"/>
    <x v="0"/>
    <n v="3"/>
    <s v="No"/>
    <s v="Single"/>
  </r>
  <r>
    <n v="1070"/>
    <s v="Kabir Sharma"/>
    <x v="1"/>
    <n v="54"/>
    <x v="2"/>
    <x v="7"/>
    <x v="0"/>
    <s v="MBA"/>
    <x v="66"/>
    <x v="0"/>
    <m/>
    <x v="65"/>
    <x v="2"/>
    <n v="1"/>
    <s v="Yes"/>
    <s v="Married"/>
  </r>
  <r>
    <n v="1071"/>
    <s v="Neha Nair"/>
    <x v="0"/>
    <n v="25"/>
    <x v="2"/>
    <x v="11"/>
    <x v="5"/>
    <s v="MBA"/>
    <x v="67"/>
    <x v="0"/>
    <m/>
    <x v="66"/>
    <x v="3"/>
    <n v="2"/>
    <s v="Yes"/>
    <s v="Married"/>
  </r>
  <r>
    <n v="1072"/>
    <s v="Divya Nair"/>
    <x v="0"/>
    <n v="55"/>
    <x v="2"/>
    <x v="3"/>
    <x v="1"/>
    <s v="Diploma"/>
    <x v="68"/>
    <x v="0"/>
    <m/>
    <x v="67"/>
    <x v="0"/>
    <n v="2"/>
    <s v="Yes"/>
    <s v="Single"/>
  </r>
  <r>
    <n v="1073"/>
    <s v="Pooja Kapoor"/>
    <x v="1"/>
    <n v="41"/>
    <x v="6"/>
    <x v="9"/>
    <x v="2"/>
    <s v="Diploma"/>
    <x v="69"/>
    <x v="0"/>
    <m/>
    <x v="68"/>
    <x v="3"/>
    <n v="4"/>
    <s v="Yes"/>
    <s v="Single"/>
  </r>
  <r>
    <n v="1074"/>
    <s v="Ishita Saxena"/>
    <x v="0"/>
    <n v="33"/>
    <x v="3"/>
    <x v="16"/>
    <x v="5"/>
    <s v="Diploma"/>
    <x v="70"/>
    <x v="0"/>
    <m/>
    <x v="69"/>
    <x v="0"/>
    <n v="3"/>
    <s v="Yes"/>
    <s v="Married"/>
  </r>
  <r>
    <n v="1075"/>
    <s v="Rahul Agarwal"/>
    <x v="1"/>
    <n v="42"/>
    <x v="0"/>
    <x v="10"/>
    <x v="4"/>
    <s v="Bachelor's"/>
    <x v="71"/>
    <x v="0"/>
    <m/>
    <x v="70"/>
    <x v="3"/>
    <n v="2"/>
    <s v="Yes"/>
    <s v="Single"/>
  </r>
  <r>
    <n v="1076"/>
    <s v="Divya Singh"/>
    <x v="1"/>
    <n v="36"/>
    <x v="2"/>
    <x v="7"/>
    <x v="2"/>
    <s v="Master's"/>
    <x v="72"/>
    <x v="0"/>
    <m/>
    <x v="71"/>
    <x v="3"/>
    <n v="3"/>
    <s v="No"/>
    <s v="Married"/>
  </r>
  <r>
    <n v="1077"/>
    <s v="Kabir Chopra"/>
    <x v="0"/>
    <n v="42"/>
    <x v="1"/>
    <x v="1"/>
    <x v="2"/>
    <s v="Master's"/>
    <x v="73"/>
    <x v="1"/>
    <s v="25-10-2023"/>
    <x v="72"/>
    <x v="2"/>
    <n v="3"/>
    <s v="No"/>
    <s v="Single"/>
  </r>
  <r>
    <n v="1078"/>
    <s v="Anjali Chopra"/>
    <x v="1"/>
    <n v="57"/>
    <x v="0"/>
    <x v="10"/>
    <x v="7"/>
    <s v="Diploma"/>
    <x v="74"/>
    <x v="1"/>
    <s v="06-06-2025"/>
    <x v="73"/>
    <x v="1"/>
    <n v="4"/>
    <s v="No"/>
    <s v="Married"/>
  </r>
  <r>
    <n v="1079"/>
    <s v="Arjun Joshi"/>
    <x v="1"/>
    <n v="36"/>
    <x v="7"/>
    <x v="14"/>
    <x v="0"/>
    <s v="Diploma"/>
    <x v="75"/>
    <x v="0"/>
    <m/>
    <x v="74"/>
    <x v="1"/>
    <n v="5"/>
    <s v="No"/>
    <s v="Married"/>
  </r>
  <r>
    <n v="1080"/>
    <s v="Amit Pillai"/>
    <x v="0"/>
    <n v="31"/>
    <x v="0"/>
    <x v="10"/>
    <x v="1"/>
    <s v="Master's"/>
    <x v="35"/>
    <x v="0"/>
    <m/>
    <x v="75"/>
    <x v="2"/>
    <n v="1"/>
    <s v="Yes"/>
    <s v="Married"/>
  </r>
  <r>
    <n v="1081"/>
    <s v="Riya Saxena"/>
    <x v="1"/>
    <n v="41"/>
    <x v="0"/>
    <x v="0"/>
    <x v="1"/>
    <s v="MBA"/>
    <x v="76"/>
    <x v="0"/>
    <m/>
    <x v="76"/>
    <x v="3"/>
    <n v="3"/>
    <s v="Yes"/>
    <s v="Single"/>
  </r>
  <r>
    <n v="1082"/>
    <s v="Sanya Saxena"/>
    <x v="0"/>
    <n v="31"/>
    <x v="2"/>
    <x v="3"/>
    <x v="1"/>
    <s v="Master's"/>
    <x v="77"/>
    <x v="0"/>
    <m/>
    <x v="77"/>
    <x v="3"/>
    <n v="3"/>
    <s v="No"/>
    <s v="Married"/>
  </r>
  <r>
    <n v="1083"/>
    <s v="Ishita Verma"/>
    <x v="0"/>
    <n v="32"/>
    <x v="3"/>
    <x v="5"/>
    <x v="5"/>
    <s v="Master's"/>
    <x v="78"/>
    <x v="0"/>
    <m/>
    <x v="74"/>
    <x v="3"/>
    <n v="2"/>
    <s v="Yes"/>
    <s v="Single"/>
  </r>
  <r>
    <n v="1084"/>
    <s v="Ritu Singh"/>
    <x v="1"/>
    <n v="55"/>
    <x v="1"/>
    <x v="21"/>
    <x v="3"/>
    <s v="Master's"/>
    <x v="79"/>
    <x v="0"/>
    <m/>
    <x v="62"/>
    <x v="2"/>
    <n v="5"/>
    <s v="No"/>
    <s v="Single"/>
  </r>
  <r>
    <n v="1085"/>
    <s v="Aarohi Verma"/>
    <x v="0"/>
    <n v="27"/>
    <x v="0"/>
    <x v="20"/>
    <x v="3"/>
    <s v="Diploma"/>
    <x v="80"/>
    <x v="0"/>
    <m/>
    <x v="78"/>
    <x v="1"/>
    <n v="1"/>
    <s v="Yes"/>
    <s v="Married"/>
  </r>
  <r>
    <n v="1086"/>
    <s v="Manish Chopra"/>
    <x v="1"/>
    <n v="40"/>
    <x v="5"/>
    <x v="19"/>
    <x v="3"/>
    <s v="MBA"/>
    <x v="81"/>
    <x v="1"/>
    <s v="02-11-2021"/>
    <x v="79"/>
    <x v="3"/>
    <n v="2"/>
    <s v="Yes"/>
    <s v="Married"/>
  </r>
  <r>
    <n v="1087"/>
    <s v="Aarav Mehta"/>
    <x v="0"/>
    <n v="55"/>
    <x v="1"/>
    <x v="2"/>
    <x v="5"/>
    <s v="Diploma"/>
    <x v="82"/>
    <x v="0"/>
    <m/>
    <x v="80"/>
    <x v="2"/>
    <n v="5"/>
    <s v="No"/>
    <s v="Single"/>
  </r>
  <r>
    <n v="1088"/>
    <s v="Arjun Saxena"/>
    <x v="1"/>
    <n v="29"/>
    <x v="2"/>
    <x v="3"/>
    <x v="1"/>
    <s v="Bachelor's"/>
    <x v="83"/>
    <x v="0"/>
    <m/>
    <x v="81"/>
    <x v="2"/>
    <n v="1"/>
    <s v="Yes"/>
    <s v="Single"/>
  </r>
  <r>
    <n v="1089"/>
    <s v="Kabir Verma"/>
    <x v="1"/>
    <n v="56"/>
    <x v="0"/>
    <x v="0"/>
    <x v="7"/>
    <s v="Master's"/>
    <x v="84"/>
    <x v="0"/>
    <m/>
    <x v="82"/>
    <x v="3"/>
    <n v="4"/>
    <s v="Yes"/>
    <s v="Single"/>
  </r>
  <r>
    <n v="1090"/>
    <s v="Aarav Nair"/>
    <x v="1"/>
    <n v="52"/>
    <x v="0"/>
    <x v="0"/>
    <x v="0"/>
    <s v="MBA"/>
    <x v="85"/>
    <x v="0"/>
    <m/>
    <x v="83"/>
    <x v="3"/>
    <n v="3"/>
    <s v="No"/>
    <s v="Married"/>
  </r>
  <r>
    <n v="1091"/>
    <s v="Priya Chopra"/>
    <x v="1"/>
    <n v="45"/>
    <x v="7"/>
    <x v="14"/>
    <x v="2"/>
    <s v="Bachelor's"/>
    <x v="86"/>
    <x v="0"/>
    <m/>
    <x v="84"/>
    <x v="3"/>
    <n v="3"/>
    <s v="Yes"/>
    <s v="Married"/>
  </r>
  <r>
    <n v="1092"/>
    <s v="Ishita Rao"/>
    <x v="1"/>
    <n v="27"/>
    <x v="7"/>
    <x v="14"/>
    <x v="1"/>
    <s v="Master's"/>
    <x v="87"/>
    <x v="1"/>
    <s v="22-10-2024"/>
    <x v="85"/>
    <x v="2"/>
    <n v="3"/>
    <s v="Yes"/>
    <s v="Single"/>
  </r>
  <r>
    <n v="1093"/>
    <s v="Sanya Kumar"/>
    <x v="1"/>
    <n v="44"/>
    <x v="3"/>
    <x v="5"/>
    <x v="4"/>
    <s v="Diploma"/>
    <x v="88"/>
    <x v="0"/>
    <m/>
    <x v="86"/>
    <x v="1"/>
    <n v="2"/>
    <s v="Yes"/>
    <s v="Married"/>
  </r>
  <r>
    <n v="1094"/>
    <s v="Ananya Singh"/>
    <x v="1"/>
    <n v="44"/>
    <x v="3"/>
    <x v="5"/>
    <x v="0"/>
    <s v="MBA"/>
    <x v="89"/>
    <x v="0"/>
    <m/>
    <x v="87"/>
    <x v="2"/>
    <n v="1"/>
    <s v="No"/>
    <s v="Single"/>
  </r>
  <r>
    <n v="1095"/>
    <s v="Sanya Nair"/>
    <x v="0"/>
    <n v="36"/>
    <x v="5"/>
    <x v="8"/>
    <x v="4"/>
    <s v="Diploma"/>
    <x v="90"/>
    <x v="0"/>
    <m/>
    <x v="19"/>
    <x v="3"/>
    <n v="5"/>
    <s v="Yes"/>
    <s v="Married"/>
  </r>
  <r>
    <n v="1096"/>
    <s v="Yash Kapoor"/>
    <x v="1"/>
    <n v="51"/>
    <x v="3"/>
    <x v="5"/>
    <x v="7"/>
    <s v="Master's"/>
    <x v="91"/>
    <x v="0"/>
    <m/>
    <x v="88"/>
    <x v="2"/>
    <n v="3"/>
    <s v="No"/>
    <s v="Single"/>
  </r>
  <r>
    <n v="1097"/>
    <s v="Rahul Nair"/>
    <x v="0"/>
    <n v="37"/>
    <x v="5"/>
    <x v="19"/>
    <x v="4"/>
    <s v="Master's"/>
    <x v="92"/>
    <x v="0"/>
    <m/>
    <x v="89"/>
    <x v="2"/>
    <n v="2"/>
    <s v="No"/>
    <s v="Single"/>
  </r>
  <r>
    <n v="1098"/>
    <s v="Ananya Singh"/>
    <x v="1"/>
    <n v="41"/>
    <x v="6"/>
    <x v="12"/>
    <x v="4"/>
    <s v="MBA"/>
    <x v="93"/>
    <x v="0"/>
    <m/>
    <x v="90"/>
    <x v="0"/>
    <n v="3"/>
    <s v="Yes"/>
    <s v="Married"/>
  </r>
  <r>
    <n v="1099"/>
    <s v="Karan Verma"/>
    <x v="1"/>
    <n v="51"/>
    <x v="6"/>
    <x v="9"/>
    <x v="6"/>
    <s v="MBA"/>
    <x v="94"/>
    <x v="0"/>
    <m/>
    <x v="91"/>
    <x v="3"/>
    <n v="2"/>
    <s v="No"/>
    <s v="Married"/>
  </r>
  <r>
    <n v="1100"/>
    <s v="Kavya Iyer"/>
    <x v="1"/>
    <n v="42"/>
    <x v="2"/>
    <x v="11"/>
    <x v="5"/>
    <s v="Diploma"/>
    <x v="95"/>
    <x v="0"/>
    <m/>
    <x v="92"/>
    <x v="0"/>
    <n v="4"/>
    <s v="Yes"/>
    <s v="Married"/>
  </r>
  <r>
    <n v="1101"/>
    <s v="Kavya Rao"/>
    <x v="0"/>
    <n v="42"/>
    <x v="3"/>
    <x v="16"/>
    <x v="3"/>
    <s v="Master's"/>
    <x v="96"/>
    <x v="0"/>
    <m/>
    <x v="93"/>
    <x v="2"/>
    <n v="1"/>
    <s v="No"/>
    <s v="Single"/>
  </r>
  <r>
    <n v="1102"/>
    <s v="Ananya Nair"/>
    <x v="0"/>
    <n v="52"/>
    <x v="4"/>
    <x v="15"/>
    <x v="5"/>
    <s v="Master's"/>
    <x v="20"/>
    <x v="0"/>
    <m/>
    <x v="94"/>
    <x v="3"/>
    <n v="3"/>
    <s v="No"/>
    <s v="Married"/>
  </r>
  <r>
    <n v="1103"/>
    <s v="Aarav Reddy"/>
    <x v="0"/>
    <n v="38"/>
    <x v="4"/>
    <x v="15"/>
    <x v="7"/>
    <s v="Bachelor's"/>
    <x v="97"/>
    <x v="1"/>
    <s v="08-07-2023"/>
    <x v="0"/>
    <x v="0"/>
    <n v="3"/>
    <s v="No"/>
    <s v="Single"/>
  </r>
  <r>
    <n v="1104"/>
    <s v="Riya Malhotra"/>
    <x v="0"/>
    <n v="32"/>
    <x v="1"/>
    <x v="2"/>
    <x v="5"/>
    <s v="Master's"/>
    <x v="6"/>
    <x v="0"/>
    <m/>
    <x v="95"/>
    <x v="0"/>
    <n v="2"/>
    <s v="No"/>
    <s v="Single"/>
  </r>
  <r>
    <n v="1105"/>
    <s v="Suresh Patel"/>
    <x v="0"/>
    <n v="52"/>
    <x v="6"/>
    <x v="9"/>
    <x v="2"/>
    <s v="Master's"/>
    <x v="98"/>
    <x v="0"/>
    <m/>
    <x v="96"/>
    <x v="2"/>
    <n v="3"/>
    <s v="No"/>
    <s v="Single"/>
  </r>
  <r>
    <n v="1106"/>
    <s v="Neha Sharma"/>
    <x v="0"/>
    <n v="52"/>
    <x v="7"/>
    <x v="18"/>
    <x v="2"/>
    <s v="MBA"/>
    <x v="50"/>
    <x v="0"/>
    <m/>
    <x v="97"/>
    <x v="3"/>
    <n v="3"/>
    <s v="Yes"/>
    <s v="Married"/>
  </r>
  <r>
    <n v="1107"/>
    <s v="Kavya Mehta"/>
    <x v="1"/>
    <n v="55"/>
    <x v="4"/>
    <x v="15"/>
    <x v="7"/>
    <s v="Master's"/>
    <x v="99"/>
    <x v="1"/>
    <s v="10-05-2022"/>
    <x v="98"/>
    <x v="4"/>
    <n v="3"/>
    <s v="No"/>
    <s v="Single"/>
  </r>
  <r>
    <n v="1108"/>
    <s v="Yash Patel"/>
    <x v="1"/>
    <n v="35"/>
    <x v="2"/>
    <x v="7"/>
    <x v="7"/>
    <s v="Master's"/>
    <x v="100"/>
    <x v="0"/>
    <m/>
    <x v="99"/>
    <x v="2"/>
    <n v="5"/>
    <s v="Yes"/>
    <s v="Married"/>
  </r>
  <r>
    <n v="1109"/>
    <s v="Aarav Kumar"/>
    <x v="1"/>
    <n v="57"/>
    <x v="4"/>
    <x v="15"/>
    <x v="5"/>
    <s v="Bachelor's"/>
    <x v="101"/>
    <x v="1"/>
    <s v="09-12-2024"/>
    <x v="100"/>
    <x v="2"/>
    <n v="5"/>
    <s v="Yes"/>
    <s v="Married"/>
  </r>
  <r>
    <n v="1110"/>
    <s v="Karan Patel"/>
    <x v="0"/>
    <n v="32"/>
    <x v="1"/>
    <x v="2"/>
    <x v="4"/>
    <s v="Bachelor's"/>
    <x v="102"/>
    <x v="0"/>
    <m/>
    <x v="101"/>
    <x v="3"/>
    <n v="4"/>
    <s v="No"/>
    <s v="Married"/>
  </r>
  <r>
    <n v="1111"/>
    <s v="Priya Gupta"/>
    <x v="1"/>
    <n v="43"/>
    <x v="7"/>
    <x v="18"/>
    <x v="1"/>
    <s v="Bachelor's"/>
    <x v="103"/>
    <x v="0"/>
    <m/>
    <x v="100"/>
    <x v="2"/>
    <n v="1"/>
    <s v="Yes"/>
    <s v="Married"/>
  </r>
  <r>
    <n v="1112"/>
    <s v="Amit Patel"/>
    <x v="0"/>
    <n v="52"/>
    <x v="4"/>
    <x v="15"/>
    <x v="7"/>
    <s v="MBA"/>
    <x v="104"/>
    <x v="0"/>
    <m/>
    <x v="19"/>
    <x v="1"/>
    <n v="3"/>
    <s v="No"/>
    <s v="Married"/>
  </r>
  <r>
    <n v="1113"/>
    <s v="Simran Verma"/>
    <x v="0"/>
    <n v="43"/>
    <x v="5"/>
    <x v="8"/>
    <x v="5"/>
    <s v="Diploma"/>
    <x v="105"/>
    <x v="0"/>
    <m/>
    <x v="102"/>
    <x v="1"/>
    <n v="2"/>
    <s v="No"/>
    <s v="Single"/>
  </r>
  <r>
    <n v="1114"/>
    <s v="Rohan Nair"/>
    <x v="0"/>
    <n v="47"/>
    <x v="5"/>
    <x v="22"/>
    <x v="0"/>
    <s v="Bachelor's"/>
    <x v="106"/>
    <x v="1"/>
    <s v="19-09-2024"/>
    <x v="103"/>
    <x v="3"/>
    <n v="1"/>
    <s v="Yes"/>
    <s v="Single"/>
  </r>
  <r>
    <n v="1115"/>
    <s v="Aarav Kumar"/>
    <x v="1"/>
    <n v="24"/>
    <x v="6"/>
    <x v="12"/>
    <x v="0"/>
    <s v="Master's"/>
    <x v="107"/>
    <x v="0"/>
    <m/>
    <x v="104"/>
    <x v="2"/>
    <n v="1"/>
    <s v="No"/>
    <s v="Single"/>
  </r>
  <r>
    <n v="1116"/>
    <s v="Ritu Sharma"/>
    <x v="0"/>
    <n v="33"/>
    <x v="2"/>
    <x v="17"/>
    <x v="2"/>
    <s v="MBA"/>
    <x v="108"/>
    <x v="0"/>
    <m/>
    <x v="105"/>
    <x v="4"/>
    <n v="5"/>
    <s v="Yes"/>
    <s v="Married"/>
  </r>
  <r>
    <n v="1117"/>
    <s v="Yash Agarwal"/>
    <x v="1"/>
    <n v="26"/>
    <x v="4"/>
    <x v="6"/>
    <x v="3"/>
    <s v="Diploma"/>
    <x v="109"/>
    <x v="0"/>
    <m/>
    <x v="106"/>
    <x v="3"/>
    <n v="2"/>
    <s v="No"/>
    <s v="Married"/>
  </r>
  <r>
    <n v="1118"/>
    <s v="Simran Singh"/>
    <x v="1"/>
    <n v="49"/>
    <x v="3"/>
    <x v="16"/>
    <x v="4"/>
    <s v="Bachelor's"/>
    <x v="110"/>
    <x v="0"/>
    <m/>
    <x v="107"/>
    <x v="3"/>
    <n v="1"/>
    <s v="Yes"/>
    <s v="Single"/>
  </r>
  <r>
    <n v="1119"/>
    <s v="Kabir Kumar"/>
    <x v="1"/>
    <n v="33"/>
    <x v="5"/>
    <x v="19"/>
    <x v="6"/>
    <s v="Diploma"/>
    <x v="111"/>
    <x v="0"/>
    <m/>
    <x v="47"/>
    <x v="3"/>
    <n v="2"/>
    <s v="Yes"/>
    <s v="Married"/>
  </r>
  <r>
    <n v="1120"/>
    <s v="Amit Desai"/>
    <x v="0"/>
    <n v="24"/>
    <x v="3"/>
    <x v="5"/>
    <x v="2"/>
    <s v="Bachelor's"/>
    <x v="112"/>
    <x v="0"/>
    <m/>
    <x v="59"/>
    <x v="1"/>
    <n v="5"/>
    <s v="Yes"/>
    <s v="Married"/>
  </r>
  <r>
    <n v="1121"/>
    <s v="Aarohi Malhotra"/>
    <x v="1"/>
    <n v="45"/>
    <x v="3"/>
    <x v="5"/>
    <x v="1"/>
    <s v="MBA"/>
    <x v="113"/>
    <x v="1"/>
    <s v="10-09-2024"/>
    <x v="108"/>
    <x v="2"/>
    <n v="3"/>
    <s v="Yes"/>
    <s v="Married"/>
  </r>
  <r>
    <n v="1122"/>
    <s v="Neha Mehta"/>
    <x v="0"/>
    <n v="39"/>
    <x v="5"/>
    <x v="19"/>
    <x v="7"/>
    <s v="MBA"/>
    <x v="114"/>
    <x v="0"/>
    <m/>
    <x v="109"/>
    <x v="3"/>
    <n v="5"/>
    <s v="No"/>
    <s v="Single"/>
  </r>
  <r>
    <n v="1123"/>
    <s v="Suresh Patel"/>
    <x v="0"/>
    <n v="46"/>
    <x v="6"/>
    <x v="12"/>
    <x v="3"/>
    <s v="Diploma"/>
    <x v="115"/>
    <x v="1"/>
    <s v="08-03-2022"/>
    <x v="54"/>
    <x v="2"/>
    <n v="3"/>
    <s v="No"/>
    <s v="Single"/>
  </r>
  <r>
    <n v="1124"/>
    <s v="Yash Verma"/>
    <x v="0"/>
    <n v="44"/>
    <x v="2"/>
    <x v="3"/>
    <x v="2"/>
    <s v="Diploma"/>
    <x v="8"/>
    <x v="0"/>
    <m/>
    <x v="110"/>
    <x v="3"/>
    <n v="2"/>
    <s v="Yes"/>
    <s v="Married"/>
  </r>
  <r>
    <n v="1125"/>
    <s v="Divya Verma"/>
    <x v="0"/>
    <n v="22"/>
    <x v="3"/>
    <x v="5"/>
    <x v="6"/>
    <s v="MBA"/>
    <x v="116"/>
    <x v="0"/>
    <m/>
    <x v="111"/>
    <x v="0"/>
    <n v="1"/>
    <s v="Yes"/>
    <s v="Married"/>
  </r>
  <r>
    <n v="1126"/>
    <s v="Yash Agarwal"/>
    <x v="0"/>
    <n v="35"/>
    <x v="7"/>
    <x v="14"/>
    <x v="6"/>
    <s v="Master's"/>
    <x v="117"/>
    <x v="0"/>
    <m/>
    <x v="112"/>
    <x v="3"/>
    <n v="5"/>
    <s v="No"/>
    <s v="Married"/>
  </r>
  <r>
    <n v="1127"/>
    <s v="Vikram Agarwal"/>
    <x v="1"/>
    <n v="28"/>
    <x v="1"/>
    <x v="21"/>
    <x v="5"/>
    <s v="MBA"/>
    <x v="118"/>
    <x v="1"/>
    <s v="03-06-2022"/>
    <x v="113"/>
    <x v="3"/>
    <n v="3"/>
    <s v="No"/>
    <s v="Single"/>
  </r>
  <r>
    <n v="1128"/>
    <s v="Nishant Verma"/>
    <x v="1"/>
    <n v="39"/>
    <x v="3"/>
    <x v="5"/>
    <x v="6"/>
    <s v="MBA"/>
    <x v="119"/>
    <x v="0"/>
    <m/>
    <x v="114"/>
    <x v="2"/>
    <n v="5"/>
    <s v="Yes"/>
    <s v="Married"/>
  </r>
  <r>
    <n v="1129"/>
    <s v="Suresh Verma"/>
    <x v="0"/>
    <n v="23"/>
    <x v="1"/>
    <x v="21"/>
    <x v="3"/>
    <s v="Bachelor's"/>
    <x v="120"/>
    <x v="0"/>
    <m/>
    <x v="72"/>
    <x v="2"/>
    <n v="4"/>
    <s v="Yes"/>
    <s v="Married"/>
  </r>
  <r>
    <n v="1130"/>
    <s v="Ritu Singh"/>
    <x v="1"/>
    <n v="54"/>
    <x v="5"/>
    <x v="8"/>
    <x v="6"/>
    <s v="Bachelor's"/>
    <x v="121"/>
    <x v="0"/>
    <m/>
    <x v="115"/>
    <x v="3"/>
    <n v="2"/>
    <s v="Yes"/>
    <s v="Single"/>
  </r>
  <r>
    <n v="1131"/>
    <s v="Vihaan Chopra"/>
    <x v="0"/>
    <n v="38"/>
    <x v="0"/>
    <x v="10"/>
    <x v="1"/>
    <s v="Bachelor's"/>
    <x v="122"/>
    <x v="0"/>
    <m/>
    <x v="116"/>
    <x v="3"/>
    <n v="1"/>
    <s v="Yes"/>
    <s v="Single"/>
  </r>
  <r>
    <n v="1132"/>
    <s v="Rohan Sharma"/>
    <x v="1"/>
    <n v="52"/>
    <x v="5"/>
    <x v="19"/>
    <x v="5"/>
    <s v="Bachelor's"/>
    <x v="123"/>
    <x v="0"/>
    <m/>
    <x v="117"/>
    <x v="2"/>
    <n v="4"/>
    <s v="Yes"/>
    <s v="Married"/>
  </r>
  <r>
    <n v="1133"/>
    <s v="Riya Patel"/>
    <x v="1"/>
    <n v="32"/>
    <x v="3"/>
    <x v="5"/>
    <x v="6"/>
    <s v="Bachelor's"/>
    <x v="124"/>
    <x v="0"/>
    <m/>
    <x v="118"/>
    <x v="3"/>
    <n v="2"/>
    <s v="No"/>
    <s v="Single"/>
  </r>
  <r>
    <n v="1134"/>
    <s v="Ritu Mehta"/>
    <x v="1"/>
    <n v="36"/>
    <x v="4"/>
    <x v="6"/>
    <x v="7"/>
    <s v="MBA"/>
    <x v="125"/>
    <x v="0"/>
    <m/>
    <x v="119"/>
    <x v="2"/>
    <n v="1"/>
    <s v="Yes"/>
    <s v="Married"/>
  </r>
  <r>
    <n v="1135"/>
    <s v="Simran Patel"/>
    <x v="0"/>
    <n v="37"/>
    <x v="2"/>
    <x v="17"/>
    <x v="3"/>
    <s v="Diploma"/>
    <x v="126"/>
    <x v="0"/>
    <m/>
    <x v="120"/>
    <x v="3"/>
    <n v="2"/>
    <s v="No"/>
    <s v="Married"/>
  </r>
  <r>
    <n v="1136"/>
    <s v="Nishant Kapoor"/>
    <x v="0"/>
    <n v="35"/>
    <x v="3"/>
    <x v="16"/>
    <x v="4"/>
    <s v="Bachelor's"/>
    <x v="127"/>
    <x v="0"/>
    <m/>
    <x v="121"/>
    <x v="2"/>
    <n v="2"/>
    <s v="No"/>
    <s v="Married"/>
  </r>
  <r>
    <n v="1137"/>
    <s v="Aditi Iyer"/>
    <x v="1"/>
    <n v="32"/>
    <x v="4"/>
    <x v="6"/>
    <x v="2"/>
    <s v="Diploma"/>
    <x v="128"/>
    <x v="1"/>
    <s v="27-11-2018"/>
    <x v="122"/>
    <x v="1"/>
    <n v="4"/>
    <s v="No"/>
    <s v="Single"/>
  </r>
  <r>
    <n v="1138"/>
    <s v="Karan Sharma"/>
    <x v="0"/>
    <n v="48"/>
    <x v="2"/>
    <x v="17"/>
    <x v="3"/>
    <s v="Bachelor's"/>
    <x v="129"/>
    <x v="0"/>
    <m/>
    <x v="123"/>
    <x v="2"/>
    <n v="5"/>
    <s v="Yes"/>
    <s v="Single"/>
  </r>
  <r>
    <n v="1139"/>
    <s v="Aarav Saxena"/>
    <x v="1"/>
    <n v="33"/>
    <x v="4"/>
    <x v="15"/>
    <x v="5"/>
    <s v="MBA"/>
    <x v="130"/>
    <x v="0"/>
    <m/>
    <x v="124"/>
    <x v="3"/>
    <n v="2"/>
    <s v="No"/>
    <s v="Single"/>
  </r>
  <r>
    <n v="1140"/>
    <s v="Ishita Gupta"/>
    <x v="0"/>
    <n v="40"/>
    <x v="0"/>
    <x v="10"/>
    <x v="7"/>
    <s v="MBA"/>
    <x v="131"/>
    <x v="0"/>
    <m/>
    <x v="125"/>
    <x v="2"/>
    <n v="2"/>
    <s v="No"/>
    <s v="Single"/>
  </r>
  <r>
    <n v="1141"/>
    <s v="Ananya Pillai"/>
    <x v="0"/>
    <n v="44"/>
    <x v="0"/>
    <x v="0"/>
    <x v="7"/>
    <s v="Bachelor's"/>
    <x v="132"/>
    <x v="1"/>
    <s v="29-11-2024"/>
    <x v="126"/>
    <x v="1"/>
    <n v="2"/>
    <s v="No"/>
    <s v="Married"/>
  </r>
  <r>
    <n v="1142"/>
    <s v="Yash Verma"/>
    <x v="0"/>
    <n v="54"/>
    <x v="4"/>
    <x v="15"/>
    <x v="5"/>
    <s v="Diploma"/>
    <x v="133"/>
    <x v="1"/>
    <s v="13-05-2019"/>
    <x v="127"/>
    <x v="3"/>
    <n v="2"/>
    <s v="Yes"/>
    <s v="Single"/>
  </r>
  <r>
    <n v="1143"/>
    <s v="Nishant Malhotra"/>
    <x v="0"/>
    <n v="38"/>
    <x v="0"/>
    <x v="0"/>
    <x v="0"/>
    <s v="Master's"/>
    <x v="134"/>
    <x v="0"/>
    <m/>
    <x v="128"/>
    <x v="3"/>
    <n v="2"/>
    <s v="No"/>
    <s v="Single"/>
  </r>
  <r>
    <n v="1144"/>
    <s v="Sanya Singh"/>
    <x v="1"/>
    <n v="53"/>
    <x v="0"/>
    <x v="20"/>
    <x v="0"/>
    <s v="Diploma"/>
    <x v="135"/>
    <x v="1"/>
    <s v="31-01-2024"/>
    <x v="129"/>
    <x v="0"/>
    <n v="5"/>
    <s v="Yes"/>
    <s v="Single"/>
  </r>
  <r>
    <n v="1145"/>
    <s v="Kabir Pillai"/>
    <x v="0"/>
    <n v="48"/>
    <x v="6"/>
    <x v="12"/>
    <x v="1"/>
    <s v="Diploma"/>
    <x v="104"/>
    <x v="1"/>
    <s v="28-12-2024"/>
    <x v="130"/>
    <x v="1"/>
    <n v="3"/>
    <s v="No"/>
    <s v="Single"/>
  </r>
  <r>
    <n v="1146"/>
    <s v="Suresh Kapoor"/>
    <x v="0"/>
    <n v="55"/>
    <x v="7"/>
    <x v="14"/>
    <x v="1"/>
    <s v="MBA"/>
    <x v="136"/>
    <x v="0"/>
    <m/>
    <x v="131"/>
    <x v="1"/>
    <n v="4"/>
    <s v="Yes"/>
    <s v="Married"/>
  </r>
  <r>
    <n v="1147"/>
    <s v="Nishant Agarwal"/>
    <x v="1"/>
    <n v="54"/>
    <x v="4"/>
    <x v="6"/>
    <x v="3"/>
    <s v="Master's"/>
    <x v="137"/>
    <x v="0"/>
    <m/>
    <x v="10"/>
    <x v="2"/>
    <n v="4"/>
    <s v="Yes"/>
    <s v="Single"/>
  </r>
  <r>
    <n v="1148"/>
    <s v="Vihaan Saxena"/>
    <x v="0"/>
    <n v="38"/>
    <x v="5"/>
    <x v="19"/>
    <x v="1"/>
    <s v="Bachelor's"/>
    <x v="138"/>
    <x v="0"/>
    <m/>
    <x v="132"/>
    <x v="2"/>
    <n v="3"/>
    <s v="Yes"/>
    <s v="Married"/>
  </r>
  <r>
    <n v="1149"/>
    <s v="Sanya Reddy"/>
    <x v="1"/>
    <n v="51"/>
    <x v="0"/>
    <x v="10"/>
    <x v="2"/>
    <s v="Bachelor's"/>
    <x v="139"/>
    <x v="0"/>
    <m/>
    <x v="133"/>
    <x v="2"/>
    <n v="3"/>
    <s v="No"/>
    <s v="Married"/>
  </r>
  <r>
    <n v="1150"/>
    <s v="Aditi Iyer"/>
    <x v="1"/>
    <n v="34"/>
    <x v="5"/>
    <x v="8"/>
    <x v="6"/>
    <s v="Diploma"/>
    <x v="140"/>
    <x v="0"/>
    <m/>
    <x v="134"/>
    <x v="2"/>
    <n v="5"/>
    <s v="No"/>
    <s v="Married"/>
  </r>
  <r>
    <n v="1151"/>
    <s v="Suresh Malhotra"/>
    <x v="1"/>
    <n v="54"/>
    <x v="1"/>
    <x v="2"/>
    <x v="6"/>
    <s v="Master's"/>
    <x v="141"/>
    <x v="1"/>
    <s v="12-09-2024"/>
    <x v="135"/>
    <x v="3"/>
    <n v="2"/>
    <s v="Yes"/>
    <s v="Married"/>
  </r>
  <r>
    <n v="1152"/>
    <s v="Simran Kapoor"/>
    <x v="0"/>
    <n v="25"/>
    <x v="5"/>
    <x v="8"/>
    <x v="6"/>
    <s v="MBA"/>
    <x v="142"/>
    <x v="0"/>
    <m/>
    <x v="136"/>
    <x v="0"/>
    <n v="4"/>
    <s v="Yes"/>
    <s v="Married"/>
  </r>
  <r>
    <n v="1153"/>
    <s v="Suresh Bhatia"/>
    <x v="0"/>
    <n v="48"/>
    <x v="4"/>
    <x v="15"/>
    <x v="6"/>
    <s v="Master's"/>
    <x v="143"/>
    <x v="0"/>
    <m/>
    <x v="21"/>
    <x v="0"/>
    <n v="5"/>
    <s v="No"/>
    <s v="Single"/>
  </r>
  <r>
    <n v="1154"/>
    <s v="Sneha Kumar"/>
    <x v="0"/>
    <n v="48"/>
    <x v="2"/>
    <x v="7"/>
    <x v="0"/>
    <s v="Bachelor's"/>
    <x v="144"/>
    <x v="0"/>
    <m/>
    <x v="137"/>
    <x v="2"/>
    <n v="5"/>
    <s v="Yes"/>
    <s v="Married"/>
  </r>
  <r>
    <n v="1155"/>
    <s v="Kavya Chopra"/>
    <x v="1"/>
    <n v="44"/>
    <x v="6"/>
    <x v="9"/>
    <x v="5"/>
    <s v="MBA"/>
    <x v="145"/>
    <x v="0"/>
    <m/>
    <x v="138"/>
    <x v="3"/>
    <n v="3"/>
    <s v="Yes"/>
    <s v="Married"/>
  </r>
  <r>
    <n v="1156"/>
    <s v="Arjun Bhatia"/>
    <x v="0"/>
    <n v="58"/>
    <x v="2"/>
    <x v="17"/>
    <x v="4"/>
    <s v="Diploma"/>
    <x v="146"/>
    <x v="0"/>
    <m/>
    <x v="139"/>
    <x v="0"/>
    <n v="3"/>
    <s v="Yes"/>
    <s v="Married"/>
  </r>
  <r>
    <n v="1157"/>
    <s v="Aarav Rao"/>
    <x v="1"/>
    <n v="41"/>
    <x v="0"/>
    <x v="0"/>
    <x v="2"/>
    <s v="Diploma"/>
    <x v="147"/>
    <x v="0"/>
    <m/>
    <x v="91"/>
    <x v="3"/>
    <n v="5"/>
    <s v="No"/>
    <s v="Married"/>
  </r>
  <r>
    <n v="1158"/>
    <s v="Karan Joshi"/>
    <x v="1"/>
    <n v="55"/>
    <x v="7"/>
    <x v="14"/>
    <x v="1"/>
    <s v="Bachelor's"/>
    <x v="148"/>
    <x v="0"/>
    <m/>
    <x v="140"/>
    <x v="2"/>
    <n v="5"/>
    <s v="Yes"/>
    <s v="Single"/>
  </r>
  <r>
    <n v="1159"/>
    <s v="Priya Kumar"/>
    <x v="0"/>
    <n v="32"/>
    <x v="3"/>
    <x v="5"/>
    <x v="7"/>
    <s v="Bachelor's"/>
    <x v="149"/>
    <x v="0"/>
    <m/>
    <x v="141"/>
    <x v="1"/>
    <n v="5"/>
    <s v="Yes"/>
    <s v="Single"/>
  </r>
  <r>
    <n v="1160"/>
    <s v="Amit Malhotra"/>
    <x v="0"/>
    <n v="54"/>
    <x v="6"/>
    <x v="12"/>
    <x v="2"/>
    <s v="Master's"/>
    <x v="150"/>
    <x v="0"/>
    <m/>
    <x v="142"/>
    <x v="0"/>
    <n v="1"/>
    <s v="No"/>
    <s v="Single"/>
  </r>
  <r>
    <n v="1161"/>
    <s v="Rakesh Rao"/>
    <x v="1"/>
    <n v="47"/>
    <x v="0"/>
    <x v="20"/>
    <x v="1"/>
    <s v="MBA"/>
    <x v="151"/>
    <x v="0"/>
    <m/>
    <x v="143"/>
    <x v="3"/>
    <n v="4"/>
    <s v="No"/>
    <s v="Single"/>
  </r>
  <r>
    <n v="1162"/>
    <s v="Yash Nair"/>
    <x v="0"/>
    <n v="23"/>
    <x v="4"/>
    <x v="13"/>
    <x v="4"/>
    <s v="Bachelor's"/>
    <x v="152"/>
    <x v="0"/>
    <m/>
    <x v="144"/>
    <x v="1"/>
    <n v="4"/>
    <s v="No"/>
    <s v="Single"/>
  </r>
  <r>
    <n v="1163"/>
    <s v="Amit Sharma"/>
    <x v="0"/>
    <n v="32"/>
    <x v="2"/>
    <x v="3"/>
    <x v="7"/>
    <s v="MBA"/>
    <x v="153"/>
    <x v="0"/>
    <m/>
    <x v="145"/>
    <x v="0"/>
    <n v="5"/>
    <s v="Yes"/>
    <s v="Married"/>
  </r>
  <r>
    <n v="1164"/>
    <s v="Aarav Bhatia"/>
    <x v="0"/>
    <n v="24"/>
    <x v="0"/>
    <x v="0"/>
    <x v="6"/>
    <s v="Diploma"/>
    <x v="154"/>
    <x v="0"/>
    <m/>
    <x v="146"/>
    <x v="2"/>
    <n v="2"/>
    <s v="Yes"/>
    <s v="Married"/>
  </r>
  <r>
    <n v="1165"/>
    <s v="Ishita Bhatia"/>
    <x v="0"/>
    <n v="37"/>
    <x v="6"/>
    <x v="9"/>
    <x v="5"/>
    <s v="Bachelor's"/>
    <x v="155"/>
    <x v="0"/>
    <m/>
    <x v="147"/>
    <x v="3"/>
    <n v="4"/>
    <s v="No"/>
    <s v="Single"/>
  </r>
  <r>
    <n v="1166"/>
    <s v="Anjali Iyer"/>
    <x v="1"/>
    <n v="33"/>
    <x v="2"/>
    <x v="3"/>
    <x v="7"/>
    <s v="Diploma"/>
    <x v="156"/>
    <x v="0"/>
    <m/>
    <x v="148"/>
    <x v="2"/>
    <n v="1"/>
    <s v="No"/>
    <s v="Married"/>
  </r>
  <r>
    <n v="1167"/>
    <s v="Rohan Mehta"/>
    <x v="1"/>
    <n v="46"/>
    <x v="4"/>
    <x v="6"/>
    <x v="7"/>
    <s v="Master's"/>
    <x v="157"/>
    <x v="0"/>
    <m/>
    <x v="149"/>
    <x v="2"/>
    <n v="3"/>
    <s v="Yes"/>
    <s v="Married"/>
  </r>
  <r>
    <n v="1168"/>
    <s v="Anjali Patel"/>
    <x v="1"/>
    <n v="56"/>
    <x v="2"/>
    <x v="11"/>
    <x v="6"/>
    <s v="MBA"/>
    <x v="158"/>
    <x v="0"/>
    <m/>
    <x v="150"/>
    <x v="2"/>
    <n v="2"/>
    <s v="Yes"/>
    <s v="Married"/>
  </r>
  <r>
    <n v="1169"/>
    <s v="Sanya Nair"/>
    <x v="0"/>
    <n v="54"/>
    <x v="6"/>
    <x v="12"/>
    <x v="2"/>
    <s v="Diploma"/>
    <x v="159"/>
    <x v="1"/>
    <s v="02-05-2024"/>
    <x v="151"/>
    <x v="2"/>
    <n v="3"/>
    <s v="No"/>
    <s v="Married"/>
  </r>
  <r>
    <n v="1170"/>
    <s v="Simran Iyer"/>
    <x v="0"/>
    <n v="56"/>
    <x v="1"/>
    <x v="21"/>
    <x v="0"/>
    <s v="Bachelor's"/>
    <x v="160"/>
    <x v="1"/>
    <s v="20-02-2025"/>
    <x v="152"/>
    <x v="3"/>
    <n v="5"/>
    <s v="Yes"/>
    <s v="Married"/>
  </r>
  <r>
    <n v="1171"/>
    <s v="Ishita Mehta"/>
    <x v="1"/>
    <n v="28"/>
    <x v="2"/>
    <x v="3"/>
    <x v="7"/>
    <s v="Master's"/>
    <x v="161"/>
    <x v="0"/>
    <m/>
    <x v="153"/>
    <x v="2"/>
    <n v="3"/>
    <s v="Yes"/>
    <s v="Single"/>
  </r>
  <r>
    <n v="1172"/>
    <s v="Rakesh Malhotra"/>
    <x v="1"/>
    <n v="40"/>
    <x v="1"/>
    <x v="2"/>
    <x v="4"/>
    <s v="Diploma"/>
    <x v="162"/>
    <x v="0"/>
    <m/>
    <x v="154"/>
    <x v="1"/>
    <n v="2"/>
    <s v="No"/>
    <s v="Single"/>
  </r>
  <r>
    <n v="1173"/>
    <s v="Ishita Joshi"/>
    <x v="0"/>
    <n v="47"/>
    <x v="6"/>
    <x v="12"/>
    <x v="5"/>
    <s v="Master's"/>
    <x v="163"/>
    <x v="0"/>
    <m/>
    <x v="97"/>
    <x v="0"/>
    <n v="3"/>
    <s v="Yes"/>
    <s v="Single"/>
  </r>
  <r>
    <n v="1174"/>
    <s v="Arjun Verma"/>
    <x v="1"/>
    <n v="46"/>
    <x v="6"/>
    <x v="12"/>
    <x v="2"/>
    <s v="Master's"/>
    <x v="164"/>
    <x v="0"/>
    <m/>
    <x v="155"/>
    <x v="3"/>
    <n v="5"/>
    <s v="Yes"/>
    <s v="Married"/>
  </r>
  <r>
    <n v="1175"/>
    <s v="Rakesh Agarwal"/>
    <x v="0"/>
    <n v="40"/>
    <x v="6"/>
    <x v="9"/>
    <x v="1"/>
    <s v="Bachelor's"/>
    <x v="165"/>
    <x v="0"/>
    <m/>
    <x v="156"/>
    <x v="3"/>
    <n v="2"/>
    <s v="Yes"/>
    <s v="Single"/>
  </r>
  <r>
    <n v="1176"/>
    <s v="Anjali Kapoor"/>
    <x v="1"/>
    <n v="36"/>
    <x v="7"/>
    <x v="18"/>
    <x v="3"/>
    <s v="Diploma"/>
    <x v="166"/>
    <x v="0"/>
    <m/>
    <x v="24"/>
    <x v="2"/>
    <n v="4"/>
    <s v="No"/>
    <s v="Married"/>
  </r>
  <r>
    <n v="1177"/>
    <s v="Rahul Verma"/>
    <x v="1"/>
    <n v="24"/>
    <x v="6"/>
    <x v="12"/>
    <x v="5"/>
    <s v="Master's"/>
    <x v="167"/>
    <x v="0"/>
    <m/>
    <x v="157"/>
    <x v="3"/>
    <n v="2"/>
    <s v="No"/>
    <s v="Single"/>
  </r>
  <r>
    <n v="1178"/>
    <s v="Vihaan Reddy"/>
    <x v="0"/>
    <n v="41"/>
    <x v="7"/>
    <x v="14"/>
    <x v="0"/>
    <s v="Master's"/>
    <x v="168"/>
    <x v="0"/>
    <m/>
    <x v="158"/>
    <x v="3"/>
    <n v="2"/>
    <s v="Yes"/>
    <s v="Single"/>
  </r>
  <r>
    <n v="1179"/>
    <s v="Rahul Bhatia"/>
    <x v="1"/>
    <n v="58"/>
    <x v="7"/>
    <x v="14"/>
    <x v="4"/>
    <s v="Master's"/>
    <x v="169"/>
    <x v="0"/>
    <m/>
    <x v="159"/>
    <x v="3"/>
    <n v="2"/>
    <s v="Yes"/>
    <s v="Married"/>
  </r>
  <r>
    <n v="1180"/>
    <s v="Suresh Mehta"/>
    <x v="1"/>
    <n v="45"/>
    <x v="4"/>
    <x v="15"/>
    <x v="2"/>
    <s v="Bachelor's"/>
    <x v="170"/>
    <x v="0"/>
    <m/>
    <x v="146"/>
    <x v="0"/>
    <n v="2"/>
    <s v="Yes"/>
    <s v="Married"/>
  </r>
  <r>
    <n v="1181"/>
    <s v="Karan Singh"/>
    <x v="1"/>
    <n v="40"/>
    <x v="7"/>
    <x v="14"/>
    <x v="5"/>
    <s v="MBA"/>
    <x v="171"/>
    <x v="0"/>
    <m/>
    <x v="160"/>
    <x v="4"/>
    <n v="4"/>
    <s v="Yes"/>
    <s v="Married"/>
  </r>
  <r>
    <n v="1182"/>
    <s v="Sneha Pillai"/>
    <x v="0"/>
    <n v="53"/>
    <x v="4"/>
    <x v="15"/>
    <x v="5"/>
    <s v="Diploma"/>
    <x v="172"/>
    <x v="0"/>
    <m/>
    <x v="161"/>
    <x v="2"/>
    <n v="1"/>
    <s v="No"/>
    <s v="Married"/>
  </r>
  <r>
    <n v="1183"/>
    <s v="Amit Iyer"/>
    <x v="1"/>
    <n v="31"/>
    <x v="2"/>
    <x v="11"/>
    <x v="1"/>
    <s v="Diploma"/>
    <x v="173"/>
    <x v="0"/>
    <m/>
    <x v="12"/>
    <x v="1"/>
    <n v="2"/>
    <s v="Yes"/>
    <s v="Married"/>
  </r>
  <r>
    <n v="1184"/>
    <s v="Sneha Saxena"/>
    <x v="0"/>
    <n v="36"/>
    <x v="6"/>
    <x v="12"/>
    <x v="7"/>
    <s v="MBA"/>
    <x v="174"/>
    <x v="0"/>
    <m/>
    <x v="162"/>
    <x v="1"/>
    <n v="3"/>
    <s v="Yes"/>
    <s v="Single"/>
  </r>
  <r>
    <n v="1185"/>
    <s v="Vihaan Singh"/>
    <x v="0"/>
    <n v="53"/>
    <x v="0"/>
    <x v="0"/>
    <x v="5"/>
    <s v="Diploma"/>
    <x v="175"/>
    <x v="0"/>
    <m/>
    <x v="163"/>
    <x v="3"/>
    <n v="2"/>
    <s v="Yes"/>
    <s v="Single"/>
  </r>
  <r>
    <n v="1186"/>
    <s v="Kabir Bhatia"/>
    <x v="0"/>
    <n v="34"/>
    <x v="4"/>
    <x v="13"/>
    <x v="5"/>
    <s v="Diploma"/>
    <x v="129"/>
    <x v="0"/>
    <m/>
    <x v="164"/>
    <x v="4"/>
    <n v="5"/>
    <s v="No"/>
    <s v="Single"/>
  </r>
  <r>
    <n v="1187"/>
    <s v="Aarohi Gupta"/>
    <x v="1"/>
    <n v="22"/>
    <x v="6"/>
    <x v="9"/>
    <x v="0"/>
    <s v="Diploma"/>
    <x v="176"/>
    <x v="0"/>
    <m/>
    <x v="165"/>
    <x v="2"/>
    <n v="4"/>
    <s v="No"/>
    <s v="Single"/>
  </r>
  <r>
    <n v="1188"/>
    <s v="Neha Gupta"/>
    <x v="0"/>
    <n v="27"/>
    <x v="3"/>
    <x v="4"/>
    <x v="4"/>
    <s v="Diploma"/>
    <x v="177"/>
    <x v="0"/>
    <m/>
    <x v="166"/>
    <x v="2"/>
    <n v="5"/>
    <s v="No"/>
    <s v="Married"/>
  </r>
  <r>
    <n v="1189"/>
    <s v="Neha Patel"/>
    <x v="0"/>
    <n v="50"/>
    <x v="7"/>
    <x v="18"/>
    <x v="6"/>
    <s v="Master's"/>
    <x v="178"/>
    <x v="0"/>
    <m/>
    <x v="167"/>
    <x v="3"/>
    <n v="4"/>
    <s v="No"/>
    <s v="Single"/>
  </r>
  <r>
    <n v="1190"/>
    <s v="Yash Bhatia"/>
    <x v="0"/>
    <n v="34"/>
    <x v="5"/>
    <x v="22"/>
    <x v="6"/>
    <s v="Master's"/>
    <x v="179"/>
    <x v="0"/>
    <m/>
    <x v="66"/>
    <x v="2"/>
    <n v="1"/>
    <s v="Yes"/>
    <s v="Married"/>
  </r>
  <r>
    <n v="1191"/>
    <s v="Rakesh Kumar"/>
    <x v="1"/>
    <n v="48"/>
    <x v="3"/>
    <x v="16"/>
    <x v="0"/>
    <s v="Bachelor's"/>
    <x v="180"/>
    <x v="0"/>
    <m/>
    <x v="163"/>
    <x v="0"/>
    <n v="5"/>
    <s v="Yes"/>
    <s v="Single"/>
  </r>
  <r>
    <n v="1192"/>
    <s v="Karan Mehta"/>
    <x v="1"/>
    <n v="30"/>
    <x v="1"/>
    <x v="1"/>
    <x v="5"/>
    <s v="Bachelor's"/>
    <x v="40"/>
    <x v="0"/>
    <m/>
    <x v="168"/>
    <x v="0"/>
    <n v="3"/>
    <s v="Yes"/>
    <s v="Single"/>
  </r>
  <r>
    <n v="1193"/>
    <s v="Rakesh Saxena"/>
    <x v="1"/>
    <n v="49"/>
    <x v="3"/>
    <x v="4"/>
    <x v="0"/>
    <s v="Master's"/>
    <x v="181"/>
    <x v="0"/>
    <m/>
    <x v="169"/>
    <x v="1"/>
    <n v="3"/>
    <s v="Yes"/>
    <s v="Married"/>
  </r>
  <r>
    <n v="1194"/>
    <s v="Sneha Kapoor"/>
    <x v="1"/>
    <n v="54"/>
    <x v="5"/>
    <x v="22"/>
    <x v="6"/>
    <s v="MBA"/>
    <x v="182"/>
    <x v="1"/>
    <s v="15-12-2024"/>
    <x v="170"/>
    <x v="3"/>
    <n v="1"/>
    <s v="No"/>
    <s v="Married"/>
  </r>
  <r>
    <n v="1195"/>
    <s v="Anjali Saxena"/>
    <x v="1"/>
    <n v="44"/>
    <x v="0"/>
    <x v="10"/>
    <x v="6"/>
    <s v="MBA"/>
    <x v="183"/>
    <x v="0"/>
    <m/>
    <x v="67"/>
    <x v="4"/>
    <n v="4"/>
    <s v="Yes"/>
    <s v="Single"/>
  </r>
  <r>
    <n v="1196"/>
    <s v="Neha Singh"/>
    <x v="1"/>
    <n v="46"/>
    <x v="5"/>
    <x v="22"/>
    <x v="4"/>
    <s v="MBA"/>
    <x v="184"/>
    <x v="0"/>
    <m/>
    <x v="171"/>
    <x v="2"/>
    <n v="3"/>
    <s v="No"/>
    <s v="Single"/>
  </r>
  <r>
    <n v="1197"/>
    <s v="Ishita Kapoor"/>
    <x v="1"/>
    <n v="24"/>
    <x v="3"/>
    <x v="5"/>
    <x v="5"/>
    <s v="Bachelor's"/>
    <x v="185"/>
    <x v="0"/>
    <m/>
    <x v="172"/>
    <x v="3"/>
    <n v="4"/>
    <s v="No"/>
    <s v="Single"/>
  </r>
  <r>
    <n v="1198"/>
    <s v="Rakesh Bhatia"/>
    <x v="0"/>
    <n v="43"/>
    <x v="1"/>
    <x v="1"/>
    <x v="0"/>
    <s v="MBA"/>
    <x v="46"/>
    <x v="0"/>
    <m/>
    <x v="54"/>
    <x v="1"/>
    <n v="1"/>
    <s v="Yes"/>
    <s v="Single"/>
  </r>
  <r>
    <n v="1199"/>
    <s v="Suresh Joshi"/>
    <x v="0"/>
    <n v="42"/>
    <x v="7"/>
    <x v="14"/>
    <x v="3"/>
    <s v="MBA"/>
    <x v="186"/>
    <x v="0"/>
    <m/>
    <x v="159"/>
    <x v="2"/>
    <n v="2"/>
    <s v="No"/>
    <s v="Single"/>
  </r>
  <r>
    <n v="1200"/>
    <s v="Amit Patel"/>
    <x v="1"/>
    <n v="54"/>
    <x v="5"/>
    <x v="8"/>
    <x v="2"/>
    <s v="Bachelor's"/>
    <x v="187"/>
    <x v="0"/>
    <m/>
    <x v="173"/>
    <x v="3"/>
    <n v="2"/>
    <s v="Yes"/>
    <s v="Single"/>
  </r>
  <r>
    <n v="1201"/>
    <s v="Kavya Nair"/>
    <x v="0"/>
    <n v="31"/>
    <x v="4"/>
    <x v="6"/>
    <x v="2"/>
    <s v="Master's"/>
    <x v="188"/>
    <x v="0"/>
    <m/>
    <x v="174"/>
    <x v="3"/>
    <n v="5"/>
    <s v="Yes"/>
    <s v="Married"/>
  </r>
  <r>
    <n v="1202"/>
    <s v="Kavya Desai"/>
    <x v="0"/>
    <n v="52"/>
    <x v="7"/>
    <x v="18"/>
    <x v="7"/>
    <s v="MBA"/>
    <x v="105"/>
    <x v="0"/>
    <m/>
    <x v="175"/>
    <x v="2"/>
    <n v="3"/>
    <s v="Yes"/>
    <s v="Single"/>
  </r>
  <r>
    <n v="1203"/>
    <s v="Aarav Sharma"/>
    <x v="0"/>
    <n v="32"/>
    <x v="6"/>
    <x v="9"/>
    <x v="3"/>
    <s v="MBA"/>
    <x v="189"/>
    <x v="0"/>
    <m/>
    <x v="176"/>
    <x v="3"/>
    <n v="5"/>
    <s v="No"/>
    <s v="Single"/>
  </r>
  <r>
    <n v="1204"/>
    <s v="Ritu Nair"/>
    <x v="1"/>
    <n v="44"/>
    <x v="2"/>
    <x v="17"/>
    <x v="7"/>
    <s v="Diploma"/>
    <x v="190"/>
    <x v="0"/>
    <m/>
    <x v="177"/>
    <x v="1"/>
    <n v="3"/>
    <s v="Yes"/>
    <s v="Married"/>
  </r>
  <r>
    <n v="1205"/>
    <s v="Manish Chopra"/>
    <x v="1"/>
    <n v="35"/>
    <x v="2"/>
    <x v="17"/>
    <x v="6"/>
    <s v="Bachelor's"/>
    <x v="191"/>
    <x v="0"/>
    <m/>
    <x v="22"/>
    <x v="2"/>
    <n v="5"/>
    <s v="Yes"/>
    <s v="Single"/>
  </r>
  <r>
    <n v="1206"/>
    <s v="Riya Verma"/>
    <x v="1"/>
    <n v="30"/>
    <x v="0"/>
    <x v="0"/>
    <x v="0"/>
    <s v="MBA"/>
    <x v="192"/>
    <x v="0"/>
    <m/>
    <x v="26"/>
    <x v="3"/>
    <n v="3"/>
    <s v="Yes"/>
    <s v="Single"/>
  </r>
  <r>
    <n v="1207"/>
    <s v="Rohan Kapoor"/>
    <x v="1"/>
    <n v="25"/>
    <x v="3"/>
    <x v="4"/>
    <x v="7"/>
    <s v="Master's"/>
    <x v="193"/>
    <x v="0"/>
    <m/>
    <x v="105"/>
    <x v="0"/>
    <n v="4"/>
    <s v="No"/>
    <s v="Married"/>
  </r>
  <r>
    <n v="1208"/>
    <s v="Karan Sharma"/>
    <x v="1"/>
    <n v="43"/>
    <x v="7"/>
    <x v="14"/>
    <x v="1"/>
    <s v="Diploma"/>
    <x v="194"/>
    <x v="1"/>
    <s v="05-11-2020"/>
    <x v="112"/>
    <x v="2"/>
    <n v="3"/>
    <s v="No"/>
    <s v="Married"/>
  </r>
  <r>
    <n v="1209"/>
    <s v="Sanya Desai"/>
    <x v="1"/>
    <n v="24"/>
    <x v="7"/>
    <x v="18"/>
    <x v="2"/>
    <s v="Diploma"/>
    <x v="195"/>
    <x v="0"/>
    <m/>
    <x v="178"/>
    <x v="3"/>
    <n v="5"/>
    <s v="No"/>
    <s v="Married"/>
  </r>
  <r>
    <n v="1210"/>
    <s v="Rahul Agarwal"/>
    <x v="0"/>
    <n v="28"/>
    <x v="2"/>
    <x v="17"/>
    <x v="1"/>
    <s v="Diploma"/>
    <x v="196"/>
    <x v="0"/>
    <m/>
    <x v="179"/>
    <x v="3"/>
    <n v="1"/>
    <s v="Yes"/>
    <s v="Single"/>
  </r>
  <r>
    <n v="1211"/>
    <s v="Nishant Verma"/>
    <x v="1"/>
    <n v="33"/>
    <x v="2"/>
    <x v="17"/>
    <x v="7"/>
    <s v="Master's"/>
    <x v="197"/>
    <x v="0"/>
    <m/>
    <x v="180"/>
    <x v="2"/>
    <n v="4"/>
    <s v="No"/>
    <s v="Single"/>
  </r>
  <r>
    <n v="1212"/>
    <s v="Amit Joshi"/>
    <x v="0"/>
    <n v="28"/>
    <x v="3"/>
    <x v="16"/>
    <x v="7"/>
    <s v="Bachelor's"/>
    <x v="198"/>
    <x v="0"/>
    <m/>
    <x v="0"/>
    <x v="3"/>
    <n v="3"/>
    <s v="Yes"/>
    <s v="Single"/>
  </r>
  <r>
    <n v="1213"/>
    <s v="Yash Mehta"/>
    <x v="0"/>
    <n v="23"/>
    <x v="6"/>
    <x v="12"/>
    <x v="1"/>
    <s v="MBA"/>
    <x v="199"/>
    <x v="0"/>
    <m/>
    <x v="181"/>
    <x v="2"/>
    <n v="3"/>
    <s v="No"/>
    <s v="Married"/>
  </r>
  <r>
    <n v="1214"/>
    <s v="Aarohi Kumar"/>
    <x v="1"/>
    <n v="41"/>
    <x v="2"/>
    <x v="7"/>
    <x v="2"/>
    <s v="Master's"/>
    <x v="200"/>
    <x v="0"/>
    <m/>
    <x v="182"/>
    <x v="4"/>
    <n v="2"/>
    <s v="Yes"/>
    <s v="Married"/>
  </r>
  <r>
    <n v="1215"/>
    <s v="Pooja Saxena"/>
    <x v="0"/>
    <n v="45"/>
    <x v="1"/>
    <x v="1"/>
    <x v="1"/>
    <s v="Master's"/>
    <x v="201"/>
    <x v="0"/>
    <m/>
    <x v="183"/>
    <x v="1"/>
    <n v="2"/>
    <s v="No"/>
    <s v="Single"/>
  </r>
  <r>
    <n v="1216"/>
    <s v="Anjali Singh"/>
    <x v="1"/>
    <n v="54"/>
    <x v="0"/>
    <x v="0"/>
    <x v="2"/>
    <s v="Master's"/>
    <x v="202"/>
    <x v="0"/>
    <m/>
    <x v="184"/>
    <x v="2"/>
    <n v="1"/>
    <s v="No"/>
    <s v="Married"/>
  </r>
  <r>
    <n v="1217"/>
    <s v="Amit Mehta"/>
    <x v="0"/>
    <n v="22"/>
    <x v="0"/>
    <x v="10"/>
    <x v="6"/>
    <s v="Master's"/>
    <x v="203"/>
    <x v="0"/>
    <m/>
    <x v="185"/>
    <x v="3"/>
    <n v="1"/>
    <s v="Yes"/>
    <s v="Single"/>
  </r>
  <r>
    <n v="1218"/>
    <s v="Manish Kapoor"/>
    <x v="1"/>
    <n v="55"/>
    <x v="4"/>
    <x v="13"/>
    <x v="5"/>
    <s v="Master's"/>
    <x v="204"/>
    <x v="0"/>
    <m/>
    <x v="186"/>
    <x v="2"/>
    <n v="5"/>
    <s v="Yes"/>
    <s v="Married"/>
  </r>
  <r>
    <n v="1219"/>
    <s v="Suresh Kumar"/>
    <x v="1"/>
    <n v="39"/>
    <x v="7"/>
    <x v="18"/>
    <x v="6"/>
    <s v="Bachelor's"/>
    <x v="205"/>
    <x v="0"/>
    <m/>
    <x v="142"/>
    <x v="2"/>
    <n v="2"/>
    <s v="Yes"/>
    <s v="Married"/>
  </r>
  <r>
    <n v="1220"/>
    <s v="Anjali Desai"/>
    <x v="0"/>
    <n v="51"/>
    <x v="5"/>
    <x v="22"/>
    <x v="7"/>
    <s v="Bachelor's"/>
    <x v="206"/>
    <x v="0"/>
    <m/>
    <x v="187"/>
    <x v="2"/>
    <n v="3"/>
    <s v="No"/>
    <s v="Married"/>
  </r>
  <r>
    <n v="1221"/>
    <s v="Rohan Desai"/>
    <x v="0"/>
    <n v="48"/>
    <x v="6"/>
    <x v="12"/>
    <x v="3"/>
    <s v="Diploma"/>
    <x v="207"/>
    <x v="0"/>
    <m/>
    <x v="51"/>
    <x v="3"/>
    <n v="5"/>
    <s v="No"/>
    <s v="Married"/>
  </r>
  <r>
    <n v="1222"/>
    <s v="Riya Nair"/>
    <x v="1"/>
    <n v="47"/>
    <x v="4"/>
    <x v="15"/>
    <x v="1"/>
    <s v="Bachelor's"/>
    <x v="32"/>
    <x v="0"/>
    <m/>
    <x v="188"/>
    <x v="3"/>
    <n v="3"/>
    <s v="No"/>
    <s v="Single"/>
  </r>
  <r>
    <n v="1223"/>
    <s v="Neha Kumar"/>
    <x v="0"/>
    <n v="26"/>
    <x v="6"/>
    <x v="12"/>
    <x v="3"/>
    <s v="MBA"/>
    <x v="208"/>
    <x v="0"/>
    <m/>
    <x v="189"/>
    <x v="2"/>
    <n v="3"/>
    <s v="Yes"/>
    <s v="Single"/>
  </r>
  <r>
    <n v="1224"/>
    <s v="Ritu Saxena"/>
    <x v="0"/>
    <n v="58"/>
    <x v="5"/>
    <x v="8"/>
    <x v="7"/>
    <s v="Diploma"/>
    <x v="209"/>
    <x v="0"/>
    <m/>
    <x v="190"/>
    <x v="0"/>
    <n v="3"/>
    <s v="Yes"/>
    <s v="Single"/>
  </r>
  <r>
    <n v="1225"/>
    <s v="Suresh Joshi"/>
    <x v="1"/>
    <n v="24"/>
    <x v="2"/>
    <x v="3"/>
    <x v="5"/>
    <s v="Master's"/>
    <x v="210"/>
    <x v="0"/>
    <m/>
    <x v="191"/>
    <x v="3"/>
    <n v="1"/>
    <s v="No"/>
    <s v="Single"/>
  </r>
  <r>
    <n v="1226"/>
    <s v="Rakesh Chopra"/>
    <x v="0"/>
    <n v="50"/>
    <x v="4"/>
    <x v="6"/>
    <x v="7"/>
    <s v="MBA"/>
    <x v="211"/>
    <x v="0"/>
    <m/>
    <x v="192"/>
    <x v="2"/>
    <n v="1"/>
    <s v="No"/>
    <s v="Married"/>
  </r>
  <r>
    <n v="1227"/>
    <s v="Sneha Reddy"/>
    <x v="1"/>
    <n v="53"/>
    <x v="0"/>
    <x v="10"/>
    <x v="4"/>
    <s v="MBA"/>
    <x v="212"/>
    <x v="0"/>
    <m/>
    <x v="193"/>
    <x v="3"/>
    <n v="4"/>
    <s v="No"/>
    <s v="Single"/>
  </r>
  <r>
    <n v="1228"/>
    <s v="Simran Nair"/>
    <x v="1"/>
    <n v="56"/>
    <x v="5"/>
    <x v="22"/>
    <x v="4"/>
    <s v="MBA"/>
    <x v="213"/>
    <x v="0"/>
    <m/>
    <x v="140"/>
    <x v="2"/>
    <n v="4"/>
    <s v="Yes"/>
    <s v="Married"/>
  </r>
  <r>
    <n v="1229"/>
    <s v="Kavya Gupta"/>
    <x v="1"/>
    <n v="24"/>
    <x v="2"/>
    <x v="7"/>
    <x v="2"/>
    <s v="MBA"/>
    <x v="52"/>
    <x v="0"/>
    <m/>
    <x v="194"/>
    <x v="4"/>
    <n v="4"/>
    <s v="No"/>
    <s v="Married"/>
  </r>
  <r>
    <n v="1230"/>
    <s v="Sanya Iyer"/>
    <x v="0"/>
    <n v="35"/>
    <x v="2"/>
    <x v="3"/>
    <x v="7"/>
    <s v="Bachelor's"/>
    <x v="214"/>
    <x v="0"/>
    <m/>
    <x v="195"/>
    <x v="0"/>
    <n v="4"/>
    <s v="No"/>
    <s v="Married"/>
  </r>
  <r>
    <n v="1231"/>
    <s v="Ritu Sharma"/>
    <x v="1"/>
    <n v="52"/>
    <x v="3"/>
    <x v="4"/>
    <x v="3"/>
    <s v="Diploma"/>
    <x v="215"/>
    <x v="0"/>
    <m/>
    <x v="196"/>
    <x v="2"/>
    <n v="5"/>
    <s v="Yes"/>
    <s v="Single"/>
  </r>
  <r>
    <n v="1232"/>
    <s v="Sneha Nair"/>
    <x v="0"/>
    <n v="46"/>
    <x v="0"/>
    <x v="10"/>
    <x v="2"/>
    <s v="MBA"/>
    <x v="216"/>
    <x v="1"/>
    <s v="13-07-2025"/>
    <x v="197"/>
    <x v="2"/>
    <n v="1"/>
    <s v="Yes"/>
    <s v="Married"/>
  </r>
  <r>
    <n v="1233"/>
    <s v="Meera Nair"/>
    <x v="0"/>
    <n v="52"/>
    <x v="0"/>
    <x v="10"/>
    <x v="6"/>
    <s v="MBA"/>
    <x v="217"/>
    <x v="0"/>
    <m/>
    <x v="198"/>
    <x v="3"/>
    <n v="2"/>
    <s v="No"/>
    <s v="Single"/>
  </r>
  <r>
    <n v="1234"/>
    <s v="Kavya Patel"/>
    <x v="0"/>
    <n v="56"/>
    <x v="7"/>
    <x v="18"/>
    <x v="1"/>
    <s v="Master's"/>
    <x v="218"/>
    <x v="0"/>
    <m/>
    <x v="199"/>
    <x v="0"/>
    <n v="3"/>
    <s v="No"/>
    <s v="Married"/>
  </r>
  <r>
    <n v="1235"/>
    <s v="Pooja Verma"/>
    <x v="0"/>
    <n v="56"/>
    <x v="5"/>
    <x v="22"/>
    <x v="3"/>
    <s v="Diploma"/>
    <x v="48"/>
    <x v="0"/>
    <m/>
    <x v="200"/>
    <x v="0"/>
    <n v="3"/>
    <s v="No"/>
    <s v="Married"/>
  </r>
  <r>
    <n v="1236"/>
    <s v="Rakesh Pillai"/>
    <x v="1"/>
    <n v="57"/>
    <x v="7"/>
    <x v="14"/>
    <x v="6"/>
    <s v="Diploma"/>
    <x v="219"/>
    <x v="1"/>
    <s v="27-12-2024"/>
    <x v="201"/>
    <x v="4"/>
    <n v="3"/>
    <s v="Yes"/>
    <s v="Married"/>
  </r>
  <r>
    <n v="1237"/>
    <s v="Riya Bhatia"/>
    <x v="0"/>
    <n v="47"/>
    <x v="1"/>
    <x v="1"/>
    <x v="6"/>
    <s v="Diploma"/>
    <x v="220"/>
    <x v="0"/>
    <m/>
    <x v="202"/>
    <x v="2"/>
    <n v="1"/>
    <s v="Yes"/>
    <s v="Single"/>
  </r>
  <r>
    <n v="1238"/>
    <s v="Kavya Gupta"/>
    <x v="0"/>
    <n v="36"/>
    <x v="2"/>
    <x v="11"/>
    <x v="4"/>
    <s v="Diploma"/>
    <x v="221"/>
    <x v="1"/>
    <s v="25-05-2025"/>
    <x v="118"/>
    <x v="3"/>
    <n v="2"/>
    <s v="Yes"/>
    <s v="Married"/>
  </r>
  <r>
    <n v="1239"/>
    <s v="Nishant Nair"/>
    <x v="1"/>
    <n v="50"/>
    <x v="0"/>
    <x v="20"/>
    <x v="6"/>
    <s v="MBA"/>
    <x v="222"/>
    <x v="0"/>
    <m/>
    <x v="203"/>
    <x v="0"/>
    <n v="1"/>
    <s v="Yes"/>
    <s v="Married"/>
  </r>
  <r>
    <n v="1240"/>
    <s v="Aarohi Iyer"/>
    <x v="0"/>
    <n v="57"/>
    <x v="2"/>
    <x v="17"/>
    <x v="2"/>
    <s v="MBA"/>
    <x v="223"/>
    <x v="0"/>
    <m/>
    <x v="179"/>
    <x v="3"/>
    <n v="4"/>
    <s v="Yes"/>
    <s v="Married"/>
  </r>
  <r>
    <n v="1241"/>
    <s v="Arjun Patel"/>
    <x v="0"/>
    <n v="51"/>
    <x v="1"/>
    <x v="1"/>
    <x v="0"/>
    <s v="Master's"/>
    <x v="224"/>
    <x v="0"/>
    <m/>
    <x v="136"/>
    <x v="2"/>
    <n v="1"/>
    <s v="Yes"/>
    <s v="Married"/>
  </r>
  <r>
    <n v="1242"/>
    <s v="Nishant Nair"/>
    <x v="1"/>
    <n v="53"/>
    <x v="5"/>
    <x v="8"/>
    <x v="7"/>
    <s v="Bachelor's"/>
    <x v="225"/>
    <x v="0"/>
    <m/>
    <x v="183"/>
    <x v="2"/>
    <n v="5"/>
    <s v="Yes"/>
    <s v="Single"/>
  </r>
  <r>
    <n v="1243"/>
    <s v="Kabir Kumar"/>
    <x v="0"/>
    <n v="28"/>
    <x v="1"/>
    <x v="1"/>
    <x v="2"/>
    <s v="Bachelor's"/>
    <x v="226"/>
    <x v="0"/>
    <m/>
    <x v="31"/>
    <x v="1"/>
    <n v="1"/>
    <s v="Yes"/>
    <s v="Married"/>
  </r>
  <r>
    <n v="1244"/>
    <s v="Sanya Bhatia"/>
    <x v="0"/>
    <n v="29"/>
    <x v="1"/>
    <x v="2"/>
    <x v="7"/>
    <s v="Master's"/>
    <x v="227"/>
    <x v="0"/>
    <m/>
    <x v="204"/>
    <x v="3"/>
    <n v="5"/>
    <s v="Yes"/>
    <s v="Single"/>
  </r>
  <r>
    <n v="1245"/>
    <s v="Divya Mehta"/>
    <x v="0"/>
    <n v="48"/>
    <x v="0"/>
    <x v="0"/>
    <x v="1"/>
    <s v="Bachelor's"/>
    <x v="228"/>
    <x v="1"/>
    <s v="26-05-2021"/>
    <x v="136"/>
    <x v="3"/>
    <n v="3"/>
    <s v="Yes"/>
    <s v="Single"/>
  </r>
  <r>
    <n v="1246"/>
    <s v="Rohan Sharma"/>
    <x v="0"/>
    <n v="28"/>
    <x v="5"/>
    <x v="22"/>
    <x v="2"/>
    <s v="Bachelor's"/>
    <x v="229"/>
    <x v="0"/>
    <m/>
    <x v="205"/>
    <x v="2"/>
    <n v="1"/>
    <s v="No"/>
    <s v="Married"/>
  </r>
  <r>
    <n v="1247"/>
    <s v="Riya Reddy"/>
    <x v="1"/>
    <n v="47"/>
    <x v="5"/>
    <x v="8"/>
    <x v="6"/>
    <s v="MBA"/>
    <x v="230"/>
    <x v="0"/>
    <m/>
    <x v="206"/>
    <x v="0"/>
    <n v="5"/>
    <s v="Yes"/>
    <s v="Single"/>
  </r>
  <r>
    <n v="1248"/>
    <s v="Ishita Singh"/>
    <x v="1"/>
    <n v="27"/>
    <x v="3"/>
    <x v="5"/>
    <x v="6"/>
    <s v="Master's"/>
    <x v="231"/>
    <x v="1"/>
    <s v="17-03-2022"/>
    <x v="207"/>
    <x v="2"/>
    <n v="5"/>
    <s v="Yes"/>
    <s v="Married"/>
  </r>
  <r>
    <n v="1249"/>
    <s v="Yash Singh"/>
    <x v="1"/>
    <n v="37"/>
    <x v="1"/>
    <x v="21"/>
    <x v="6"/>
    <s v="Bachelor's"/>
    <x v="232"/>
    <x v="1"/>
    <s v="10-11-2020"/>
    <x v="11"/>
    <x v="1"/>
    <n v="3"/>
    <s v="No"/>
    <s v="Single"/>
  </r>
  <r>
    <n v="1250"/>
    <s v="Anjali Bhatia"/>
    <x v="1"/>
    <n v="24"/>
    <x v="0"/>
    <x v="20"/>
    <x v="3"/>
    <s v="Diploma"/>
    <x v="211"/>
    <x v="0"/>
    <m/>
    <x v="58"/>
    <x v="0"/>
    <n v="2"/>
    <s v="Yes"/>
    <s v="Married"/>
  </r>
  <r>
    <n v="1251"/>
    <s v="Vikram Patel"/>
    <x v="1"/>
    <n v="22"/>
    <x v="1"/>
    <x v="21"/>
    <x v="7"/>
    <s v="Bachelor's"/>
    <x v="233"/>
    <x v="0"/>
    <m/>
    <x v="72"/>
    <x v="3"/>
    <n v="1"/>
    <s v="Yes"/>
    <s v="Single"/>
  </r>
  <r>
    <n v="1252"/>
    <s v="Kavya Verma"/>
    <x v="0"/>
    <n v="53"/>
    <x v="6"/>
    <x v="12"/>
    <x v="7"/>
    <s v="Master's"/>
    <x v="234"/>
    <x v="0"/>
    <m/>
    <x v="162"/>
    <x v="3"/>
    <n v="1"/>
    <s v="No"/>
    <s v="Single"/>
  </r>
  <r>
    <n v="1253"/>
    <s v="Priya Mehta"/>
    <x v="0"/>
    <n v="37"/>
    <x v="4"/>
    <x v="13"/>
    <x v="2"/>
    <s v="Master's"/>
    <x v="235"/>
    <x v="0"/>
    <m/>
    <x v="208"/>
    <x v="3"/>
    <n v="5"/>
    <s v="Yes"/>
    <s v="Married"/>
  </r>
  <r>
    <n v="1254"/>
    <s v="Pooja Mehta"/>
    <x v="0"/>
    <n v="43"/>
    <x v="6"/>
    <x v="9"/>
    <x v="0"/>
    <s v="Master's"/>
    <x v="236"/>
    <x v="0"/>
    <m/>
    <x v="209"/>
    <x v="4"/>
    <n v="1"/>
    <s v="Yes"/>
    <s v="Married"/>
  </r>
  <r>
    <n v="1255"/>
    <s v="Priya Rao"/>
    <x v="0"/>
    <n v="27"/>
    <x v="3"/>
    <x v="16"/>
    <x v="7"/>
    <s v="Master's"/>
    <x v="237"/>
    <x v="1"/>
    <s v="06-12-2023"/>
    <x v="210"/>
    <x v="2"/>
    <n v="1"/>
    <s v="No"/>
    <s v="Single"/>
  </r>
  <r>
    <n v="1256"/>
    <s v="Rakesh Bhatia"/>
    <x v="0"/>
    <n v="46"/>
    <x v="1"/>
    <x v="21"/>
    <x v="6"/>
    <s v="Bachelor's"/>
    <x v="238"/>
    <x v="1"/>
    <s v="31-01-2021"/>
    <x v="199"/>
    <x v="2"/>
    <n v="2"/>
    <s v="No"/>
    <s v="Married"/>
  </r>
  <r>
    <n v="1257"/>
    <s v="Aarohi Kumar"/>
    <x v="0"/>
    <n v="22"/>
    <x v="1"/>
    <x v="21"/>
    <x v="3"/>
    <s v="Bachelor's"/>
    <x v="239"/>
    <x v="0"/>
    <m/>
    <x v="186"/>
    <x v="2"/>
    <n v="3"/>
    <s v="No"/>
    <s v="Single"/>
  </r>
  <r>
    <n v="1258"/>
    <s v="Simran Agarwal"/>
    <x v="0"/>
    <n v="54"/>
    <x v="2"/>
    <x v="17"/>
    <x v="3"/>
    <s v="Bachelor's"/>
    <x v="240"/>
    <x v="0"/>
    <m/>
    <x v="211"/>
    <x v="1"/>
    <n v="4"/>
    <s v="Yes"/>
    <s v="Married"/>
  </r>
  <r>
    <n v="1259"/>
    <s v="Neha Joshi"/>
    <x v="1"/>
    <n v="50"/>
    <x v="0"/>
    <x v="10"/>
    <x v="0"/>
    <s v="Diploma"/>
    <x v="241"/>
    <x v="0"/>
    <m/>
    <x v="212"/>
    <x v="1"/>
    <n v="4"/>
    <s v="Yes"/>
    <s v="Married"/>
  </r>
  <r>
    <n v="1260"/>
    <s v="Neha Patel"/>
    <x v="1"/>
    <n v="47"/>
    <x v="5"/>
    <x v="22"/>
    <x v="6"/>
    <s v="Bachelor's"/>
    <x v="242"/>
    <x v="0"/>
    <m/>
    <x v="213"/>
    <x v="3"/>
    <n v="2"/>
    <s v="No"/>
    <s v="Single"/>
  </r>
  <r>
    <n v="1261"/>
    <s v="Priya Desai"/>
    <x v="0"/>
    <n v="45"/>
    <x v="4"/>
    <x v="15"/>
    <x v="3"/>
    <s v="Diploma"/>
    <x v="243"/>
    <x v="0"/>
    <m/>
    <x v="188"/>
    <x v="3"/>
    <n v="1"/>
    <s v="No"/>
    <s v="Single"/>
  </r>
  <r>
    <n v="1262"/>
    <s v="Aarav Agarwal"/>
    <x v="1"/>
    <n v="25"/>
    <x v="2"/>
    <x v="17"/>
    <x v="4"/>
    <s v="MBA"/>
    <x v="244"/>
    <x v="0"/>
    <m/>
    <x v="214"/>
    <x v="3"/>
    <n v="2"/>
    <s v="No"/>
    <s v="Married"/>
  </r>
  <r>
    <n v="1263"/>
    <s v="Manish Kumar"/>
    <x v="1"/>
    <n v="38"/>
    <x v="7"/>
    <x v="14"/>
    <x v="3"/>
    <s v="Bachelor's"/>
    <x v="245"/>
    <x v="0"/>
    <m/>
    <x v="215"/>
    <x v="2"/>
    <n v="3"/>
    <s v="Yes"/>
    <s v="Single"/>
  </r>
  <r>
    <n v="1264"/>
    <s v="Ritu Saxena"/>
    <x v="0"/>
    <n v="31"/>
    <x v="6"/>
    <x v="12"/>
    <x v="7"/>
    <s v="Bachelor's"/>
    <x v="246"/>
    <x v="0"/>
    <m/>
    <x v="216"/>
    <x v="2"/>
    <n v="4"/>
    <s v="Yes"/>
    <s v="Married"/>
  </r>
  <r>
    <n v="1265"/>
    <s v="Arjun Joshi"/>
    <x v="0"/>
    <n v="50"/>
    <x v="5"/>
    <x v="19"/>
    <x v="0"/>
    <s v="MBA"/>
    <x v="247"/>
    <x v="0"/>
    <m/>
    <x v="217"/>
    <x v="3"/>
    <n v="3"/>
    <s v="No"/>
    <s v="Married"/>
  </r>
  <r>
    <n v="1266"/>
    <s v="Riya Gupta"/>
    <x v="1"/>
    <n v="33"/>
    <x v="6"/>
    <x v="12"/>
    <x v="2"/>
    <s v="Master's"/>
    <x v="248"/>
    <x v="0"/>
    <m/>
    <x v="218"/>
    <x v="2"/>
    <n v="3"/>
    <s v="No"/>
    <s v="Married"/>
  </r>
  <r>
    <n v="1267"/>
    <s v="Neha Kapoor"/>
    <x v="0"/>
    <n v="30"/>
    <x v="2"/>
    <x v="3"/>
    <x v="3"/>
    <s v="MBA"/>
    <x v="249"/>
    <x v="0"/>
    <m/>
    <x v="47"/>
    <x v="0"/>
    <n v="5"/>
    <s v="Yes"/>
    <s v="Single"/>
  </r>
  <r>
    <n v="1268"/>
    <s v="Yash Rao"/>
    <x v="0"/>
    <n v="31"/>
    <x v="1"/>
    <x v="1"/>
    <x v="2"/>
    <s v="Master's"/>
    <x v="250"/>
    <x v="0"/>
    <m/>
    <x v="219"/>
    <x v="3"/>
    <n v="3"/>
    <s v="Yes"/>
    <s v="Married"/>
  </r>
  <r>
    <n v="1269"/>
    <s v="Manish Malhotra"/>
    <x v="1"/>
    <n v="35"/>
    <x v="6"/>
    <x v="9"/>
    <x v="0"/>
    <s v="MBA"/>
    <x v="251"/>
    <x v="0"/>
    <m/>
    <x v="105"/>
    <x v="2"/>
    <n v="1"/>
    <s v="No"/>
    <s v="Single"/>
  </r>
  <r>
    <n v="1270"/>
    <s v="Rakesh Agarwal"/>
    <x v="1"/>
    <n v="51"/>
    <x v="4"/>
    <x v="6"/>
    <x v="6"/>
    <s v="Bachelor's"/>
    <x v="252"/>
    <x v="0"/>
    <m/>
    <x v="61"/>
    <x v="3"/>
    <n v="5"/>
    <s v="Yes"/>
    <s v="Single"/>
  </r>
  <r>
    <n v="1271"/>
    <s v="Simran Bhatia"/>
    <x v="1"/>
    <n v="43"/>
    <x v="3"/>
    <x v="16"/>
    <x v="2"/>
    <s v="MBA"/>
    <x v="19"/>
    <x v="0"/>
    <m/>
    <x v="220"/>
    <x v="2"/>
    <n v="2"/>
    <s v="No"/>
    <s v="Single"/>
  </r>
  <r>
    <n v="1272"/>
    <s v="Riya Reddy"/>
    <x v="1"/>
    <n v="39"/>
    <x v="5"/>
    <x v="8"/>
    <x v="7"/>
    <s v="Bachelor's"/>
    <x v="253"/>
    <x v="0"/>
    <m/>
    <x v="221"/>
    <x v="2"/>
    <n v="5"/>
    <s v="No"/>
    <s v="Single"/>
  </r>
  <r>
    <n v="1273"/>
    <s v="Pooja Verma"/>
    <x v="0"/>
    <n v="58"/>
    <x v="7"/>
    <x v="14"/>
    <x v="0"/>
    <s v="Diploma"/>
    <x v="254"/>
    <x v="0"/>
    <m/>
    <x v="222"/>
    <x v="1"/>
    <n v="5"/>
    <s v="No"/>
    <s v="Single"/>
  </r>
  <r>
    <n v="1274"/>
    <s v="Rohan Saxena"/>
    <x v="1"/>
    <n v="34"/>
    <x v="4"/>
    <x v="6"/>
    <x v="4"/>
    <s v="MBA"/>
    <x v="255"/>
    <x v="0"/>
    <m/>
    <x v="223"/>
    <x v="3"/>
    <n v="2"/>
    <s v="Yes"/>
    <s v="Married"/>
  </r>
  <r>
    <n v="1275"/>
    <s v="Aarav Desai"/>
    <x v="0"/>
    <n v="44"/>
    <x v="0"/>
    <x v="10"/>
    <x v="1"/>
    <s v="Bachelor's"/>
    <x v="256"/>
    <x v="0"/>
    <m/>
    <x v="86"/>
    <x v="3"/>
    <n v="5"/>
    <s v="No"/>
    <s v="Married"/>
  </r>
  <r>
    <n v="1276"/>
    <s v="Amit Reddy"/>
    <x v="0"/>
    <n v="33"/>
    <x v="7"/>
    <x v="14"/>
    <x v="0"/>
    <s v="Bachelor's"/>
    <x v="257"/>
    <x v="0"/>
    <m/>
    <x v="150"/>
    <x v="4"/>
    <n v="1"/>
    <s v="No"/>
    <s v="Single"/>
  </r>
  <r>
    <n v="1277"/>
    <s v="Kavya Patel"/>
    <x v="0"/>
    <n v="42"/>
    <x v="3"/>
    <x v="4"/>
    <x v="0"/>
    <s v="MBA"/>
    <x v="258"/>
    <x v="0"/>
    <m/>
    <x v="224"/>
    <x v="1"/>
    <n v="5"/>
    <s v="No"/>
    <s v="Married"/>
  </r>
  <r>
    <n v="1278"/>
    <s v="Aarav Joshi"/>
    <x v="0"/>
    <n v="46"/>
    <x v="0"/>
    <x v="0"/>
    <x v="2"/>
    <s v="Diploma"/>
    <x v="259"/>
    <x v="1"/>
    <s v="12-01-2020"/>
    <x v="225"/>
    <x v="3"/>
    <n v="1"/>
    <s v="Yes"/>
    <s v="Married"/>
  </r>
  <r>
    <n v="1279"/>
    <s v="Ishita Sharma"/>
    <x v="1"/>
    <n v="42"/>
    <x v="3"/>
    <x v="16"/>
    <x v="6"/>
    <s v="Bachelor's"/>
    <x v="260"/>
    <x v="0"/>
    <m/>
    <x v="226"/>
    <x v="1"/>
    <n v="2"/>
    <s v="Yes"/>
    <s v="Single"/>
  </r>
  <r>
    <n v="1280"/>
    <s v="Aarav Joshi"/>
    <x v="0"/>
    <n v="50"/>
    <x v="4"/>
    <x v="13"/>
    <x v="4"/>
    <s v="Master's"/>
    <x v="261"/>
    <x v="0"/>
    <m/>
    <x v="227"/>
    <x v="1"/>
    <n v="4"/>
    <s v="Yes"/>
    <s v="Single"/>
  </r>
  <r>
    <n v="1281"/>
    <s v="Kavya Kumar"/>
    <x v="1"/>
    <n v="31"/>
    <x v="6"/>
    <x v="12"/>
    <x v="5"/>
    <s v="Diploma"/>
    <x v="262"/>
    <x v="1"/>
    <s v="31-01-2022"/>
    <x v="97"/>
    <x v="3"/>
    <n v="2"/>
    <s v="Yes"/>
    <s v="Married"/>
  </r>
  <r>
    <n v="1282"/>
    <s v="Yash Iyer"/>
    <x v="1"/>
    <n v="24"/>
    <x v="1"/>
    <x v="21"/>
    <x v="6"/>
    <s v="Bachelor's"/>
    <x v="263"/>
    <x v="0"/>
    <m/>
    <x v="228"/>
    <x v="2"/>
    <n v="2"/>
    <s v="Yes"/>
    <s v="Married"/>
  </r>
  <r>
    <n v="1283"/>
    <s v="Aditi Verma"/>
    <x v="1"/>
    <n v="28"/>
    <x v="3"/>
    <x v="16"/>
    <x v="5"/>
    <s v="Bachelor's"/>
    <x v="264"/>
    <x v="0"/>
    <m/>
    <x v="11"/>
    <x v="3"/>
    <n v="3"/>
    <s v="Yes"/>
    <s v="Married"/>
  </r>
  <r>
    <n v="1284"/>
    <s v="Ritu Sharma"/>
    <x v="1"/>
    <n v="25"/>
    <x v="0"/>
    <x v="10"/>
    <x v="0"/>
    <s v="Bachelor's"/>
    <x v="265"/>
    <x v="0"/>
    <m/>
    <x v="75"/>
    <x v="2"/>
    <n v="5"/>
    <s v="Yes"/>
    <s v="Single"/>
  </r>
  <r>
    <n v="1285"/>
    <s v="Ananya Agarwal"/>
    <x v="0"/>
    <n v="29"/>
    <x v="1"/>
    <x v="21"/>
    <x v="6"/>
    <s v="Diploma"/>
    <x v="266"/>
    <x v="1"/>
    <s v="23-09-2021"/>
    <x v="50"/>
    <x v="2"/>
    <n v="1"/>
    <s v="Yes"/>
    <s v="Married"/>
  </r>
  <r>
    <n v="1286"/>
    <s v="Aditi Malhotra"/>
    <x v="0"/>
    <n v="34"/>
    <x v="5"/>
    <x v="22"/>
    <x v="5"/>
    <s v="MBA"/>
    <x v="267"/>
    <x v="0"/>
    <m/>
    <x v="113"/>
    <x v="4"/>
    <n v="5"/>
    <s v="Yes"/>
    <s v="Married"/>
  </r>
  <r>
    <n v="1287"/>
    <s v="Karan Rao"/>
    <x v="1"/>
    <n v="30"/>
    <x v="4"/>
    <x v="13"/>
    <x v="1"/>
    <s v="Bachelor's"/>
    <x v="268"/>
    <x v="0"/>
    <m/>
    <x v="229"/>
    <x v="0"/>
    <n v="3"/>
    <s v="No"/>
    <s v="Married"/>
  </r>
  <r>
    <n v="1288"/>
    <s v="Rakesh Patel"/>
    <x v="0"/>
    <n v="46"/>
    <x v="5"/>
    <x v="8"/>
    <x v="1"/>
    <s v="MBA"/>
    <x v="269"/>
    <x v="0"/>
    <m/>
    <x v="136"/>
    <x v="2"/>
    <n v="4"/>
    <s v="No"/>
    <s v="Married"/>
  </r>
  <r>
    <n v="1289"/>
    <s v="Anjali Iyer"/>
    <x v="1"/>
    <n v="56"/>
    <x v="6"/>
    <x v="12"/>
    <x v="7"/>
    <s v="Master's"/>
    <x v="270"/>
    <x v="0"/>
    <m/>
    <x v="230"/>
    <x v="2"/>
    <n v="2"/>
    <s v="No"/>
    <s v="Single"/>
  </r>
  <r>
    <n v="1290"/>
    <s v="Simran Reddy"/>
    <x v="1"/>
    <n v="45"/>
    <x v="0"/>
    <x v="20"/>
    <x v="3"/>
    <s v="MBA"/>
    <x v="271"/>
    <x v="1"/>
    <s v="03-10-2024"/>
    <x v="231"/>
    <x v="1"/>
    <n v="1"/>
    <s v="Yes"/>
    <s v="Married"/>
  </r>
  <r>
    <n v="1291"/>
    <s v="Ritu Agarwal"/>
    <x v="1"/>
    <n v="38"/>
    <x v="1"/>
    <x v="21"/>
    <x v="2"/>
    <s v="Bachelor's"/>
    <x v="272"/>
    <x v="1"/>
    <s v="23-02-2024"/>
    <x v="232"/>
    <x v="1"/>
    <n v="5"/>
    <s v="Yes"/>
    <s v="Married"/>
  </r>
  <r>
    <n v="1292"/>
    <s v="Vikram Mehta"/>
    <x v="1"/>
    <n v="35"/>
    <x v="7"/>
    <x v="14"/>
    <x v="1"/>
    <s v="Bachelor's"/>
    <x v="273"/>
    <x v="0"/>
    <m/>
    <x v="233"/>
    <x v="3"/>
    <n v="2"/>
    <s v="Yes"/>
    <s v="Single"/>
  </r>
  <r>
    <n v="1293"/>
    <s v="Rakesh Mehta"/>
    <x v="0"/>
    <n v="26"/>
    <x v="4"/>
    <x v="13"/>
    <x v="0"/>
    <s v="Bachelor's"/>
    <x v="274"/>
    <x v="0"/>
    <m/>
    <x v="144"/>
    <x v="3"/>
    <n v="5"/>
    <s v="No"/>
    <s v="Married"/>
  </r>
  <r>
    <n v="1294"/>
    <s v="Ananya Singh"/>
    <x v="0"/>
    <n v="50"/>
    <x v="5"/>
    <x v="8"/>
    <x v="3"/>
    <s v="Master's"/>
    <x v="275"/>
    <x v="0"/>
    <m/>
    <x v="41"/>
    <x v="2"/>
    <n v="2"/>
    <s v="Yes"/>
    <s v="Married"/>
  </r>
  <r>
    <n v="1295"/>
    <s v="Suresh Iyer"/>
    <x v="1"/>
    <n v="22"/>
    <x v="1"/>
    <x v="2"/>
    <x v="7"/>
    <s v="MBA"/>
    <x v="276"/>
    <x v="0"/>
    <m/>
    <x v="234"/>
    <x v="0"/>
    <n v="5"/>
    <s v="No"/>
    <s v="Married"/>
  </r>
  <r>
    <n v="1296"/>
    <s v="Ananya Verma"/>
    <x v="1"/>
    <n v="38"/>
    <x v="3"/>
    <x v="16"/>
    <x v="1"/>
    <s v="Diploma"/>
    <x v="277"/>
    <x v="1"/>
    <s v="31-03-2019"/>
    <x v="220"/>
    <x v="2"/>
    <n v="3"/>
    <s v="Yes"/>
    <s v="Married"/>
  </r>
  <r>
    <n v="1297"/>
    <s v="Sanya Desai"/>
    <x v="1"/>
    <n v="45"/>
    <x v="2"/>
    <x v="17"/>
    <x v="2"/>
    <s v="MBA"/>
    <x v="278"/>
    <x v="0"/>
    <m/>
    <x v="235"/>
    <x v="0"/>
    <n v="2"/>
    <s v="No"/>
    <s v="Married"/>
  </r>
  <r>
    <n v="1298"/>
    <s v="Ritu Sharma"/>
    <x v="1"/>
    <n v="37"/>
    <x v="1"/>
    <x v="21"/>
    <x v="3"/>
    <s v="MBA"/>
    <x v="279"/>
    <x v="1"/>
    <s v="06-06-2024"/>
    <x v="236"/>
    <x v="4"/>
    <n v="3"/>
    <s v="Yes"/>
    <s v="Married"/>
  </r>
  <r>
    <n v="1299"/>
    <s v="Ishita Kumar"/>
    <x v="0"/>
    <n v="57"/>
    <x v="3"/>
    <x v="16"/>
    <x v="0"/>
    <s v="Diploma"/>
    <x v="280"/>
    <x v="0"/>
    <m/>
    <x v="237"/>
    <x v="0"/>
    <n v="2"/>
    <s v="Yes"/>
    <s v="Married"/>
  </r>
  <r>
    <n v="1300"/>
    <s v="Karan Verma"/>
    <x v="1"/>
    <n v="50"/>
    <x v="1"/>
    <x v="21"/>
    <x v="2"/>
    <s v="MBA"/>
    <x v="281"/>
    <x v="1"/>
    <s v="08-10-2024"/>
    <x v="238"/>
    <x v="2"/>
    <n v="2"/>
    <s v="No"/>
    <s v="Single"/>
  </r>
  <r>
    <n v="1301"/>
    <s v="Yash Saxena"/>
    <x v="0"/>
    <n v="37"/>
    <x v="4"/>
    <x v="13"/>
    <x v="3"/>
    <s v="Bachelor's"/>
    <x v="282"/>
    <x v="0"/>
    <m/>
    <x v="239"/>
    <x v="1"/>
    <n v="1"/>
    <s v="No"/>
    <s v="Married"/>
  </r>
  <r>
    <n v="1302"/>
    <s v="Karan Bhatia"/>
    <x v="1"/>
    <n v="35"/>
    <x v="4"/>
    <x v="6"/>
    <x v="7"/>
    <s v="Bachelor's"/>
    <x v="283"/>
    <x v="1"/>
    <s v="22-11-2023"/>
    <x v="131"/>
    <x v="2"/>
    <n v="4"/>
    <s v="No"/>
    <s v="Single"/>
  </r>
  <r>
    <n v="1303"/>
    <s v="Rahul Sharma"/>
    <x v="1"/>
    <n v="53"/>
    <x v="3"/>
    <x v="5"/>
    <x v="1"/>
    <s v="Master's"/>
    <x v="284"/>
    <x v="0"/>
    <m/>
    <x v="240"/>
    <x v="0"/>
    <n v="3"/>
    <s v="Yes"/>
    <s v="Married"/>
  </r>
  <r>
    <n v="1304"/>
    <s v="Pooja Reddy"/>
    <x v="1"/>
    <n v="50"/>
    <x v="0"/>
    <x v="10"/>
    <x v="5"/>
    <s v="Bachelor's"/>
    <x v="81"/>
    <x v="0"/>
    <m/>
    <x v="241"/>
    <x v="2"/>
    <n v="2"/>
    <s v="No"/>
    <s v="Married"/>
  </r>
  <r>
    <n v="1305"/>
    <s v="Yash Nair"/>
    <x v="1"/>
    <n v="45"/>
    <x v="6"/>
    <x v="12"/>
    <x v="4"/>
    <s v="Bachelor's"/>
    <x v="285"/>
    <x v="0"/>
    <m/>
    <x v="242"/>
    <x v="2"/>
    <n v="4"/>
    <s v="Yes"/>
    <s v="Single"/>
  </r>
  <r>
    <n v="1306"/>
    <s v="Aarav Kumar"/>
    <x v="1"/>
    <n v="42"/>
    <x v="5"/>
    <x v="8"/>
    <x v="2"/>
    <s v="Master's"/>
    <x v="286"/>
    <x v="0"/>
    <m/>
    <x v="243"/>
    <x v="2"/>
    <n v="1"/>
    <s v="No"/>
    <s v="Single"/>
  </r>
  <r>
    <n v="1307"/>
    <s v="Riya Sharma"/>
    <x v="1"/>
    <n v="57"/>
    <x v="5"/>
    <x v="19"/>
    <x v="5"/>
    <s v="Diploma"/>
    <x v="287"/>
    <x v="0"/>
    <m/>
    <x v="244"/>
    <x v="0"/>
    <n v="1"/>
    <s v="No"/>
    <s v="Married"/>
  </r>
  <r>
    <n v="1308"/>
    <s v="Kabir Patel"/>
    <x v="1"/>
    <n v="49"/>
    <x v="7"/>
    <x v="18"/>
    <x v="4"/>
    <s v="Master's"/>
    <x v="288"/>
    <x v="0"/>
    <m/>
    <x v="245"/>
    <x v="3"/>
    <n v="3"/>
    <s v="Yes"/>
    <s v="Single"/>
  </r>
  <r>
    <n v="1309"/>
    <s v="Sneha Chopra"/>
    <x v="0"/>
    <n v="23"/>
    <x v="4"/>
    <x v="13"/>
    <x v="3"/>
    <s v="Bachelor's"/>
    <x v="289"/>
    <x v="1"/>
    <s v="08-02-2022"/>
    <x v="216"/>
    <x v="3"/>
    <n v="4"/>
    <s v="Yes"/>
    <s v="Married"/>
  </r>
  <r>
    <n v="1310"/>
    <s v="Kavya Malhotra"/>
    <x v="1"/>
    <n v="55"/>
    <x v="3"/>
    <x v="16"/>
    <x v="5"/>
    <s v="MBA"/>
    <x v="290"/>
    <x v="0"/>
    <m/>
    <x v="246"/>
    <x v="0"/>
    <n v="5"/>
    <s v="No"/>
    <s v="Single"/>
  </r>
  <r>
    <n v="1311"/>
    <s v="Kavya Chopra"/>
    <x v="1"/>
    <n v="25"/>
    <x v="6"/>
    <x v="9"/>
    <x v="2"/>
    <s v="Bachelor's"/>
    <x v="279"/>
    <x v="0"/>
    <m/>
    <x v="247"/>
    <x v="2"/>
    <n v="4"/>
    <s v="No"/>
    <s v="Married"/>
  </r>
  <r>
    <n v="1312"/>
    <s v="Pooja Reddy"/>
    <x v="0"/>
    <n v="35"/>
    <x v="7"/>
    <x v="18"/>
    <x v="3"/>
    <s v="Bachelor's"/>
    <x v="291"/>
    <x v="0"/>
    <m/>
    <x v="57"/>
    <x v="1"/>
    <n v="2"/>
    <s v="No"/>
    <s v="Married"/>
  </r>
  <r>
    <n v="1313"/>
    <s v="Arjun Kumar"/>
    <x v="0"/>
    <n v="29"/>
    <x v="2"/>
    <x v="3"/>
    <x v="6"/>
    <s v="MBA"/>
    <x v="292"/>
    <x v="0"/>
    <m/>
    <x v="240"/>
    <x v="1"/>
    <n v="1"/>
    <s v="No"/>
    <s v="Married"/>
  </r>
  <r>
    <n v="1314"/>
    <s v="Rohan Pillai"/>
    <x v="0"/>
    <n v="52"/>
    <x v="7"/>
    <x v="14"/>
    <x v="7"/>
    <s v="Master's"/>
    <x v="134"/>
    <x v="0"/>
    <m/>
    <x v="248"/>
    <x v="3"/>
    <n v="1"/>
    <s v="No"/>
    <s v="Single"/>
  </r>
  <r>
    <n v="1315"/>
    <s v="Amit Iyer"/>
    <x v="1"/>
    <n v="26"/>
    <x v="7"/>
    <x v="14"/>
    <x v="2"/>
    <s v="Master's"/>
    <x v="293"/>
    <x v="0"/>
    <m/>
    <x v="249"/>
    <x v="1"/>
    <n v="2"/>
    <s v="Yes"/>
    <s v="Married"/>
  </r>
  <r>
    <n v="1316"/>
    <s v="Sneha Desai"/>
    <x v="0"/>
    <n v="27"/>
    <x v="0"/>
    <x v="0"/>
    <x v="1"/>
    <s v="Master's"/>
    <x v="294"/>
    <x v="0"/>
    <m/>
    <x v="250"/>
    <x v="2"/>
    <n v="2"/>
    <s v="Yes"/>
    <s v="Single"/>
  </r>
  <r>
    <n v="1317"/>
    <s v="Nishant Gupta"/>
    <x v="1"/>
    <n v="26"/>
    <x v="1"/>
    <x v="21"/>
    <x v="5"/>
    <s v="MBA"/>
    <x v="295"/>
    <x v="0"/>
    <m/>
    <x v="251"/>
    <x v="2"/>
    <n v="3"/>
    <s v="No"/>
    <s v="Single"/>
  </r>
  <r>
    <n v="1318"/>
    <s v="Ritu Gupta"/>
    <x v="0"/>
    <n v="25"/>
    <x v="2"/>
    <x v="17"/>
    <x v="0"/>
    <s v="Bachelor's"/>
    <x v="296"/>
    <x v="0"/>
    <m/>
    <x v="252"/>
    <x v="1"/>
    <n v="5"/>
    <s v="No"/>
    <s v="Single"/>
  </r>
  <r>
    <n v="1319"/>
    <s v="Aarav Saxena"/>
    <x v="1"/>
    <n v="23"/>
    <x v="2"/>
    <x v="7"/>
    <x v="3"/>
    <s v="MBA"/>
    <x v="148"/>
    <x v="0"/>
    <m/>
    <x v="253"/>
    <x v="0"/>
    <n v="1"/>
    <s v="Yes"/>
    <s v="Single"/>
  </r>
  <r>
    <n v="1320"/>
    <s v="Anjali Bhatia"/>
    <x v="0"/>
    <n v="58"/>
    <x v="1"/>
    <x v="1"/>
    <x v="0"/>
    <s v="Diploma"/>
    <x v="297"/>
    <x v="0"/>
    <m/>
    <x v="254"/>
    <x v="2"/>
    <n v="1"/>
    <s v="No"/>
    <s v="Single"/>
  </r>
  <r>
    <n v="1321"/>
    <s v="Vikram Chopra"/>
    <x v="0"/>
    <n v="23"/>
    <x v="7"/>
    <x v="18"/>
    <x v="1"/>
    <s v="Master's"/>
    <x v="1"/>
    <x v="0"/>
    <m/>
    <x v="100"/>
    <x v="2"/>
    <n v="4"/>
    <s v="Yes"/>
    <s v="Single"/>
  </r>
  <r>
    <n v="1322"/>
    <s v="Aarav Malhotra"/>
    <x v="0"/>
    <n v="51"/>
    <x v="2"/>
    <x v="3"/>
    <x v="1"/>
    <s v="Master's"/>
    <x v="298"/>
    <x v="0"/>
    <m/>
    <x v="255"/>
    <x v="3"/>
    <n v="3"/>
    <s v="No"/>
    <s v="Married"/>
  </r>
  <r>
    <n v="1323"/>
    <s v="Rahul Malhotra"/>
    <x v="1"/>
    <n v="42"/>
    <x v="7"/>
    <x v="18"/>
    <x v="2"/>
    <s v="Bachelor's"/>
    <x v="299"/>
    <x v="0"/>
    <m/>
    <x v="256"/>
    <x v="2"/>
    <n v="2"/>
    <s v="No"/>
    <s v="Single"/>
  </r>
  <r>
    <n v="1324"/>
    <s v="Aarav Kapoor"/>
    <x v="1"/>
    <n v="28"/>
    <x v="7"/>
    <x v="14"/>
    <x v="2"/>
    <s v="Bachelor's"/>
    <x v="300"/>
    <x v="1"/>
    <s v="16-08-2024"/>
    <x v="257"/>
    <x v="2"/>
    <n v="2"/>
    <s v="No"/>
    <s v="Married"/>
  </r>
  <r>
    <n v="1325"/>
    <s v="Kavya Kumar"/>
    <x v="0"/>
    <n v="28"/>
    <x v="7"/>
    <x v="14"/>
    <x v="7"/>
    <s v="Bachelor's"/>
    <x v="301"/>
    <x v="1"/>
    <s v="02-10-2024"/>
    <x v="258"/>
    <x v="1"/>
    <n v="2"/>
    <s v="Yes"/>
    <s v="Married"/>
  </r>
  <r>
    <n v="1326"/>
    <s v="Pooja Saxena"/>
    <x v="1"/>
    <n v="49"/>
    <x v="5"/>
    <x v="19"/>
    <x v="0"/>
    <s v="MBA"/>
    <x v="132"/>
    <x v="1"/>
    <s v="21-01-2024"/>
    <x v="79"/>
    <x v="2"/>
    <n v="1"/>
    <s v="No"/>
    <s v="Single"/>
  </r>
  <r>
    <n v="1327"/>
    <s v="Rahul Singh"/>
    <x v="1"/>
    <n v="37"/>
    <x v="7"/>
    <x v="18"/>
    <x v="3"/>
    <s v="Master's"/>
    <x v="302"/>
    <x v="0"/>
    <m/>
    <x v="236"/>
    <x v="3"/>
    <n v="3"/>
    <s v="Yes"/>
    <s v="Single"/>
  </r>
  <r>
    <n v="1328"/>
    <s v="Karan Desai"/>
    <x v="1"/>
    <n v="36"/>
    <x v="4"/>
    <x v="6"/>
    <x v="3"/>
    <s v="Diploma"/>
    <x v="303"/>
    <x v="0"/>
    <m/>
    <x v="259"/>
    <x v="2"/>
    <n v="2"/>
    <s v="Yes"/>
    <s v="Single"/>
  </r>
  <r>
    <n v="1329"/>
    <s v="Ritu Kumar"/>
    <x v="1"/>
    <n v="54"/>
    <x v="7"/>
    <x v="18"/>
    <x v="1"/>
    <s v="MBA"/>
    <x v="281"/>
    <x v="0"/>
    <m/>
    <x v="219"/>
    <x v="3"/>
    <n v="5"/>
    <s v="No"/>
    <s v="Married"/>
  </r>
  <r>
    <n v="1330"/>
    <s v="Ananya Kapoor"/>
    <x v="1"/>
    <n v="58"/>
    <x v="6"/>
    <x v="12"/>
    <x v="1"/>
    <s v="Master's"/>
    <x v="304"/>
    <x v="0"/>
    <m/>
    <x v="260"/>
    <x v="3"/>
    <n v="1"/>
    <s v="No"/>
    <s v="Single"/>
  </r>
  <r>
    <n v="1331"/>
    <s v="Kavya Kapoor"/>
    <x v="0"/>
    <n v="47"/>
    <x v="7"/>
    <x v="14"/>
    <x v="7"/>
    <s v="MBA"/>
    <x v="305"/>
    <x v="1"/>
    <s v="16-08-2024"/>
    <x v="261"/>
    <x v="1"/>
    <n v="5"/>
    <s v="Yes"/>
    <s v="Single"/>
  </r>
  <r>
    <n v="1332"/>
    <s v="Manish Reddy"/>
    <x v="1"/>
    <n v="49"/>
    <x v="5"/>
    <x v="8"/>
    <x v="7"/>
    <s v="Diploma"/>
    <x v="306"/>
    <x v="0"/>
    <m/>
    <x v="262"/>
    <x v="3"/>
    <n v="1"/>
    <s v="No"/>
    <s v="Single"/>
  </r>
  <r>
    <n v="1333"/>
    <s v="Kavya Kapoor"/>
    <x v="1"/>
    <n v="52"/>
    <x v="0"/>
    <x v="10"/>
    <x v="5"/>
    <s v="MBA"/>
    <x v="307"/>
    <x v="0"/>
    <m/>
    <x v="35"/>
    <x v="1"/>
    <n v="3"/>
    <s v="No"/>
    <s v="Single"/>
  </r>
  <r>
    <n v="1334"/>
    <s v="Meera Singh"/>
    <x v="1"/>
    <n v="45"/>
    <x v="7"/>
    <x v="18"/>
    <x v="1"/>
    <s v="Master's"/>
    <x v="27"/>
    <x v="1"/>
    <s v="21-01-2024"/>
    <x v="26"/>
    <x v="2"/>
    <n v="4"/>
    <s v="No"/>
    <s v="Married"/>
  </r>
  <r>
    <n v="1335"/>
    <s v="Arjun Malhotra"/>
    <x v="0"/>
    <n v="58"/>
    <x v="7"/>
    <x v="14"/>
    <x v="2"/>
    <s v="MBA"/>
    <x v="308"/>
    <x v="0"/>
    <m/>
    <x v="263"/>
    <x v="1"/>
    <n v="1"/>
    <s v="No"/>
    <s v="Married"/>
  </r>
  <r>
    <n v="1336"/>
    <s v="Priya Sharma"/>
    <x v="1"/>
    <n v="29"/>
    <x v="1"/>
    <x v="21"/>
    <x v="7"/>
    <s v="MBA"/>
    <x v="309"/>
    <x v="0"/>
    <m/>
    <x v="72"/>
    <x v="3"/>
    <n v="2"/>
    <s v="No"/>
    <s v="Single"/>
  </r>
  <r>
    <n v="1337"/>
    <s v="Ananya Agarwal"/>
    <x v="0"/>
    <n v="36"/>
    <x v="7"/>
    <x v="18"/>
    <x v="6"/>
    <s v="Bachelor's"/>
    <x v="310"/>
    <x v="0"/>
    <m/>
    <x v="136"/>
    <x v="1"/>
    <n v="4"/>
    <s v="Yes"/>
    <s v="Married"/>
  </r>
  <r>
    <n v="1338"/>
    <s v="Aarav Kapoor"/>
    <x v="0"/>
    <n v="31"/>
    <x v="7"/>
    <x v="18"/>
    <x v="5"/>
    <s v="Bachelor's"/>
    <x v="311"/>
    <x v="0"/>
    <m/>
    <x v="264"/>
    <x v="3"/>
    <n v="2"/>
    <s v="Yes"/>
    <s v="Single"/>
  </r>
  <r>
    <n v="1339"/>
    <s v="Kavya Pillai"/>
    <x v="0"/>
    <n v="54"/>
    <x v="0"/>
    <x v="0"/>
    <x v="6"/>
    <s v="Bachelor's"/>
    <x v="312"/>
    <x v="0"/>
    <m/>
    <x v="265"/>
    <x v="1"/>
    <n v="2"/>
    <s v="Yes"/>
    <s v="Married"/>
  </r>
  <r>
    <n v="1340"/>
    <s v="Anjali Sharma"/>
    <x v="0"/>
    <n v="48"/>
    <x v="2"/>
    <x v="17"/>
    <x v="2"/>
    <s v="Master's"/>
    <x v="313"/>
    <x v="1"/>
    <s v="16-07-2020"/>
    <x v="266"/>
    <x v="2"/>
    <n v="3"/>
    <s v="Yes"/>
    <s v="Single"/>
  </r>
  <r>
    <n v="1341"/>
    <s v="Simran Chopra"/>
    <x v="1"/>
    <n v="29"/>
    <x v="2"/>
    <x v="3"/>
    <x v="4"/>
    <s v="Master's"/>
    <x v="314"/>
    <x v="0"/>
    <m/>
    <x v="267"/>
    <x v="3"/>
    <n v="4"/>
    <s v="Yes"/>
    <s v="Married"/>
  </r>
  <r>
    <n v="1342"/>
    <s v="Ishita Bhatia"/>
    <x v="1"/>
    <n v="42"/>
    <x v="4"/>
    <x v="15"/>
    <x v="3"/>
    <s v="Master's"/>
    <x v="315"/>
    <x v="0"/>
    <m/>
    <x v="239"/>
    <x v="2"/>
    <n v="4"/>
    <s v="Yes"/>
    <s v="Single"/>
  </r>
  <r>
    <n v="1343"/>
    <s v="Riya Reddy"/>
    <x v="0"/>
    <n v="32"/>
    <x v="7"/>
    <x v="14"/>
    <x v="2"/>
    <s v="MBA"/>
    <x v="316"/>
    <x v="0"/>
    <m/>
    <x v="268"/>
    <x v="0"/>
    <n v="1"/>
    <s v="No"/>
    <s v="Single"/>
  </r>
  <r>
    <n v="1344"/>
    <s v="Priya Kumar"/>
    <x v="0"/>
    <n v="55"/>
    <x v="3"/>
    <x v="4"/>
    <x v="2"/>
    <s v="Diploma"/>
    <x v="317"/>
    <x v="0"/>
    <m/>
    <x v="8"/>
    <x v="3"/>
    <n v="2"/>
    <s v="Yes"/>
    <s v="Married"/>
  </r>
  <r>
    <n v="1345"/>
    <s v="Rakesh Mehta"/>
    <x v="1"/>
    <n v="43"/>
    <x v="6"/>
    <x v="12"/>
    <x v="7"/>
    <s v="Diploma"/>
    <x v="318"/>
    <x v="0"/>
    <m/>
    <x v="254"/>
    <x v="3"/>
    <n v="4"/>
    <s v="Yes"/>
    <s v="Single"/>
  </r>
  <r>
    <n v="1346"/>
    <s v="Kavya Kumar"/>
    <x v="0"/>
    <n v="57"/>
    <x v="6"/>
    <x v="9"/>
    <x v="2"/>
    <s v="Master's"/>
    <x v="319"/>
    <x v="0"/>
    <m/>
    <x v="269"/>
    <x v="0"/>
    <n v="4"/>
    <s v="No"/>
    <s v="Single"/>
  </r>
  <r>
    <n v="1347"/>
    <s v="Rohan Reddy"/>
    <x v="0"/>
    <n v="23"/>
    <x v="2"/>
    <x v="17"/>
    <x v="0"/>
    <s v="Master's"/>
    <x v="320"/>
    <x v="0"/>
    <m/>
    <x v="270"/>
    <x v="2"/>
    <n v="5"/>
    <s v="Yes"/>
    <s v="Married"/>
  </r>
  <r>
    <n v="1348"/>
    <s v="Simran Desai"/>
    <x v="0"/>
    <n v="46"/>
    <x v="3"/>
    <x v="16"/>
    <x v="7"/>
    <s v="MBA"/>
    <x v="321"/>
    <x v="0"/>
    <m/>
    <x v="120"/>
    <x v="2"/>
    <n v="4"/>
    <s v="Yes"/>
    <s v="Married"/>
  </r>
  <r>
    <n v="1349"/>
    <s v="Anjali Desai"/>
    <x v="1"/>
    <n v="32"/>
    <x v="5"/>
    <x v="8"/>
    <x v="2"/>
    <s v="Diploma"/>
    <x v="322"/>
    <x v="1"/>
    <s v="06-02-2023"/>
    <x v="271"/>
    <x v="2"/>
    <n v="2"/>
    <s v="No"/>
    <s v="Single"/>
  </r>
  <r>
    <n v="1350"/>
    <s v="Riya Verma"/>
    <x v="0"/>
    <n v="57"/>
    <x v="5"/>
    <x v="22"/>
    <x v="0"/>
    <s v="Master's"/>
    <x v="323"/>
    <x v="0"/>
    <m/>
    <x v="272"/>
    <x v="0"/>
    <n v="4"/>
    <s v="Yes"/>
    <s v="Single"/>
  </r>
  <r>
    <n v="1351"/>
    <s v="Sneha Kumar"/>
    <x v="0"/>
    <n v="41"/>
    <x v="6"/>
    <x v="12"/>
    <x v="4"/>
    <s v="Master's"/>
    <x v="324"/>
    <x v="1"/>
    <s v="09-03-2022"/>
    <x v="273"/>
    <x v="2"/>
    <n v="2"/>
    <s v="Yes"/>
    <s v="Married"/>
  </r>
  <r>
    <n v="1352"/>
    <s v="Ananya Singh"/>
    <x v="1"/>
    <n v="45"/>
    <x v="1"/>
    <x v="1"/>
    <x v="7"/>
    <s v="Master's"/>
    <x v="325"/>
    <x v="0"/>
    <m/>
    <x v="39"/>
    <x v="2"/>
    <n v="3"/>
    <s v="No"/>
    <s v="Single"/>
  </r>
  <r>
    <n v="1353"/>
    <s v="Neha Sharma"/>
    <x v="1"/>
    <n v="25"/>
    <x v="2"/>
    <x v="3"/>
    <x v="4"/>
    <s v="MBA"/>
    <x v="326"/>
    <x v="1"/>
    <s v="23-04-2024"/>
    <x v="274"/>
    <x v="3"/>
    <n v="5"/>
    <s v="Yes"/>
    <s v="Married"/>
  </r>
  <r>
    <n v="1354"/>
    <s v="Karan Sharma"/>
    <x v="0"/>
    <n v="53"/>
    <x v="6"/>
    <x v="12"/>
    <x v="1"/>
    <s v="Master's"/>
    <x v="327"/>
    <x v="0"/>
    <m/>
    <x v="94"/>
    <x v="2"/>
    <n v="5"/>
    <s v="Yes"/>
    <s v="Married"/>
  </r>
  <r>
    <n v="1355"/>
    <s v="Priya Nair"/>
    <x v="0"/>
    <n v="42"/>
    <x v="6"/>
    <x v="9"/>
    <x v="5"/>
    <s v="Master's"/>
    <x v="328"/>
    <x v="0"/>
    <m/>
    <x v="275"/>
    <x v="1"/>
    <n v="5"/>
    <s v="Yes"/>
    <s v="Married"/>
  </r>
  <r>
    <n v="1356"/>
    <s v="Rohan Desai"/>
    <x v="0"/>
    <n v="27"/>
    <x v="7"/>
    <x v="18"/>
    <x v="5"/>
    <s v="MBA"/>
    <x v="280"/>
    <x v="1"/>
    <s v="31-10-2023"/>
    <x v="168"/>
    <x v="3"/>
    <n v="5"/>
    <s v="No"/>
    <s v="Married"/>
  </r>
  <r>
    <n v="1357"/>
    <s v="Yash Agarwal"/>
    <x v="0"/>
    <n v="46"/>
    <x v="0"/>
    <x v="0"/>
    <x v="4"/>
    <s v="Bachelor's"/>
    <x v="329"/>
    <x v="0"/>
    <m/>
    <x v="276"/>
    <x v="3"/>
    <n v="3"/>
    <s v="Yes"/>
    <s v="Married"/>
  </r>
  <r>
    <n v="1358"/>
    <s v="Amit Joshi"/>
    <x v="1"/>
    <n v="26"/>
    <x v="0"/>
    <x v="20"/>
    <x v="2"/>
    <s v="Master's"/>
    <x v="330"/>
    <x v="0"/>
    <m/>
    <x v="277"/>
    <x v="2"/>
    <n v="5"/>
    <s v="No"/>
    <s v="Married"/>
  </r>
  <r>
    <n v="1359"/>
    <s v="Karan Kapoor"/>
    <x v="0"/>
    <n v="40"/>
    <x v="3"/>
    <x v="16"/>
    <x v="1"/>
    <s v="Master's"/>
    <x v="331"/>
    <x v="0"/>
    <m/>
    <x v="278"/>
    <x v="1"/>
    <n v="2"/>
    <s v="No"/>
    <s v="Married"/>
  </r>
  <r>
    <n v="1360"/>
    <s v="Kavya Iyer"/>
    <x v="0"/>
    <n v="27"/>
    <x v="0"/>
    <x v="20"/>
    <x v="5"/>
    <s v="Bachelor's"/>
    <x v="332"/>
    <x v="1"/>
    <s v="17-03-2024"/>
    <x v="241"/>
    <x v="1"/>
    <n v="5"/>
    <s v="No"/>
    <s v="Single"/>
  </r>
  <r>
    <n v="1361"/>
    <s v="Sneha Malhotra"/>
    <x v="0"/>
    <n v="54"/>
    <x v="2"/>
    <x v="3"/>
    <x v="0"/>
    <s v="Master's"/>
    <x v="333"/>
    <x v="0"/>
    <m/>
    <x v="279"/>
    <x v="2"/>
    <n v="4"/>
    <s v="Yes"/>
    <s v="Married"/>
  </r>
  <r>
    <n v="1362"/>
    <s v="Aditi Verma"/>
    <x v="1"/>
    <n v="56"/>
    <x v="2"/>
    <x v="17"/>
    <x v="0"/>
    <s v="Diploma"/>
    <x v="334"/>
    <x v="0"/>
    <m/>
    <x v="140"/>
    <x v="2"/>
    <n v="3"/>
    <s v="Yes"/>
    <s v="Married"/>
  </r>
  <r>
    <n v="1363"/>
    <s v="Riya Bhatia"/>
    <x v="0"/>
    <n v="57"/>
    <x v="1"/>
    <x v="2"/>
    <x v="4"/>
    <s v="Bachelor's"/>
    <x v="335"/>
    <x v="1"/>
    <s v="15-04-2024"/>
    <x v="280"/>
    <x v="2"/>
    <n v="4"/>
    <s v="No"/>
    <s v="Married"/>
  </r>
  <r>
    <n v="1364"/>
    <s v="Yash Joshi"/>
    <x v="1"/>
    <n v="43"/>
    <x v="3"/>
    <x v="5"/>
    <x v="7"/>
    <s v="Master's"/>
    <x v="336"/>
    <x v="0"/>
    <m/>
    <x v="281"/>
    <x v="1"/>
    <n v="2"/>
    <s v="No"/>
    <s v="Married"/>
  </r>
  <r>
    <n v="1365"/>
    <s v="Rohan Mehta"/>
    <x v="1"/>
    <n v="51"/>
    <x v="7"/>
    <x v="18"/>
    <x v="7"/>
    <s v="Master's"/>
    <x v="337"/>
    <x v="0"/>
    <m/>
    <x v="282"/>
    <x v="2"/>
    <n v="3"/>
    <s v="No"/>
    <s v="Single"/>
  </r>
  <r>
    <n v="1366"/>
    <s v="Simran Reddy"/>
    <x v="0"/>
    <n v="40"/>
    <x v="1"/>
    <x v="1"/>
    <x v="6"/>
    <s v="MBA"/>
    <x v="338"/>
    <x v="0"/>
    <m/>
    <x v="227"/>
    <x v="3"/>
    <n v="2"/>
    <s v="Yes"/>
    <s v="Single"/>
  </r>
  <r>
    <n v="1367"/>
    <s v="Rahul Agarwal"/>
    <x v="1"/>
    <n v="28"/>
    <x v="1"/>
    <x v="1"/>
    <x v="0"/>
    <s v="MBA"/>
    <x v="183"/>
    <x v="1"/>
    <s v="10-07-2020"/>
    <x v="283"/>
    <x v="3"/>
    <n v="4"/>
    <s v="Yes"/>
    <s v="Married"/>
  </r>
  <r>
    <n v="1368"/>
    <s v="Rohan Pillai"/>
    <x v="1"/>
    <n v="58"/>
    <x v="6"/>
    <x v="9"/>
    <x v="4"/>
    <s v="Bachelor's"/>
    <x v="339"/>
    <x v="0"/>
    <m/>
    <x v="284"/>
    <x v="1"/>
    <n v="2"/>
    <s v="Yes"/>
    <s v="Married"/>
  </r>
  <r>
    <n v="1369"/>
    <s v="Yash Agarwal"/>
    <x v="0"/>
    <n v="49"/>
    <x v="6"/>
    <x v="9"/>
    <x v="1"/>
    <s v="Bachelor's"/>
    <x v="340"/>
    <x v="0"/>
    <m/>
    <x v="285"/>
    <x v="1"/>
    <n v="4"/>
    <s v="No"/>
    <s v="Single"/>
  </r>
  <r>
    <n v="1370"/>
    <s v="Ishita Verma"/>
    <x v="0"/>
    <n v="57"/>
    <x v="6"/>
    <x v="12"/>
    <x v="7"/>
    <s v="MBA"/>
    <x v="341"/>
    <x v="0"/>
    <m/>
    <x v="286"/>
    <x v="1"/>
    <n v="2"/>
    <s v="Yes"/>
    <s v="Single"/>
  </r>
  <r>
    <n v="1371"/>
    <s v="Kabir Patel"/>
    <x v="1"/>
    <n v="57"/>
    <x v="4"/>
    <x v="13"/>
    <x v="2"/>
    <s v="Bachelor's"/>
    <x v="56"/>
    <x v="1"/>
    <s v="24-10-2023"/>
    <x v="237"/>
    <x v="3"/>
    <n v="2"/>
    <s v="No"/>
    <s v="Single"/>
  </r>
  <r>
    <n v="1372"/>
    <s v="Riya Sharma"/>
    <x v="1"/>
    <n v="46"/>
    <x v="7"/>
    <x v="18"/>
    <x v="0"/>
    <s v="Diploma"/>
    <x v="31"/>
    <x v="0"/>
    <m/>
    <x v="287"/>
    <x v="3"/>
    <n v="1"/>
    <s v="No"/>
    <s v="Single"/>
  </r>
  <r>
    <n v="1373"/>
    <s v="Ritu Verma"/>
    <x v="1"/>
    <n v="43"/>
    <x v="1"/>
    <x v="21"/>
    <x v="2"/>
    <s v="Bachelor's"/>
    <x v="342"/>
    <x v="0"/>
    <m/>
    <x v="288"/>
    <x v="0"/>
    <n v="1"/>
    <s v="No"/>
    <s v="Single"/>
  </r>
  <r>
    <n v="1374"/>
    <s v="Pooja Patel"/>
    <x v="1"/>
    <n v="54"/>
    <x v="5"/>
    <x v="8"/>
    <x v="7"/>
    <s v="Bachelor's"/>
    <x v="343"/>
    <x v="0"/>
    <m/>
    <x v="289"/>
    <x v="3"/>
    <n v="2"/>
    <s v="Yes"/>
    <s v="Married"/>
  </r>
  <r>
    <n v="1375"/>
    <s v="Rahul Verma"/>
    <x v="0"/>
    <n v="32"/>
    <x v="0"/>
    <x v="0"/>
    <x v="6"/>
    <s v="Diploma"/>
    <x v="344"/>
    <x v="0"/>
    <m/>
    <x v="290"/>
    <x v="2"/>
    <n v="1"/>
    <s v="Yes"/>
    <s v="Married"/>
  </r>
  <r>
    <n v="1376"/>
    <s v="Ishita Iyer"/>
    <x v="0"/>
    <n v="56"/>
    <x v="4"/>
    <x v="13"/>
    <x v="3"/>
    <s v="Bachelor's"/>
    <x v="345"/>
    <x v="0"/>
    <m/>
    <x v="278"/>
    <x v="2"/>
    <n v="3"/>
    <s v="Yes"/>
    <s v="Single"/>
  </r>
  <r>
    <n v="1377"/>
    <s v="Arjun Rao"/>
    <x v="0"/>
    <n v="25"/>
    <x v="4"/>
    <x v="13"/>
    <x v="0"/>
    <s v="Bachelor's"/>
    <x v="346"/>
    <x v="0"/>
    <m/>
    <x v="291"/>
    <x v="2"/>
    <n v="4"/>
    <s v="No"/>
    <s v="Married"/>
  </r>
  <r>
    <n v="1378"/>
    <s v="Aarav Singh"/>
    <x v="0"/>
    <n v="30"/>
    <x v="3"/>
    <x v="4"/>
    <x v="0"/>
    <s v="Diploma"/>
    <x v="347"/>
    <x v="0"/>
    <m/>
    <x v="0"/>
    <x v="2"/>
    <n v="1"/>
    <s v="Yes"/>
    <s v="Single"/>
  </r>
  <r>
    <n v="1379"/>
    <s v="Anjali Gupta"/>
    <x v="1"/>
    <n v="39"/>
    <x v="7"/>
    <x v="18"/>
    <x v="1"/>
    <s v="Master's"/>
    <x v="348"/>
    <x v="0"/>
    <m/>
    <x v="292"/>
    <x v="3"/>
    <n v="3"/>
    <s v="Yes"/>
    <s v="Married"/>
  </r>
  <r>
    <n v="1380"/>
    <s v="Karan Reddy"/>
    <x v="1"/>
    <n v="31"/>
    <x v="2"/>
    <x v="11"/>
    <x v="3"/>
    <s v="Master's"/>
    <x v="349"/>
    <x v="0"/>
    <m/>
    <x v="203"/>
    <x v="0"/>
    <n v="2"/>
    <s v="Yes"/>
    <s v="Single"/>
  </r>
  <r>
    <n v="1381"/>
    <s v="Vihaan Joshi"/>
    <x v="1"/>
    <n v="58"/>
    <x v="5"/>
    <x v="19"/>
    <x v="7"/>
    <s v="Diploma"/>
    <x v="350"/>
    <x v="0"/>
    <m/>
    <x v="293"/>
    <x v="3"/>
    <n v="3"/>
    <s v="Yes"/>
    <s v="Married"/>
  </r>
  <r>
    <n v="1382"/>
    <s v="Sanya Agarwal"/>
    <x v="1"/>
    <n v="48"/>
    <x v="5"/>
    <x v="19"/>
    <x v="4"/>
    <s v="Bachelor's"/>
    <x v="351"/>
    <x v="0"/>
    <m/>
    <x v="294"/>
    <x v="2"/>
    <n v="3"/>
    <s v="Yes"/>
    <s v="Married"/>
  </r>
  <r>
    <n v="1383"/>
    <s v="Vikram Joshi"/>
    <x v="0"/>
    <n v="40"/>
    <x v="1"/>
    <x v="1"/>
    <x v="3"/>
    <s v="MBA"/>
    <x v="352"/>
    <x v="0"/>
    <m/>
    <x v="295"/>
    <x v="4"/>
    <n v="3"/>
    <s v="Yes"/>
    <s v="Married"/>
  </r>
  <r>
    <n v="1384"/>
    <s v="Kavya Joshi"/>
    <x v="0"/>
    <n v="35"/>
    <x v="3"/>
    <x v="4"/>
    <x v="0"/>
    <s v="MBA"/>
    <x v="353"/>
    <x v="0"/>
    <m/>
    <x v="41"/>
    <x v="2"/>
    <n v="3"/>
    <s v="No"/>
    <s v="Single"/>
  </r>
  <r>
    <n v="1385"/>
    <s v="Aditi Desai"/>
    <x v="1"/>
    <n v="49"/>
    <x v="7"/>
    <x v="14"/>
    <x v="3"/>
    <s v="Bachelor's"/>
    <x v="182"/>
    <x v="0"/>
    <m/>
    <x v="259"/>
    <x v="1"/>
    <n v="2"/>
    <s v="No"/>
    <s v="Married"/>
  </r>
  <r>
    <n v="1386"/>
    <s v="Neha Singh"/>
    <x v="1"/>
    <n v="39"/>
    <x v="3"/>
    <x v="16"/>
    <x v="7"/>
    <s v="Master's"/>
    <x v="354"/>
    <x v="0"/>
    <m/>
    <x v="26"/>
    <x v="0"/>
    <n v="4"/>
    <s v="No"/>
    <s v="Married"/>
  </r>
  <r>
    <n v="1387"/>
    <s v="Priya Patel"/>
    <x v="0"/>
    <n v="39"/>
    <x v="2"/>
    <x v="3"/>
    <x v="4"/>
    <s v="MBA"/>
    <x v="114"/>
    <x v="0"/>
    <m/>
    <x v="296"/>
    <x v="1"/>
    <n v="2"/>
    <s v="Yes"/>
    <s v="Married"/>
  </r>
  <r>
    <n v="1388"/>
    <s v="Priya Nair"/>
    <x v="1"/>
    <n v="50"/>
    <x v="7"/>
    <x v="18"/>
    <x v="0"/>
    <s v="MBA"/>
    <x v="355"/>
    <x v="0"/>
    <m/>
    <x v="250"/>
    <x v="3"/>
    <n v="1"/>
    <s v="No"/>
    <s v="Married"/>
  </r>
  <r>
    <n v="1389"/>
    <s v="Ananya Mehta"/>
    <x v="1"/>
    <n v="30"/>
    <x v="7"/>
    <x v="18"/>
    <x v="7"/>
    <s v="MBA"/>
    <x v="356"/>
    <x v="1"/>
    <s v="23-11-2024"/>
    <x v="20"/>
    <x v="2"/>
    <n v="5"/>
    <s v="Yes"/>
    <s v="Married"/>
  </r>
  <r>
    <n v="1390"/>
    <s v="Nishant Nair"/>
    <x v="1"/>
    <n v="24"/>
    <x v="1"/>
    <x v="2"/>
    <x v="7"/>
    <s v="Bachelor's"/>
    <x v="357"/>
    <x v="0"/>
    <m/>
    <x v="297"/>
    <x v="3"/>
    <n v="5"/>
    <s v="No"/>
    <s v="Single"/>
  </r>
  <r>
    <n v="1391"/>
    <s v="Riya Nair"/>
    <x v="0"/>
    <n v="36"/>
    <x v="5"/>
    <x v="8"/>
    <x v="7"/>
    <s v="Bachelor's"/>
    <x v="358"/>
    <x v="0"/>
    <m/>
    <x v="298"/>
    <x v="2"/>
    <n v="4"/>
    <s v="Yes"/>
    <s v="Married"/>
  </r>
  <r>
    <n v="1392"/>
    <s v="Yash Iyer"/>
    <x v="0"/>
    <n v="52"/>
    <x v="0"/>
    <x v="10"/>
    <x v="2"/>
    <s v="MBA"/>
    <x v="359"/>
    <x v="0"/>
    <m/>
    <x v="299"/>
    <x v="4"/>
    <n v="4"/>
    <s v="Yes"/>
    <s v="Single"/>
  </r>
  <r>
    <n v="1393"/>
    <s v="Vikram Saxena"/>
    <x v="0"/>
    <n v="50"/>
    <x v="6"/>
    <x v="12"/>
    <x v="0"/>
    <s v="MBA"/>
    <x v="360"/>
    <x v="0"/>
    <m/>
    <x v="300"/>
    <x v="1"/>
    <n v="1"/>
    <s v="Yes"/>
    <s v="Single"/>
  </r>
  <r>
    <n v="1394"/>
    <s v="Ananya Joshi"/>
    <x v="1"/>
    <n v="44"/>
    <x v="6"/>
    <x v="9"/>
    <x v="5"/>
    <s v="MBA"/>
    <x v="361"/>
    <x v="1"/>
    <s v="07-05-2025"/>
    <x v="213"/>
    <x v="3"/>
    <n v="4"/>
    <s v="Yes"/>
    <s v="Married"/>
  </r>
  <r>
    <n v="1395"/>
    <s v="Aarohi Desai"/>
    <x v="1"/>
    <n v="57"/>
    <x v="1"/>
    <x v="2"/>
    <x v="7"/>
    <s v="MBA"/>
    <x v="362"/>
    <x v="0"/>
    <m/>
    <x v="156"/>
    <x v="3"/>
    <n v="3"/>
    <s v="Yes"/>
    <s v="Married"/>
  </r>
  <r>
    <n v="1396"/>
    <s v="Pooja Desai"/>
    <x v="0"/>
    <n v="32"/>
    <x v="2"/>
    <x v="17"/>
    <x v="0"/>
    <s v="MBA"/>
    <x v="363"/>
    <x v="0"/>
    <m/>
    <x v="301"/>
    <x v="1"/>
    <n v="1"/>
    <s v="Yes"/>
    <s v="Single"/>
  </r>
  <r>
    <n v="1397"/>
    <s v="Pooja Desai"/>
    <x v="0"/>
    <n v="33"/>
    <x v="7"/>
    <x v="14"/>
    <x v="2"/>
    <s v="Master's"/>
    <x v="364"/>
    <x v="0"/>
    <m/>
    <x v="302"/>
    <x v="1"/>
    <n v="1"/>
    <s v="Yes"/>
    <s v="Married"/>
  </r>
  <r>
    <n v="1398"/>
    <s v="Riya Kapoor"/>
    <x v="0"/>
    <n v="56"/>
    <x v="0"/>
    <x v="20"/>
    <x v="5"/>
    <s v="Master's"/>
    <x v="365"/>
    <x v="0"/>
    <m/>
    <x v="303"/>
    <x v="2"/>
    <n v="5"/>
    <s v="Yes"/>
    <s v="Single"/>
  </r>
  <r>
    <n v="1399"/>
    <s v="Pooja Agarwal"/>
    <x v="0"/>
    <n v="29"/>
    <x v="5"/>
    <x v="19"/>
    <x v="4"/>
    <s v="Diploma"/>
    <x v="366"/>
    <x v="0"/>
    <m/>
    <x v="304"/>
    <x v="2"/>
    <n v="5"/>
    <s v="Yes"/>
    <s v="Married"/>
  </r>
  <r>
    <n v="1400"/>
    <s v="Sneha Kapoor"/>
    <x v="1"/>
    <n v="25"/>
    <x v="7"/>
    <x v="14"/>
    <x v="5"/>
    <s v="Master's"/>
    <x v="83"/>
    <x v="0"/>
    <m/>
    <x v="305"/>
    <x v="3"/>
    <n v="5"/>
    <s v="Yes"/>
    <s v="Marri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1">
  <r>
    <n v="1001"/>
    <s v="Rohan Patel"/>
    <s v="Female"/>
    <n v="25"/>
    <s v="Sales"/>
    <s v="Sales Executive"/>
    <s v="Delhi"/>
    <s v="MBA"/>
    <x v="0"/>
    <s v="No"/>
    <m/>
    <n v="42100"/>
    <n v="2"/>
    <n v="2"/>
    <s v="Yes"/>
    <s v="Married"/>
  </r>
  <r>
    <n v="1002"/>
    <s v="Vihaan Pillai"/>
    <s v="Male"/>
    <n v="25"/>
    <s v="HR"/>
    <s v="Recruiter"/>
    <s v="Mumbai"/>
    <s v="Diploma"/>
    <x v="1"/>
    <s v="No"/>
    <m/>
    <n v="34700"/>
    <n v="5"/>
    <n v="2"/>
    <s v="Yes"/>
    <s v="Married"/>
  </r>
  <r>
    <n v="1003"/>
    <s v="Simran Reddy"/>
    <s v="Male"/>
    <n v="58"/>
    <s v="HR"/>
    <s v="HR Manager"/>
    <s v="Delhi"/>
    <s v="Bachelor's"/>
    <x v="2"/>
    <s v="No"/>
    <m/>
    <n v="79000"/>
    <n v="3"/>
    <n v="3"/>
    <s v="No"/>
    <s v="Married"/>
  </r>
  <r>
    <n v="1004"/>
    <s v="Sanya Malhotra"/>
    <s v="Male"/>
    <n v="55"/>
    <s v="Engineering"/>
    <s v="Senior Engineer"/>
    <s v="Delhi"/>
    <s v="MBA"/>
    <x v="3"/>
    <s v="No"/>
    <m/>
    <n v="109200"/>
    <n v="4"/>
    <n v="1"/>
    <s v="Yes"/>
    <s v="Married"/>
  </r>
  <r>
    <n v="1005"/>
    <s v="Ananya Kapoor"/>
    <s v="Male"/>
    <n v="57"/>
    <s v="IT"/>
    <s v="System Admin"/>
    <s v="Mumbai"/>
    <s v="Bachelor's"/>
    <x v="4"/>
    <s v="No"/>
    <m/>
    <n v="56000"/>
    <n v="4"/>
    <n v="3"/>
    <s v="No"/>
    <s v="Married"/>
  </r>
  <r>
    <n v="1006"/>
    <s v="Meera Gupta"/>
    <s v="Female"/>
    <n v="41"/>
    <s v="IT"/>
    <s v="IT Manager"/>
    <s v="Delhi"/>
    <s v="Bachelor's"/>
    <x v="5"/>
    <s v="No"/>
    <m/>
    <n v="107800"/>
    <n v="4"/>
    <n v="4"/>
    <s v="No"/>
    <s v="Single"/>
  </r>
  <r>
    <n v="1007"/>
    <s v="Karan Joshi"/>
    <s v="Male"/>
    <n v="40"/>
    <s v="Marketing"/>
    <s v="Marketing Manager"/>
    <s v="Mumbai"/>
    <s v="Master's"/>
    <x v="6"/>
    <s v="No"/>
    <m/>
    <n v="86600"/>
    <n v="3"/>
    <n v="4"/>
    <s v="Yes"/>
    <s v="Single"/>
  </r>
  <r>
    <n v="1008"/>
    <s v="Karan Mehta"/>
    <s v="Female"/>
    <n v="44"/>
    <s v="Engineering"/>
    <s v="Engineering Manager"/>
    <s v="Hyderabad"/>
    <s v="Diploma"/>
    <x v="7"/>
    <s v="Yes"/>
    <s v="26-08-2023"/>
    <n v="144300"/>
    <n v="3"/>
    <n v="2"/>
    <s v="Yes"/>
    <s v="Married"/>
  </r>
  <r>
    <n v="1009"/>
    <s v="Suresh Pillai"/>
    <s v="Male"/>
    <n v="48"/>
    <s v="Finance"/>
    <s v="Accountant"/>
    <s v="Mumbai"/>
    <s v="Master's"/>
    <x v="8"/>
    <s v="No"/>
    <m/>
    <n v="49900"/>
    <n v="4"/>
    <n v="5"/>
    <s v="Yes"/>
    <s v="Married"/>
  </r>
  <r>
    <n v="1010"/>
    <s v="Manish Desai"/>
    <s v="Female"/>
    <n v="52"/>
    <s v="Customer Support"/>
    <s v="Support Team Lead"/>
    <s v="Kolkata"/>
    <s v="Bachelor's"/>
    <x v="9"/>
    <s v="No"/>
    <m/>
    <n v="50400"/>
    <n v="2"/>
    <n v="2"/>
    <s v="Yes"/>
    <s v="Married"/>
  </r>
  <r>
    <n v="1011"/>
    <s v="Divya Verma"/>
    <s v="Male"/>
    <n v="45"/>
    <s v="Sales"/>
    <s v="Account Manager"/>
    <s v="Bengaluru"/>
    <s v="Bachelor's"/>
    <x v="10"/>
    <s v="No"/>
    <m/>
    <n v="71100"/>
    <n v="3"/>
    <n v="3"/>
    <s v="No"/>
    <s v="Married"/>
  </r>
  <r>
    <n v="1012"/>
    <s v="Neha Singh"/>
    <s v="Male"/>
    <n v="41"/>
    <s v="IT"/>
    <s v="System Admin"/>
    <s v="Ahmedabad"/>
    <s v="Diploma"/>
    <x v="11"/>
    <s v="No"/>
    <m/>
    <n v="43600"/>
    <n v="4"/>
    <n v="4"/>
    <s v="Yes"/>
    <s v="Single"/>
  </r>
  <r>
    <n v="1013"/>
    <s v="Aarav Agarwal"/>
    <s v="Female"/>
    <n v="38"/>
    <s v="Engineering"/>
    <s v="Software Engineer"/>
    <s v="Hyderabad"/>
    <s v="Bachelor's"/>
    <x v="12"/>
    <s v="No"/>
    <m/>
    <n v="64800"/>
    <n v="3"/>
    <n v="5"/>
    <s v="No"/>
    <s v="Single"/>
  </r>
  <r>
    <n v="1014"/>
    <s v="Divya Nair"/>
    <s v="Male"/>
    <n v="44"/>
    <s v="Customer Support"/>
    <s v="Support Executive"/>
    <s v="Pune"/>
    <s v="Diploma"/>
    <x v="13"/>
    <s v="No"/>
    <m/>
    <n v="39900"/>
    <n v="4"/>
    <n v="2"/>
    <s v="No"/>
    <s v="Married"/>
  </r>
  <r>
    <n v="1015"/>
    <s v="Anjali Joshi"/>
    <s v="Female"/>
    <n v="52"/>
    <s v="Marketing"/>
    <s v="Marketing Associate"/>
    <s v="Delhi"/>
    <s v="Master's"/>
    <x v="14"/>
    <s v="No"/>
    <m/>
    <n v="41400"/>
    <n v="3"/>
    <n v="5"/>
    <s v="Yes"/>
    <s v="Married"/>
  </r>
  <r>
    <n v="1016"/>
    <s v="Ritu Joshi"/>
    <s v="Male"/>
    <n v="33"/>
    <s v="Marketing"/>
    <s v="Marketing Manager"/>
    <s v="Pune"/>
    <s v="Diploma"/>
    <x v="15"/>
    <s v="No"/>
    <m/>
    <n v="88100"/>
    <n v="3"/>
    <n v="4"/>
    <s v="No"/>
    <s v="Married"/>
  </r>
  <r>
    <n v="1017"/>
    <s v="Sneha Gupta"/>
    <s v="Male"/>
    <n v="51"/>
    <s v="Engineering"/>
    <s v="Senior Engineer"/>
    <s v="Mumbai"/>
    <s v="Master's"/>
    <x v="16"/>
    <s v="No"/>
    <m/>
    <n v="99600"/>
    <n v="4"/>
    <n v="3"/>
    <s v="Yes"/>
    <s v="Single"/>
  </r>
  <r>
    <n v="1018"/>
    <s v="Ishita Sharma"/>
    <s v="Male"/>
    <n v="23"/>
    <s v="Engineering"/>
    <s v="Engineering Manager"/>
    <s v="Pune"/>
    <s v="Master's"/>
    <x v="17"/>
    <s v="No"/>
    <m/>
    <n v="109400"/>
    <n v="4"/>
    <n v="3"/>
    <s v="No"/>
    <s v="Married"/>
  </r>
  <r>
    <n v="1019"/>
    <s v="Suresh Patel"/>
    <s v="Male"/>
    <n v="56"/>
    <s v="Operations"/>
    <s v="Operations Manager"/>
    <s v="Kolkata"/>
    <s v="Master's"/>
    <x v="18"/>
    <s v="No"/>
    <m/>
    <n v="72500"/>
    <n v="1"/>
    <n v="2"/>
    <s v="Yes"/>
    <s v="Single"/>
  </r>
  <r>
    <n v="1020"/>
    <s v="Ananya Patel"/>
    <s v="Female"/>
    <n v="55"/>
    <s v="Marketing"/>
    <s v="Content Specialist"/>
    <s v="Mumbai"/>
    <s v="MBA"/>
    <x v="19"/>
    <s v="Yes"/>
    <s v="11-03-2024"/>
    <n v="45000"/>
    <n v="4"/>
    <n v="2"/>
    <s v="Yes"/>
    <s v="Married"/>
  </r>
  <r>
    <n v="1021"/>
    <s v="Vihaan Singh"/>
    <s v="Female"/>
    <n v="54"/>
    <s v="Sales"/>
    <s v="Sales Executive"/>
    <s v="Ahmedabad"/>
    <s v="MBA"/>
    <x v="20"/>
    <s v="No"/>
    <m/>
    <n v="41800"/>
    <n v="3"/>
    <n v="4"/>
    <s v="Yes"/>
    <s v="Married"/>
  </r>
  <r>
    <n v="1022"/>
    <s v="Ritu Desai"/>
    <s v="Male"/>
    <n v="47"/>
    <s v="IT"/>
    <s v="IT Support"/>
    <s v="Kolkata"/>
    <s v="Bachelor's"/>
    <x v="21"/>
    <s v="No"/>
    <m/>
    <n v="46900"/>
    <n v="4"/>
    <n v="2"/>
    <s v="No"/>
    <s v="Single"/>
  </r>
  <r>
    <n v="1023"/>
    <s v="Manish Patel"/>
    <s v="Female"/>
    <n v="36"/>
    <s v="Engineering"/>
    <s v="QA Engineer"/>
    <s v="Bengaluru"/>
    <s v="Diploma"/>
    <x v="22"/>
    <s v="No"/>
    <m/>
    <n v="65600"/>
    <n v="3"/>
    <n v="2"/>
    <s v="Yes"/>
    <s v="Married"/>
  </r>
  <r>
    <n v="1024"/>
    <s v="Rahul Mehta"/>
    <s v="Female"/>
    <n v="27"/>
    <s v="Customer Support"/>
    <s v="Support Executive"/>
    <s v="Chennai"/>
    <s v="MBA"/>
    <x v="23"/>
    <s v="No"/>
    <m/>
    <n v="27400"/>
    <n v="4"/>
    <n v="1"/>
    <s v="No"/>
    <s v="Married"/>
  </r>
  <r>
    <n v="1025"/>
    <s v="Rahul Saxena"/>
    <s v="Female"/>
    <n v="27"/>
    <s v="Marketing"/>
    <s v="Marketing Associate"/>
    <s v="Pune"/>
    <s v="Bachelor's"/>
    <x v="24"/>
    <s v="No"/>
    <m/>
    <n v="40300"/>
    <n v="5"/>
    <n v="2"/>
    <s v="No"/>
    <s v="Married"/>
  </r>
  <r>
    <n v="1026"/>
    <s v="Arjun Patel"/>
    <s v="Female"/>
    <n v="33"/>
    <s v="Operations"/>
    <s v="Operations Executive"/>
    <s v="Hyderabad"/>
    <s v="Bachelor's"/>
    <x v="25"/>
    <s v="Yes"/>
    <s v="06-02-2023"/>
    <n v="45900"/>
    <n v="3"/>
    <n v="3"/>
    <s v="Yes"/>
    <s v="Single"/>
  </r>
  <r>
    <n v="1027"/>
    <s v="Meera Chopra"/>
    <s v="Male"/>
    <n v="39"/>
    <s v="IT"/>
    <s v="IT Support"/>
    <s v="Chennai"/>
    <s v="Diploma"/>
    <x v="6"/>
    <s v="No"/>
    <m/>
    <n v="41600"/>
    <n v="4"/>
    <n v="2"/>
    <s v="No"/>
    <s v="Single"/>
  </r>
  <r>
    <n v="1028"/>
    <s v="Ananya Nair"/>
    <s v="Female"/>
    <n v="50"/>
    <s v="Finance"/>
    <s v="Finance Manager"/>
    <s v="Pune"/>
    <s v="MBA"/>
    <x v="26"/>
    <s v="No"/>
    <m/>
    <n v="100700"/>
    <n v="3"/>
    <n v="3"/>
    <s v="Yes"/>
    <s v="Single"/>
  </r>
  <r>
    <n v="1029"/>
    <s v="Ishita Agarwal"/>
    <s v="Male"/>
    <n v="49"/>
    <s v="IT"/>
    <s v="IT Support"/>
    <s v="Ahmedabad"/>
    <s v="Bachelor's"/>
    <x v="3"/>
    <s v="No"/>
    <m/>
    <n v="51300"/>
    <n v="5"/>
    <n v="3"/>
    <s v="Yes"/>
    <s v="Single"/>
  </r>
  <r>
    <n v="1030"/>
    <s v="Rohan Nair"/>
    <s v="Male"/>
    <n v="22"/>
    <s v="Customer Support"/>
    <s v="Support Team Lead"/>
    <s v="Mumbai"/>
    <s v="Master's"/>
    <x v="27"/>
    <s v="No"/>
    <m/>
    <n v="63400"/>
    <n v="5"/>
    <n v="1"/>
    <s v="Yes"/>
    <s v="Married"/>
  </r>
  <r>
    <n v="1031"/>
    <s v="Kavya Agarwal"/>
    <s v="Female"/>
    <n v="51"/>
    <s v="HR"/>
    <s v="Recruiter"/>
    <s v="Hyderabad"/>
    <s v="Bachelor's"/>
    <x v="28"/>
    <s v="No"/>
    <m/>
    <n v="36500"/>
    <n v="3"/>
    <n v="3"/>
    <s v="No"/>
    <s v="Single"/>
  </r>
  <r>
    <n v="1032"/>
    <s v="Vihaan Malhotra"/>
    <s v="Male"/>
    <n v="46"/>
    <s v="Operations"/>
    <s v="Operations Executive"/>
    <s v="Mumbai"/>
    <s v="MBA"/>
    <x v="29"/>
    <s v="No"/>
    <m/>
    <n v="39500"/>
    <n v="4"/>
    <n v="5"/>
    <s v="Yes"/>
    <s v="Single"/>
  </r>
  <r>
    <n v="1033"/>
    <s v="Aditi Gupta"/>
    <s v="Male"/>
    <n v="41"/>
    <s v="Customer Support"/>
    <s v="Support Executive"/>
    <s v="Kolkata"/>
    <s v="Bachelor's"/>
    <x v="30"/>
    <s v="No"/>
    <m/>
    <n v="35300"/>
    <n v="2"/>
    <n v="2"/>
    <s v="No"/>
    <s v="Married"/>
  </r>
  <r>
    <n v="1034"/>
    <s v="Sneha Kumar"/>
    <s v="Male"/>
    <n v="54"/>
    <s v="Finance"/>
    <s v="Finance Manager"/>
    <s v="Bengaluru"/>
    <s v="Bachelor's"/>
    <x v="31"/>
    <s v="Yes"/>
    <s v="13-05-2024"/>
    <n v="102900"/>
    <n v="4"/>
    <n v="5"/>
    <s v="Yes"/>
    <s v="Single"/>
  </r>
  <r>
    <n v="1035"/>
    <s v="Meera Sharma"/>
    <s v="Male"/>
    <n v="50"/>
    <s v="Engineering"/>
    <s v="QA Engineer"/>
    <s v="Delhi"/>
    <s v="Diploma"/>
    <x v="32"/>
    <s v="No"/>
    <m/>
    <n v="56600"/>
    <n v="1"/>
    <n v="2"/>
    <s v="No"/>
    <s v="Married"/>
  </r>
  <r>
    <n v="1036"/>
    <s v="Ishita Bhatia"/>
    <s v="Male"/>
    <n v="38"/>
    <s v="Marketing"/>
    <s v="Content Specialist"/>
    <s v="Delhi"/>
    <s v="Diploma"/>
    <x v="33"/>
    <s v="No"/>
    <m/>
    <n v="49900"/>
    <n v="3"/>
    <n v="2"/>
    <s v="No"/>
    <s v="Married"/>
  </r>
  <r>
    <n v="1037"/>
    <s v="Kavya Mehta"/>
    <s v="Male"/>
    <n v="34"/>
    <s v="IT"/>
    <s v="IT Manager"/>
    <s v="Hyderabad"/>
    <s v="Bachelor's"/>
    <x v="34"/>
    <s v="No"/>
    <m/>
    <n v="94200"/>
    <n v="3"/>
    <n v="3"/>
    <s v="Yes"/>
    <s v="Single"/>
  </r>
  <r>
    <n v="1038"/>
    <s v="Neha Verma"/>
    <s v="Female"/>
    <n v="53"/>
    <s v="Finance"/>
    <s v="Finance Manager"/>
    <s v="Delhi"/>
    <s v="Master's"/>
    <x v="35"/>
    <s v="No"/>
    <m/>
    <n v="102000"/>
    <n v="3"/>
    <n v="1"/>
    <s v="Yes"/>
    <s v="Married"/>
  </r>
  <r>
    <n v="1039"/>
    <s v="Meera Kumar"/>
    <s v="Male"/>
    <n v="39"/>
    <s v="Finance"/>
    <s v="Accountant"/>
    <s v="Delhi"/>
    <s v="Diploma"/>
    <x v="36"/>
    <s v="No"/>
    <m/>
    <n v="46700"/>
    <n v="5"/>
    <n v="5"/>
    <s v="Yes"/>
    <s v="Single"/>
  </r>
  <r>
    <n v="1040"/>
    <s v="Sneha Agarwal"/>
    <s v="Female"/>
    <n v="45"/>
    <s v="Operations"/>
    <s v="Operations Executive"/>
    <s v="Hyderabad"/>
    <s v="Bachelor's"/>
    <x v="37"/>
    <s v="No"/>
    <m/>
    <n v="39900"/>
    <n v="5"/>
    <n v="2"/>
    <s v="Yes"/>
    <s v="Married"/>
  </r>
  <r>
    <n v="1041"/>
    <s v="Pooja Bhatia"/>
    <s v="Female"/>
    <n v="44"/>
    <s v="Finance"/>
    <s v="Finance Manager"/>
    <s v="Bengaluru"/>
    <s v="Diploma"/>
    <x v="38"/>
    <s v="Yes"/>
    <s v="12-03-2024"/>
    <n v="87900"/>
    <n v="4"/>
    <n v="4"/>
    <s v="Yes"/>
    <s v="Single"/>
  </r>
  <r>
    <n v="1042"/>
    <s v="Rakesh Sharma"/>
    <s v="Female"/>
    <n v="46"/>
    <s v="Finance"/>
    <s v="Accountant"/>
    <s v="Delhi"/>
    <s v="Diploma"/>
    <x v="39"/>
    <s v="No"/>
    <m/>
    <n v="49700"/>
    <n v="3"/>
    <n v="1"/>
    <s v="No"/>
    <s v="Single"/>
  </r>
  <r>
    <n v="1043"/>
    <s v="Vihaan Malhotra"/>
    <s v="Male"/>
    <n v="34"/>
    <s v="HR"/>
    <s v="HR Manager"/>
    <s v="Kolkata"/>
    <s v="MBA"/>
    <x v="40"/>
    <s v="Yes"/>
    <s v="06-07-2024"/>
    <n v="83800"/>
    <n v="3"/>
    <n v="5"/>
    <s v="Yes"/>
    <s v="Single"/>
  </r>
  <r>
    <n v="1044"/>
    <s v="Vihaan Rao"/>
    <s v="Female"/>
    <n v="57"/>
    <s v="Engineering"/>
    <s v="QA Engineer"/>
    <s v="Ahmedabad"/>
    <s v="Bachelor's"/>
    <x v="41"/>
    <s v="No"/>
    <m/>
    <n v="59700"/>
    <n v="3"/>
    <n v="3"/>
    <s v="No"/>
    <s v="Married"/>
  </r>
  <r>
    <n v="1045"/>
    <s v="Amit Iyer"/>
    <s v="Female"/>
    <n v="32"/>
    <s v="IT"/>
    <s v="IT Manager"/>
    <s v="Kolkata"/>
    <s v="Bachelor's"/>
    <x v="42"/>
    <s v="No"/>
    <m/>
    <n v="76000"/>
    <n v="4"/>
    <n v="5"/>
    <s v="Yes"/>
    <s v="Married"/>
  </r>
  <r>
    <n v="1046"/>
    <s v="Ritu Kapoor"/>
    <s v="Female"/>
    <n v="27"/>
    <s v="Customer Support"/>
    <s v="Support Executive"/>
    <s v="Pune"/>
    <s v="Master's"/>
    <x v="43"/>
    <s v="No"/>
    <m/>
    <n v="31600"/>
    <n v="2"/>
    <n v="3"/>
    <s v="Yes"/>
    <s v="Single"/>
  </r>
  <r>
    <n v="1047"/>
    <s v="Sneha Rao"/>
    <s v="Female"/>
    <n v="43"/>
    <s v="Customer Support"/>
    <s v="Support Executive"/>
    <s v="Kolkata"/>
    <s v="MBA"/>
    <x v="44"/>
    <s v="No"/>
    <m/>
    <n v="33600"/>
    <n v="4"/>
    <n v="5"/>
    <s v="Yes"/>
    <s v="Single"/>
  </r>
  <r>
    <n v="1048"/>
    <s v="Aditi Iyer"/>
    <s v="Female"/>
    <n v="23"/>
    <s v="Customer Support"/>
    <s v="Support Team Lead"/>
    <s v="Kolkata"/>
    <s v="MBA"/>
    <x v="41"/>
    <s v="No"/>
    <m/>
    <n v="49700"/>
    <n v="4"/>
    <n v="4"/>
    <s v="No"/>
    <s v="Single"/>
  </r>
  <r>
    <n v="1049"/>
    <s v="Meera Mehta"/>
    <s v="Female"/>
    <n v="31"/>
    <s v="IT"/>
    <s v="IT Support"/>
    <s v="Delhi"/>
    <s v="Master's"/>
    <x v="45"/>
    <s v="No"/>
    <m/>
    <n v="50800"/>
    <n v="4"/>
    <n v="4"/>
    <s v="Yes"/>
    <s v="Single"/>
  </r>
  <r>
    <n v="1050"/>
    <s v="Ishita Patel"/>
    <s v="Male"/>
    <n v="38"/>
    <s v="Sales"/>
    <s v="Account Manager"/>
    <s v="Hyderabad"/>
    <s v="Master's"/>
    <x v="46"/>
    <s v="Yes"/>
    <s v="15-03-2024"/>
    <n v="89500"/>
    <n v="4"/>
    <n v="3"/>
    <s v="Yes"/>
    <s v="Married"/>
  </r>
  <r>
    <n v="1051"/>
    <s v="Aditi Iyer"/>
    <s v="Male"/>
    <n v="39"/>
    <s v="Sales"/>
    <s v="Account Manager"/>
    <s v="Hyderabad"/>
    <s v="Diploma"/>
    <x v="47"/>
    <s v="No"/>
    <m/>
    <n v="89700"/>
    <n v="5"/>
    <n v="2"/>
    <s v="Yes"/>
    <s v="Single"/>
  </r>
  <r>
    <n v="1052"/>
    <s v="Priya Malhotra"/>
    <s v="Male"/>
    <n v="27"/>
    <s v="Sales"/>
    <s v="Sales Executive"/>
    <s v="Ahmedabad"/>
    <s v="Diploma"/>
    <x v="48"/>
    <s v="No"/>
    <m/>
    <n v="42400"/>
    <n v="3"/>
    <n v="4"/>
    <s v="Yes"/>
    <s v="Married"/>
  </r>
  <r>
    <n v="1053"/>
    <s v="Rakesh Rao"/>
    <s v="Female"/>
    <n v="54"/>
    <s v="Customer Support"/>
    <s v="Support Executive"/>
    <s v="Mumbai"/>
    <s v="MBA"/>
    <x v="49"/>
    <s v="No"/>
    <m/>
    <n v="29800"/>
    <n v="5"/>
    <n v="2"/>
    <s v="Yes"/>
    <s v="Married"/>
  </r>
  <r>
    <n v="1054"/>
    <s v="Riya Chopra"/>
    <s v="Female"/>
    <n v="36"/>
    <s v="Marketing"/>
    <s v="Content Specialist"/>
    <s v="Ahmedabad"/>
    <s v="Master's"/>
    <x v="50"/>
    <s v="No"/>
    <m/>
    <n v="42700"/>
    <n v="4"/>
    <n v="2"/>
    <s v="No"/>
    <s v="Single"/>
  </r>
  <r>
    <n v="1055"/>
    <s v="Aarav Sharma"/>
    <s v="Male"/>
    <n v="47"/>
    <s v="Customer Support"/>
    <s v="Support Executive"/>
    <s v="Mumbai"/>
    <s v="Master's"/>
    <x v="51"/>
    <s v="No"/>
    <m/>
    <n v="38700"/>
    <n v="5"/>
    <n v="1"/>
    <s v="Yes"/>
    <s v="Married"/>
  </r>
  <r>
    <n v="1056"/>
    <s v="Aarav Reddy"/>
    <s v="Female"/>
    <n v="43"/>
    <s v="Sales"/>
    <s v="Sales Manager"/>
    <s v="Kolkata"/>
    <s v="MBA"/>
    <x v="52"/>
    <s v="No"/>
    <m/>
    <n v="74300"/>
    <n v="1"/>
    <n v="3"/>
    <s v="No"/>
    <s v="Single"/>
  </r>
  <r>
    <n v="1057"/>
    <s v="Simran Nair"/>
    <s v="Female"/>
    <n v="25"/>
    <s v="Operations"/>
    <s v="Operations Manager"/>
    <s v="Kolkata"/>
    <s v="Bachelor's"/>
    <x v="53"/>
    <s v="No"/>
    <m/>
    <n v="63500"/>
    <n v="4"/>
    <n v="3"/>
    <s v="No"/>
    <s v="Married"/>
  </r>
  <r>
    <n v="1058"/>
    <s v="Ishita Rao"/>
    <s v="Male"/>
    <n v="51"/>
    <s v="Customer Support"/>
    <s v="Support Executive"/>
    <s v="Kolkata"/>
    <s v="Bachelor's"/>
    <x v="54"/>
    <s v="No"/>
    <m/>
    <n v="37500"/>
    <n v="2"/>
    <n v="1"/>
    <s v="No"/>
    <s v="Married"/>
  </r>
  <r>
    <n v="1059"/>
    <s v="Aditi Kapoor"/>
    <s v="Male"/>
    <n v="41"/>
    <s v="Finance"/>
    <s v="Finance Manager"/>
    <s v="Chennai"/>
    <s v="MBA"/>
    <x v="55"/>
    <s v="No"/>
    <m/>
    <n v="102500"/>
    <n v="4"/>
    <n v="1"/>
    <s v="Yes"/>
    <s v="Single"/>
  </r>
  <r>
    <n v="1060"/>
    <s v="Nishant Kumar"/>
    <s v="Female"/>
    <n v="30"/>
    <s v="Customer Support"/>
    <s v="Support Team Lead"/>
    <s v="Kolkata"/>
    <s v="Diploma"/>
    <x v="56"/>
    <s v="No"/>
    <m/>
    <n v="53200"/>
    <n v="4"/>
    <n v="2"/>
    <s v="Yes"/>
    <s v="Married"/>
  </r>
  <r>
    <n v="1061"/>
    <s v="Kavya Kapoor"/>
    <s v="Female"/>
    <n v="32"/>
    <s v="Operations"/>
    <s v="Operations Executive"/>
    <s v="Pune"/>
    <s v="Diploma"/>
    <x v="57"/>
    <s v="No"/>
    <m/>
    <n v="38500"/>
    <n v="4"/>
    <n v="5"/>
    <s v="No"/>
    <s v="Single"/>
  </r>
  <r>
    <n v="1062"/>
    <s v="Priya Singh"/>
    <s v="Male"/>
    <n v="28"/>
    <s v="Finance"/>
    <s v="Finance Manager"/>
    <s v="Delhi"/>
    <s v="Master's"/>
    <x v="58"/>
    <s v="No"/>
    <m/>
    <n v="94400"/>
    <n v="4"/>
    <n v="2"/>
    <s v="Yes"/>
    <s v="Married"/>
  </r>
  <r>
    <n v="1063"/>
    <s v="Karan Saxena"/>
    <s v="Male"/>
    <n v="58"/>
    <s v="Marketing"/>
    <s v="Marketing Manager"/>
    <s v="Hyderabad"/>
    <s v="MBA"/>
    <x v="59"/>
    <s v="No"/>
    <m/>
    <n v="75500"/>
    <n v="4"/>
    <n v="2"/>
    <s v="Yes"/>
    <s v="Single"/>
  </r>
  <r>
    <n v="1064"/>
    <s v="Riya Patel"/>
    <s v="Female"/>
    <n v="38"/>
    <s v="HR"/>
    <s v="HR Manager"/>
    <s v="Delhi"/>
    <s v="Diploma"/>
    <x v="60"/>
    <s v="No"/>
    <m/>
    <n v="75800"/>
    <n v="3"/>
    <n v="4"/>
    <s v="Yes"/>
    <s v="Single"/>
  </r>
  <r>
    <n v="1065"/>
    <s v="Ishita Kumar"/>
    <s v="Male"/>
    <n v="36"/>
    <s v="IT"/>
    <s v="System Admin"/>
    <s v="Mumbai"/>
    <s v="MBA"/>
    <x v="61"/>
    <s v="No"/>
    <m/>
    <n v="41800"/>
    <n v="4"/>
    <n v="2"/>
    <s v="Yes"/>
    <s v="Married"/>
  </r>
  <r>
    <n v="1066"/>
    <s v="Rahul Reddy"/>
    <s v="Female"/>
    <n v="44"/>
    <s v="Finance"/>
    <s v="Finance Manager"/>
    <s v="Mumbai"/>
    <s v="Bachelor's"/>
    <x v="62"/>
    <s v="Yes"/>
    <s v="14-12-2021"/>
    <n v="77800"/>
    <n v="3"/>
    <n v="1"/>
    <s v="Yes"/>
    <s v="Single"/>
  </r>
  <r>
    <n v="1067"/>
    <s v="Suresh Kapoor"/>
    <s v="Female"/>
    <n v="35"/>
    <s v="Operations"/>
    <s v="Operations Executive"/>
    <s v="Hyderabad"/>
    <s v="Bachelor's"/>
    <x v="63"/>
    <s v="Yes"/>
    <s v="28-07-2019"/>
    <n v="44400"/>
    <n v="4"/>
    <n v="4"/>
    <s v="Yes"/>
    <s v="Single"/>
  </r>
  <r>
    <n v="1068"/>
    <s v="Amit Reddy"/>
    <s v="Female"/>
    <n v="48"/>
    <s v="Finance"/>
    <s v="Accountant"/>
    <s v="Hyderabad"/>
    <s v="MBA"/>
    <x v="64"/>
    <s v="No"/>
    <m/>
    <n v="48700"/>
    <n v="4"/>
    <n v="4"/>
    <s v="Yes"/>
    <s v="Married"/>
  </r>
  <r>
    <n v="1069"/>
    <s v="Amit Nair"/>
    <s v="Female"/>
    <n v="32"/>
    <s v="Customer Support"/>
    <s v="Support Executive"/>
    <s v="Mumbai"/>
    <s v="Diploma"/>
    <x v="65"/>
    <s v="No"/>
    <m/>
    <n v="28700"/>
    <n v="2"/>
    <n v="3"/>
    <s v="No"/>
    <s v="Single"/>
  </r>
  <r>
    <n v="1070"/>
    <s v="Kabir Sharma"/>
    <s v="Male"/>
    <n v="54"/>
    <s v="Engineering"/>
    <s v="Engineering Manager"/>
    <s v="Delhi"/>
    <s v="MBA"/>
    <x v="66"/>
    <s v="No"/>
    <m/>
    <n v="106300"/>
    <n v="3"/>
    <n v="1"/>
    <s v="Yes"/>
    <s v="Married"/>
  </r>
  <r>
    <n v="1071"/>
    <s v="Neha Nair"/>
    <s v="Female"/>
    <n v="25"/>
    <s v="Engineering"/>
    <s v="Software Engineer"/>
    <s v="Ahmedabad"/>
    <s v="MBA"/>
    <x v="67"/>
    <s v="No"/>
    <m/>
    <n v="57500"/>
    <n v="4"/>
    <n v="2"/>
    <s v="Yes"/>
    <s v="Married"/>
  </r>
  <r>
    <n v="1072"/>
    <s v="Divya Nair"/>
    <s v="Female"/>
    <n v="55"/>
    <s v="Engineering"/>
    <s v="Senior Engineer"/>
    <s v="Mumbai"/>
    <s v="Diploma"/>
    <x v="68"/>
    <s v="No"/>
    <m/>
    <n v="91300"/>
    <n v="2"/>
    <n v="2"/>
    <s v="Yes"/>
    <s v="Single"/>
  </r>
  <r>
    <n v="1073"/>
    <s v="Pooja Kapoor"/>
    <s v="Male"/>
    <n v="41"/>
    <s v="Customer Support"/>
    <s v="Support Team Lead"/>
    <s v="Hyderabad"/>
    <s v="Diploma"/>
    <x v="69"/>
    <s v="No"/>
    <m/>
    <n v="58800"/>
    <n v="4"/>
    <n v="4"/>
    <s v="Yes"/>
    <s v="Single"/>
  </r>
  <r>
    <n v="1074"/>
    <s v="Ishita Saxena"/>
    <s v="Female"/>
    <n v="33"/>
    <s v="IT"/>
    <s v="IT Support"/>
    <s v="Ahmedabad"/>
    <s v="Diploma"/>
    <x v="70"/>
    <s v="No"/>
    <m/>
    <n v="48500"/>
    <n v="2"/>
    <n v="3"/>
    <s v="Yes"/>
    <s v="Married"/>
  </r>
  <r>
    <n v="1075"/>
    <s v="Rahul Agarwal"/>
    <s v="Male"/>
    <n v="42"/>
    <s v="Sales"/>
    <s v="Account Manager"/>
    <s v="Bengaluru"/>
    <s v="Bachelor's"/>
    <x v="71"/>
    <s v="No"/>
    <m/>
    <n v="71400"/>
    <n v="4"/>
    <n v="2"/>
    <s v="Yes"/>
    <s v="Single"/>
  </r>
  <r>
    <n v="1076"/>
    <s v="Divya Singh"/>
    <s v="Male"/>
    <n v="36"/>
    <s v="Engineering"/>
    <s v="Engineering Manager"/>
    <s v="Hyderabad"/>
    <s v="Master's"/>
    <x v="72"/>
    <s v="No"/>
    <m/>
    <n v="138400"/>
    <n v="4"/>
    <n v="3"/>
    <s v="No"/>
    <s v="Married"/>
  </r>
  <r>
    <n v="1077"/>
    <s v="Kabir Chopra"/>
    <s v="Female"/>
    <n v="42"/>
    <s v="HR"/>
    <s v="Recruiter"/>
    <s v="Hyderabad"/>
    <s v="Master's"/>
    <x v="73"/>
    <s v="Yes"/>
    <s v="25-10-2023"/>
    <n v="34600"/>
    <n v="3"/>
    <n v="3"/>
    <s v="No"/>
    <s v="Single"/>
  </r>
  <r>
    <n v="1078"/>
    <s v="Anjali Chopra"/>
    <s v="Male"/>
    <n v="57"/>
    <s v="Sales"/>
    <s v="Account Manager"/>
    <s v="Chennai"/>
    <s v="Diploma"/>
    <x v="74"/>
    <s v="Yes"/>
    <s v="06-06-2025"/>
    <n v="87600"/>
    <n v="5"/>
    <n v="4"/>
    <s v="No"/>
    <s v="Married"/>
  </r>
  <r>
    <n v="1079"/>
    <s v="Arjun Joshi"/>
    <s v="Male"/>
    <n v="36"/>
    <s v="Operations"/>
    <s v="Operations Manager"/>
    <s v="Delhi"/>
    <s v="Diploma"/>
    <x v="75"/>
    <s v="No"/>
    <m/>
    <n v="75000"/>
    <n v="5"/>
    <n v="5"/>
    <s v="No"/>
    <s v="Married"/>
  </r>
  <r>
    <n v="1080"/>
    <s v="Amit Pillai"/>
    <s v="Female"/>
    <n v="31"/>
    <s v="Sales"/>
    <s v="Account Manager"/>
    <s v="Mumbai"/>
    <s v="Master's"/>
    <x v="35"/>
    <s v="No"/>
    <m/>
    <n v="88800"/>
    <n v="3"/>
    <n v="1"/>
    <s v="Yes"/>
    <s v="Married"/>
  </r>
  <r>
    <n v="1081"/>
    <s v="Riya Saxena"/>
    <s v="Male"/>
    <n v="41"/>
    <s v="Sales"/>
    <s v="Sales Executive"/>
    <s v="Mumbai"/>
    <s v="MBA"/>
    <x v="76"/>
    <s v="No"/>
    <m/>
    <n v="47700"/>
    <n v="4"/>
    <n v="3"/>
    <s v="Yes"/>
    <s v="Single"/>
  </r>
  <r>
    <n v="1082"/>
    <s v="Sanya Saxena"/>
    <s v="Female"/>
    <n v="31"/>
    <s v="Engineering"/>
    <s v="Senior Engineer"/>
    <s v="Mumbai"/>
    <s v="Master's"/>
    <x v="77"/>
    <s v="No"/>
    <m/>
    <n v="80800"/>
    <n v="4"/>
    <n v="3"/>
    <s v="No"/>
    <s v="Married"/>
  </r>
  <r>
    <n v="1083"/>
    <s v="Ishita Verma"/>
    <s v="Female"/>
    <n v="32"/>
    <s v="IT"/>
    <s v="IT Manager"/>
    <s v="Ahmedabad"/>
    <s v="Master's"/>
    <x v="78"/>
    <s v="No"/>
    <m/>
    <n v="75000"/>
    <n v="4"/>
    <n v="2"/>
    <s v="Yes"/>
    <s v="Single"/>
  </r>
  <r>
    <n v="1084"/>
    <s v="Ritu Singh"/>
    <s v="Male"/>
    <n v="55"/>
    <s v="HR"/>
    <s v="HR Executive"/>
    <s v="Kolkata"/>
    <s v="Master's"/>
    <x v="79"/>
    <s v="No"/>
    <m/>
    <n v="44400"/>
    <n v="3"/>
    <n v="5"/>
    <s v="No"/>
    <s v="Single"/>
  </r>
  <r>
    <n v="1085"/>
    <s v="Aarohi Verma"/>
    <s v="Female"/>
    <n v="27"/>
    <s v="Sales"/>
    <s v="Sales Manager"/>
    <s v="Kolkata"/>
    <s v="Diploma"/>
    <x v="80"/>
    <s v="No"/>
    <m/>
    <n v="74500"/>
    <n v="5"/>
    <n v="1"/>
    <s v="Yes"/>
    <s v="Married"/>
  </r>
  <r>
    <n v="1086"/>
    <s v="Manish Chopra"/>
    <s v="Male"/>
    <n v="40"/>
    <s v="Finance"/>
    <s v="Finance Manager"/>
    <s v="Kolkata"/>
    <s v="MBA"/>
    <x v="81"/>
    <s v="Yes"/>
    <s v="02-11-2021"/>
    <n v="79600"/>
    <n v="4"/>
    <n v="2"/>
    <s v="Yes"/>
    <s v="Married"/>
  </r>
  <r>
    <n v="1087"/>
    <s v="Aarav Mehta"/>
    <s v="Female"/>
    <n v="55"/>
    <s v="HR"/>
    <s v="HR Manager"/>
    <s v="Ahmedabad"/>
    <s v="Diploma"/>
    <x v="82"/>
    <s v="No"/>
    <m/>
    <n v="85900"/>
    <n v="3"/>
    <n v="5"/>
    <s v="No"/>
    <s v="Single"/>
  </r>
  <r>
    <n v="1088"/>
    <s v="Arjun Saxena"/>
    <s v="Male"/>
    <n v="29"/>
    <s v="Engineering"/>
    <s v="Senior Engineer"/>
    <s v="Mumbai"/>
    <s v="Bachelor's"/>
    <x v="83"/>
    <s v="No"/>
    <m/>
    <n v="100000"/>
    <n v="3"/>
    <n v="1"/>
    <s v="Yes"/>
    <s v="Single"/>
  </r>
  <r>
    <n v="1089"/>
    <s v="Kabir Verma"/>
    <s v="Male"/>
    <n v="56"/>
    <s v="Sales"/>
    <s v="Sales Executive"/>
    <s v="Chennai"/>
    <s v="Master's"/>
    <x v="84"/>
    <s v="No"/>
    <m/>
    <n v="54100"/>
    <n v="4"/>
    <n v="4"/>
    <s v="Yes"/>
    <s v="Single"/>
  </r>
  <r>
    <n v="1090"/>
    <s v="Aarav Nair"/>
    <s v="Male"/>
    <n v="52"/>
    <s v="Sales"/>
    <s v="Sales Executive"/>
    <s v="Delhi"/>
    <s v="MBA"/>
    <x v="85"/>
    <s v="No"/>
    <m/>
    <n v="40600"/>
    <n v="4"/>
    <n v="3"/>
    <s v="No"/>
    <s v="Married"/>
  </r>
  <r>
    <n v="1091"/>
    <s v="Priya Chopra"/>
    <s v="Male"/>
    <n v="45"/>
    <s v="Operations"/>
    <s v="Operations Manager"/>
    <s v="Hyderabad"/>
    <s v="Bachelor's"/>
    <x v="86"/>
    <s v="No"/>
    <m/>
    <n v="79200"/>
    <n v="4"/>
    <n v="3"/>
    <s v="Yes"/>
    <s v="Married"/>
  </r>
  <r>
    <n v="1092"/>
    <s v="Ishita Rao"/>
    <s v="Male"/>
    <n v="27"/>
    <s v="Operations"/>
    <s v="Operations Manager"/>
    <s v="Mumbai"/>
    <s v="Master's"/>
    <x v="87"/>
    <s v="Yes"/>
    <s v="22-10-2024"/>
    <n v="80600"/>
    <n v="3"/>
    <n v="3"/>
    <s v="Yes"/>
    <s v="Single"/>
  </r>
  <r>
    <n v="1093"/>
    <s v="Sanya Kumar"/>
    <s v="Male"/>
    <n v="44"/>
    <s v="IT"/>
    <s v="IT Manager"/>
    <s v="Bengaluru"/>
    <s v="Diploma"/>
    <x v="88"/>
    <s v="No"/>
    <m/>
    <n v="82400"/>
    <n v="5"/>
    <n v="2"/>
    <s v="Yes"/>
    <s v="Married"/>
  </r>
  <r>
    <n v="1094"/>
    <s v="Ananya Singh"/>
    <s v="Male"/>
    <n v="44"/>
    <s v="IT"/>
    <s v="IT Manager"/>
    <s v="Delhi"/>
    <s v="MBA"/>
    <x v="89"/>
    <s v="No"/>
    <m/>
    <n v="87300"/>
    <n v="3"/>
    <n v="1"/>
    <s v="No"/>
    <s v="Single"/>
  </r>
  <r>
    <n v="1095"/>
    <s v="Sanya Nair"/>
    <s v="Female"/>
    <n v="36"/>
    <s v="Finance"/>
    <s v="Accountant"/>
    <s v="Bengaluru"/>
    <s v="Diploma"/>
    <x v="90"/>
    <s v="No"/>
    <m/>
    <n v="45000"/>
    <n v="4"/>
    <n v="5"/>
    <s v="Yes"/>
    <s v="Married"/>
  </r>
  <r>
    <n v="1096"/>
    <s v="Yash Kapoor"/>
    <s v="Male"/>
    <n v="51"/>
    <s v="IT"/>
    <s v="IT Manager"/>
    <s v="Chennai"/>
    <s v="Master's"/>
    <x v="91"/>
    <s v="No"/>
    <m/>
    <n v="97300"/>
    <n v="3"/>
    <n v="3"/>
    <s v="No"/>
    <s v="Single"/>
  </r>
  <r>
    <n v="1097"/>
    <s v="Rahul Nair"/>
    <s v="Female"/>
    <n v="37"/>
    <s v="Finance"/>
    <s v="Finance Manager"/>
    <s v="Bengaluru"/>
    <s v="Master's"/>
    <x v="92"/>
    <s v="No"/>
    <m/>
    <n v="98200"/>
    <n v="3"/>
    <n v="2"/>
    <s v="No"/>
    <s v="Single"/>
  </r>
  <r>
    <n v="1098"/>
    <s v="Ananya Singh"/>
    <s v="Male"/>
    <n v="41"/>
    <s v="Customer Support"/>
    <s v="Support Executive"/>
    <s v="Bengaluru"/>
    <s v="MBA"/>
    <x v="93"/>
    <s v="No"/>
    <m/>
    <n v="30700"/>
    <n v="2"/>
    <n v="3"/>
    <s v="Yes"/>
    <s v="Married"/>
  </r>
  <r>
    <n v="1099"/>
    <s v="Karan Verma"/>
    <s v="Male"/>
    <n v="51"/>
    <s v="Customer Support"/>
    <s v="Support Team Lead"/>
    <s v="Pune"/>
    <s v="MBA"/>
    <x v="94"/>
    <s v="No"/>
    <m/>
    <n v="52200"/>
    <n v="4"/>
    <n v="2"/>
    <s v="No"/>
    <s v="Married"/>
  </r>
  <r>
    <n v="1100"/>
    <s v="Kavya Iyer"/>
    <s v="Male"/>
    <n v="42"/>
    <s v="Engineering"/>
    <s v="Software Engineer"/>
    <s v="Ahmedabad"/>
    <s v="Diploma"/>
    <x v="95"/>
    <s v="No"/>
    <m/>
    <n v="71600"/>
    <n v="2"/>
    <n v="4"/>
    <s v="Yes"/>
    <s v="Married"/>
  </r>
  <r>
    <n v="1101"/>
    <s v="Kavya Rao"/>
    <s v="Female"/>
    <n v="42"/>
    <s v="IT"/>
    <s v="IT Support"/>
    <s v="Kolkata"/>
    <s v="Master's"/>
    <x v="96"/>
    <s v="No"/>
    <m/>
    <n v="48300"/>
    <n v="3"/>
    <n v="1"/>
    <s v="No"/>
    <s v="Single"/>
  </r>
  <r>
    <n v="1102"/>
    <s v="Ananya Nair"/>
    <s v="Female"/>
    <n v="52"/>
    <s v="Marketing"/>
    <s v="Content Specialist"/>
    <s v="Ahmedabad"/>
    <s v="Master's"/>
    <x v="20"/>
    <s v="No"/>
    <m/>
    <n v="36000"/>
    <n v="4"/>
    <n v="3"/>
    <s v="No"/>
    <s v="Married"/>
  </r>
  <r>
    <n v="1103"/>
    <s v="Aarav Reddy"/>
    <s v="Female"/>
    <n v="38"/>
    <s v="Marketing"/>
    <s v="Content Specialist"/>
    <s v="Chennai"/>
    <s v="Bachelor's"/>
    <x v="97"/>
    <s v="Yes"/>
    <s v="08-07-2023"/>
    <n v="42100"/>
    <n v="2"/>
    <n v="3"/>
    <s v="No"/>
    <s v="Single"/>
  </r>
  <r>
    <n v="1104"/>
    <s v="Riya Malhotra"/>
    <s v="Female"/>
    <n v="32"/>
    <s v="HR"/>
    <s v="HR Manager"/>
    <s v="Ahmedabad"/>
    <s v="Master's"/>
    <x v="6"/>
    <s v="No"/>
    <m/>
    <n v="88000"/>
    <n v="2"/>
    <n v="2"/>
    <s v="No"/>
    <s v="Single"/>
  </r>
  <r>
    <n v="1105"/>
    <s v="Suresh Patel"/>
    <s v="Female"/>
    <n v="52"/>
    <s v="Customer Support"/>
    <s v="Support Team Lead"/>
    <s v="Hyderabad"/>
    <s v="Master's"/>
    <x v="98"/>
    <s v="No"/>
    <m/>
    <n v="67000"/>
    <n v="3"/>
    <n v="3"/>
    <s v="No"/>
    <s v="Single"/>
  </r>
  <r>
    <n v="1106"/>
    <s v="Neha Sharma"/>
    <s v="Female"/>
    <n v="52"/>
    <s v="Operations"/>
    <s v="Operations Executive"/>
    <s v="Hyderabad"/>
    <s v="MBA"/>
    <x v="50"/>
    <s v="No"/>
    <m/>
    <n v="38800"/>
    <n v="4"/>
    <n v="3"/>
    <s v="Yes"/>
    <s v="Married"/>
  </r>
  <r>
    <n v="1107"/>
    <s v="Kavya Mehta"/>
    <s v="Male"/>
    <n v="55"/>
    <s v="Marketing"/>
    <s v="Content Specialist"/>
    <s v="Chennai"/>
    <s v="Master's"/>
    <x v="99"/>
    <s v="Yes"/>
    <s v="10-05-2022"/>
    <n v="46300"/>
    <n v="1"/>
    <n v="3"/>
    <s v="No"/>
    <s v="Single"/>
  </r>
  <r>
    <n v="1108"/>
    <s v="Yash Patel"/>
    <s v="Male"/>
    <n v="35"/>
    <s v="Engineering"/>
    <s v="Engineering Manager"/>
    <s v="Chennai"/>
    <s v="Master's"/>
    <x v="100"/>
    <s v="No"/>
    <m/>
    <n v="136500"/>
    <n v="3"/>
    <n v="5"/>
    <s v="Yes"/>
    <s v="Married"/>
  </r>
  <r>
    <n v="1109"/>
    <s v="Aarav Kumar"/>
    <s v="Male"/>
    <n v="57"/>
    <s v="Marketing"/>
    <s v="Content Specialist"/>
    <s v="Ahmedabad"/>
    <s v="Bachelor's"/>
    <x v="101"/>
    <s v="Yes"/>
    <s v="09-12-2024"/>
    <n v="40100"/>
    <n v="3"/>
    <n v="5"/>
    <s v="Yes"/>
    <s v="Married"/>
  </r>
  <r>
    <n v="1110"/>
    <s v="Karan Patel"/>
    <s v="Female"/>
    <n v="32"/>
    <s v="HR"/>
    <s v="HR Manager"/>
    <s v="Bengaluru"/>
    <s v="Bachelor's"/>
    <x v="102"/>
    <s v="No"/>
    <m/>
    <n v="74700"/>
    <n v="4"/>
    <n v="4"/>
    <s v="No"/>
    <s v="Married"/>
  </r>
  <r>
    <n v="1111"/>
    <s v="Priya Gupta"/>
    <s v="Male"/>
    <n v="43"/>
    <s v="Operations"/>
    <s v="Operations Executive"/>
    <s v="Mumbai"/>
    <s v="Bachelor's"/>
    <x v="103"/>
    <s v="No"/>
    <m/>
    <n v="40100"/>
    <n v="3"/>
    <n v="1"/>
    <s v="Yes"/>
    <s v="Married"/>
  </r>
  <r>
    <n v="1112"/>
    <s v="Amit Patel"/>
    <s v="Female"/>
    <n v="52"/>
    <s v="Marketing"/>
    <s v="Content Specialist"/>
    <s v="Chennai"/>
    <s v="MBA"/>
    <x v="104"/>
    <s v="No"/>
    <m/>
    <n v="45000"/>
    <n v="5"/>
    <n v="3"/>
    <s v="No"/>
    <s v="Married"/>
  </r>
  <r>
    <n v="1113"/>
    <s v="Simran Verma"/>
    <s v="Female"/>
    <n v="43"/>
    <s v="Finance"/>
    <s v="Accountant"/>
    <s v="Ahmedabad"/>
    <s v="Diploma"/>
    <x v="105"/>
    <s v="No"/>
    <m/>
    <n v="62200"/>
    <n v="5"/>
    <n v="2"/>
    <s v="No"/>
    <s v="Single"/>
  </r>
  <r>
    <n v="1114"/>
    <s v="Rohan Nair"/>
    <s v="Female"/>
    <n v="47"/>
    <s v="Finance"/>
    <s v="Financial Analyst"/>
    <s v="Delhi"/>
    <s v="Bachelor's"/>
    <x v="106"/>
    <s v="Yes"/>
    <s v="19-09-2024"/>
    <n v="60200"/>
    <n v="4"/>
    <n v="1"/>
    <s v="Yes"/>
    <s v="Single"/>
  </r>
  <r>
    <n v="1115"/>
    <s v="Aarav Kumar"/>
    <s v="Male"/>
    <n v="24"/>
    <s v="Customer Support"/>
    <s v="Support Executive"/>
    <s v="Delhi"/>
    <s v="Master's"/>
    <x v="107"/>
    <s v="No"/>
    <m/>
    <n v="35200"/>
    <n v="3"/>
    <n v="1"/>
    <s v="No"/>
    <s v="Single"/>
  </r>
  <r>
    <n v="1116"/>
    <s v="Ritu Sharma"/>
    <s v="Female"/>
    <n v="33"/>
    <s v="Engineering"/>
    <s v="QA Engineer"/>
    <s v="Hyderabad"/>
    <s v="MBA"/>
    <x v="108"/>
    <s v="No"/>
    <m/>
    <n v="56100"/>
    <n v="1"/>
    <n v="5"/>
    <s v="Yes"/>
    <s v="Married"/>
  </r>
  <r>
    <n v="1117"/>
    <s v="Yash Agarwal"/>
    <s v="Male"/>
    <n v="26"/>
    <s v="Marketing"/>
    <s v="Marketing Manager"/>
    <s v="Kolkata"/>
    <s v="Diploma"/>
    <x v="109"/>
    <s v="No"/>
    <m/>
    <n v="84800"/>
    <n v="4"/>
    <n v="2"/>
    <s v="No"/>
    <s v="Married"/>
  </r>
  <r>
    <n v="1118"/>
    <s v="Simran Singh"/>
    <s v="Male"/>
    <n v="49"/>
    <s v="IT"/>
    <s v="IT Support"/>
    <s v="Bengaluru"/>
    <s v="Bachelor's"/>
    <x v="110"/>
    <s v="No"/>
    <m/>
    <n v="41000"/>
    <n v="4"/>
    <n v="1"/>
    <s v="Yes"/>
    <s v="Single"/>
  </r>
  <r>
    <n v="1119"/>
    <s v="Kabir Kumar"/>
    <s v="Male"/>
    <n v="33"/>
    <s v="Finance"/>
    <s v="Finance Manager"/>
    <s v="Pune"/>
    <s v="Diploma"/>
    <x v="111"/>
    <s v="No"/>
    <m/>
    <n v="89700"/>
    <n v="4"/>
    <n v="2"/>
    <s v="Yes"/>
    <s v="Married"/>
  </r>
  <r>
    <n v="1120"/>
    <s v="Amit Desai"/>
    <s v="Female"/>
    <n v="24"/>
    <s v="IT"/>
    <s v="IT Manager"/>
    <s v="Hyderabad"/>
    <s v="Bachelor's"/>
    <x v="112"/>
    <s v="No"/>
    <m/>
    <n v="75500"/>
    <n v="5"/>
    <n v="5"/>
    <s v="Yes"/>
    <s v="Married"/>
  </r>
  <r>
    <n v="1121"/>
    <s v="Aarohi Malhotra"/>
    <s v="Male"/>
    <n v="45"/>
    <s v="IT"/>
    <s v="IT Manager"/>
    <s v="Mumbai"/>
    <s v="MBA"/>
    <x v="113"/>
    <s v="Yes"/>
    <s v="10-09-2024"/>
    <n v="98600"/>
    <n v="3"/>
    <n v="3"/>
    <s v="Yes"/>
    <s v="Married"/>
  </r>
  <r>
    <n v="1122"/>
    <s v="Neha Mehta"/>
    <s v="Female"/>
    <n v="39"/>
    <s v="Finance"/>
    <s v="Finance Manager"/>
    <s v="Chennai"/>
    <s v="MBA"/>
    <x v="114"/>
    <s v="No"/>
    <m/>
    <n v="98900"/>
    <n v="4"/>
    <n v="5"/>
    <s v="No"/>
    <s v="Single"/>
  </r>
  <r>
    <n v="1123"/>
    <s v="Suresh Patel"/>
    <s v="Female"/>
    <n v="46"/>
    <s v="Customer Support"/>
    <s v="Support Executive"/>
    <s v="Kolkata"/>
    <s v="Diploma"/>
    <x v="115"/>
    <s v="Yes"/>
    <s v="08-03-2022"/>
    <n v="37500"/>
    <n v="3"/>
    <n v="3"/>
    <s v="No"/>
    <s v="Single"/>
  </r>
  <r>
    <n v="1124"/>
    <s v="Yash Verma"/>
    <s v="Female"/>
    <n v="44"/>
    <s v="Engineering"/>
    <s v="Senior Engineer"/>
    <s v="Hyderabad"/>
    <s v="Diploma"/>
    <x v="8"/>
    <s v="No"/>
    <m/>
    <n v="80400"/>
    <n v="4"/>
    <n v="2"/>
    <s v="Yes"/>
    <s v="Married"/>
  </r>
  <r>
    <n v="1125"/>
    <s v="Divya Verma"/>
    <s v="Female"/>
    <n v="22"/>
    <s v="IT"/>
    <s v="IT Manager"/>
    <s v="Pune"/>
    <s v="MBA"/>
    <x v="116"/>
    <s v="No"/>
    <m/>
    <n v="89300"/>
    <n v="2"/>
    <n v="1"/>
    <s v="Yes"/>
    <s v="Married"/>
  </r>
  <r>
    <n v="1126"/>
    <s v="Yash Agarwal"/>
    <s v="Female"/>
    <n v="35"/>
    <s v="Operations"/>
    <s v="Operations Manager"/>
    <s v="Pune"/>
    <s v="Master's"/>
    <x v="117"/>
    <s v="No"/>
    <m/>
    <n v="60700"/>
    <n v="4"/>
    <n v="5"/>
    <s v="No"/>
    <s v="Married"/>
  </r>
  <r>
    <n v="1127"/>
    <s v="Vikram Agarwal"/>
    <s v="Male"/>
    <n v="28"/>
    <s v="HR"/>
    <s v="HR Executive"/>
    <s v="Ahmedabad"/>
    <s v="MBA"/>
    <x v="118"/>
    <s v="Yes"/>
    <s v="03-06-2022"/>
    <n v="44100"/>
    <n v="4"/>
    <n v="3"/>
    <s v="No"/>
    <s v="Single"/>
  </r>
  <r>
    <n v="1128"/>
    <s v="Nishant Verma"/>
    <s v="Male"/>
    <n v="39"/>
    <s v="IT"/>
    <s v="IT Manager"/>
    <s v="Pune"/>
    <s v="MBA"/>
    <x v="119"/>
    <s v="No"/>
    <m/>
    <n v="76800"/>
    <n v="3"/>
    <n v="5"/>
    <s v="Yes"/>
    <s v="Married"/>
  </r>
  <r>
    <n v="1129"/>
    <s v="Suresh Verma"/>
    <s v="Female"/>
    <n v="23"/>
    <s v="HR"/>
    <s v="HR Executive"/>
    <s v="Kolkata"/>
    <s v="Bachelor's"/>
    <x v="120"/>
    <s v="No"/>
    <m/>
    <n v="34600"/>
    <n v="3"/>
    <n v="4"/>
    <s v="Yes"/>
    <s v="Married"/>
  </r>
  <r>
    <n v="1130"/>
    <s v="Ritu Singh"/>
    <s v="Male"/>
    <n v="54"/>
    <s v="Finance"/>
    <s v="Accountant"/>
    <s v="Pune"/>
    <s v="Bachelor's"/>
    <x v="121"/>
    <s v="No"/>
    <m/>
    <n v="46200"/>
    <n v="4"/>
    <n v="2"/>
    <s v="Yes"/>
    <s v="Single"/>
  </r>
  <r>
    <n v="1131"/>
    <s v="Vihaan Chopra"/>
    <s v="Female"/>
    <n v="38"/>
    <s v="Sales"/>
    <s v="Account Manager"/>
    <s v="Mumbai"/>
    <s v="Bachelor's"/>
    <x v="122"/>
    <s v="No"/>
    <m/>
    <n v="91800"/>
    <n v="4"/>
    <n v="1"/>
    <s v="Yes"/>
    <s v="Single"/>
  </r>
  <r>
    <n v="1132"/>
    <s v="Rohan Sharma"/>
    <s v="Male"/>
    <n v="52"/>
    <s v="Finance"/>
    <s v="Finance Manager"/>
    <s v="Ahmedabad"/>
    <s v="Bachelor's"/>
    <x v="123"/>
    <s v="No"/>
    <m/>
    <n v="89900"/>
    <n v="3"/>
    <n v="4"/>
    <s v="Yes"/>
    <s v="Married"/>
  </r>
  <r>
    <n v="1133"/>
    <s v="Riya Patel"/>
    <s v="Male"/>
    <n v="32"/>
    <s v="IT"/>
    <s v="IT Manager"/>
    <s v="Pune"/>
    <s v="Bachelor's"/>
    <x v="124"/>
    <s v="No"/>
    <m/>
    <n v="76100"/>
    <n v="4"/>
    <n v="2"/>
    <s v="No"/>
    <s v="Single"/>
  </r>
  <r>
    <n v="1134"/>
    <s v="Ritu Mehta"/>
    <s v="Male"/>
    <n v="36"/>
    <s v="Marketing"/>
    <s v="Marketing Manager"/>
    <s v="Chennai"/>
    <s v="MBA"/>
    <x v="125"/>
    <s v="No"/>
    <m/>
    <n v="67800"/>
    <n v="3"/>
    <n v="1"/>
    <s v="Yes"/>
    <s v="Married"/>
  </r>
  <r>
    <n v="1135"/>
    <s v="Simran Patel"/>
    <s v="Female"/>
    <n v="37"/>
    <s v="Engineering"/>
    <s v="QA Engineer"/>
    <s v="Kolkata"/>
    <s v="Diploma"/>
    <x v="126"/>
    <s v="No"/>
    <m/>
    <n v="55900"/>
    <n v="4"/>
    <n v="2"/>
    <s v="No"/>
    <s v="Married"/>
  </r>
  <r>
    <n v="1136"/>
    <s v="Nishant Kapoor"/>
    <s v="Female"/>
    <n v="35"/>
    <s v="IT"/>
    <s v="IT Support"/>
    <s v="Bengaluru"/>
    <s v="Bachelor's"/>
    <x v="127"/>
    <s v="No"/>
    <m/>
    <n v="50000"/>
    <n v="3"/>
    <n v="2"/>
    <s v="No"/>
    <s v="Married"/>
  </r>
  <r>
    <n v="1137"/>
    <s v="Aditi Iyer"/>
    <s v="Male"/>
    <n v="32"/>
    <s v="Marketing"/>
    <s v="Marketing Manager"/>
    <s v="Hyderabad"/>
    <s v="Diploma"/>
    <x v="128"/>
    <s v="Yes"/>
    <s v="27-11-2018"/>
    <n v="89400"/>
    <n v="5"/>
    <n v="4"/>
    <s v="No"/>
    <s v="Single"/>
  </r>
  <r>
    <n v="1138"/>
    <s v="Karan Sharma"/>
    <s v="Female"/>
    <n v="48"/>
    <s v="Engineering"/>
    <s v="QA Engineer"/>
    <s v="Kolkata"/>
    <s v="Bachelor's"/>
    <x v="129"/>
    <s v="No"/>
    <m/>
    <n v="62400"/>
    <n v="3"/>
    <n v="5"/>
    <s v="Yes"/>
    <s v="Single"/>
  </r>
  <r>
    <n v="1139"/>
    <s v="Aarav Saxena"/>
    <s v="Male"/>
    <n v="33"/>
    <s v="Marketing"/>
    <s v="Content Specialist"/>
    <s v="Ahmedabad"/>
    <s v="MBA"/>
    <x v="130"/>
    <s v="No"/>
    <m/>
    <n v="38000"/>
    <n v="4"/>
    <n v="2"/>
    <s v="No"/>
    <s v="Single"/>
  </r>
  <r>
    <n v="1140"/>
    <s v="Ishita Gupta"/>
    <s v="Female"/>
    <n v="40"/>
    <s v="Sales"/>
    <s v="Account Manager"/>
    <s v="Chennai"/>
    <s v="MBA"/>
    <x v="131"/>
    <s v="No"/>
    <m/>
    <n v="71800"/>
    <n v="3"/>
    <n v="2"/>
    <s v="No"/>
    <s v="Single"/>
  </r>
  <r>
    <n v="1141"/>
    <s v="Ananya Pillai"/>
    <s v="Female"/>
    <n v="44"/>
    <s v="Sales"/>
    <s v="Sales Executive"/>
    <s v="Chennai"/>
    <s v="Bachelor's"/>
    <x v="132"/>
    <s v="Yes"/>
    <s v="29-11-2024"/>
    <n v="55000"/>
    <n v="5"/>
    <n v="2"/>
    <s v="No"/>
    <s v="Married"/>
  </r>
  <r>
    <n v="1142"/>
    <s v="Yash Verma"/>
    <s v="Female"/>
    <n v="54"/>
    <s v="Marketing"/>
    <s v="Content Specialist"/>
    <s v="Ahmedabad"/>
    <s v="Diploma"/>
    <x v="133"/>
    <s v="Yes"/>
    <s v="13-05-2019"/>
    <n v="44600"/>
    <n v="4"/>
    <n v="2"/>
    <s v="Yes"/>
    <s v="Single"/>
  </r>
  <r>
    <n v="1143"/>
    <s v="Nishant Malhotra"/>
    <s v="Female"/>
    <n v="38"/>
    <s v="Sales"/>
    <s v="Sales Executive"/>
    <s v="Delhi"/>
    <s v="Master's"/>
    <x v="134"/>
    <s v="No"/>
    <m/>
    <n v="53300"/>
    <n v="4"/>
    <n v="2"/>
    <s v="No"/>
    <s v="Single"/>
  </r>
  <r>
    <n v="1144"/>
    <s v="Sanya Singh"/>
    <s v="Male"/>
    <n v="53"/>
    <s v="Sales"/>
    <s v="Sales Manager"/>
    <s v="Delhi"/>
    <s v="Diploma"/>
    <x v="135"/>
    <s v="Yes"/>
    <s v="31-01-2024"/>
    <n v="93500"/>
    <n v="2"/>
    <n v="5"/>
    <s v="Yes"/>
    <s v="Single"/>
  </r>
  <r>
    <n v="1145"/>
    <s v="Kabir Pillai"/>
    <s v="Female"/>
    <n v="48"/>
    <s v="Customer Support"/>
    <s v="Support Executive"/>
    <s v="Mumbai"/>
    <s v="Diploma"/>
    <x v="104"/>
    <s v="Yes"/>
    <s v="28-12-2024"/>
    <n v="27700"/>
    <n v="5"/>
    <n v="3"/>
    <s v="No"/>
    <s v="Single"/>
  </r>
  <r>
    <n v="1146"/>
    <s v="Suresh Kapoor"/>
    <s v="Female"/>
    <n v="55"/>
    <s v="Operations"/>
    <s v="Operations Manager"/>
    <s v="Mumbai"/>
    <s v="MBA"/>
    <x v="136"/>
    <s v="No"/>
    <m/>
    <n v="84300"/>
    <n v="5"/>
    <n v="4"/>
    <s v="Yes"/>
    <s v="Married"/>
  </r>
  <r>
    <n v="1147"/>
    <s v="Nishant Agarwal"/>
    <s v="Male"/>
    <n v="54"/>
    <s v="Marketing"/>
    <s v="Marketing Manager"/>
    <s v="Kolkata"/>
    <s v="Master's"/>
    <x v="137"/>
    <s v="No"/>
    <m/>
    <n v="71100"/>
    <n v="3"/>
    <n v="4"/>
    <s v="Yes"/>
    <s v="Single"/>
  </r>
  <r>
    <n v="1148"/>
    <s v="Vihaan Saxena"/>
    <s v="Female"/>
    <n v="38"/>
    <s v="Finance"/>
    <s v="Finance Manager"/>
    <s v="Mumbai"/>
    <s v="Bachelor's"/>
    <x v="138"/>
    <s v="No"/>
    <m/>
    <n v="95200"/>
    <n v="3"/>
    <n v="3"/>
    <s v="Yes"/>
    <s v="Married"/>
  </r>
  <r>
    <n v="1149"/>
    <s v="Sanya Reddy"/>
    <s v="Male"/>
    <n v="51"/>
    <s v="Sales"/>
    <s v="Account Manager"/>
    <s v="Hyderabad"/>
    <s v="Bachelor's"/>
    <x v="139"/>
    <s v="No"/>
    <m/>
    <n v="99000"/>
    <n v="3"/>
    <n v="3"/>
    <s v="No"/>
    <s v="Married"/>
  </r>
  <r>
    <n v="1150"/>
    <s v="Aditi Iyer"/>
    <s v="Male"/>
    <n v="34"/>
    <s v="Finance"/>
    <s v="Accountant"/>
    <s v="Pune"/>
    <s v="Diploma"/>
    <x v="140"/>
    <s v="No"/>
    <m/>
    <n v="56700"/>
    <n v="3"/>
    <n v="5"/>
    <s v="No"/>
    <s v="Married"/>
  </r>
  <r>
    <n v="1151"/>
    <s v="Suresh Malhotra"/>
    <s v="Male"/>
    <n v="54"/>
    <s v="HR"/>
    <s v="HR Manager"/>
    <s v="Pune"/>
    <s v="Master's"/>
    <x v="141"/>
    <s v="Yes"/>
    <s v="12-09-2024"/>
    <n v="72200"/>
    <n v="4"/>
    <n v="2"/>
    <s v="Yes"/>
    <s v="Married"/>
  </r>
  <r>
    <n v="1152"/>
    <s v="Simran Kapoor"/>
    <s v="Female"/>
    <n v="25"/>
    <s v="Finance"/>
    <s v="Accountant"/>
    <s v="Pune"/>
    <s v="MBA"/>
    <x v="142"/>
    <s v="No"/>
    <m/>
    <n v="45700"/>
    <n v="2"/>
    <n v="4"/>
    <s v="Yes"/>
    <s v="Married"/>
  </r>
  <r>
    <n v="1153"/>
    <s v="Suresh Bhatia"/>
    <s v="Female"/>
    <n v="48"/>
    <s v="Marketing"/>
    <s v="Content Specialist"/>
    <s v="Pune"/>
    <s v="Master's"/>
    <x v="143"/>
    <s v="No"/>
    <m/>
    <n v="46900"/>
    <n v="2"/>
    <n v="5"/>
    <s v="No"/>
    <s v="Single"/>
  </r>
  <r>
    <n v="1154"/>
    <s v="Sneha Kumar"/>
    <s v="Female"/>
    <n v="48"/>
    <s v="Engineering"/>
    <s v="Engineering Manager"/>
    <s v="Delhi"/>
    <s v="Bachelor's"/>
    <x v="144"/>
    <s v="No"/>
    <m/>
    <n v="126900"/>
    <n v="3"/>
    <n v="5"/>
    <s v="Yes"/>
    <s v="Married"/>
  </r>
  <r>
    <n v="1155"/>
    <s v="Kavya Chopra"/>
    <s v="Male"/>
    <n v="44"/>
    <s v="Customer Support"/>
    <s v="Support Team Lead"/>
    <s v="Ahmedabad"/>
    <s v="MBA"/>
    <x v="145"/>
    <s v="No"/>
    <m/>
    <n v="57100"/>
    <n v="4"/>
    <n v="3"/>
    <s v="Yes"/>
    <s v="Married"/>
  </r>
  <r>
    <n v="1156"/>
    <s v="Arjun Bhatia"/>
    <s v="Female"/>
    <n v="58"/>
    <s v="Engineering"/>
    <s v="QA Engineer"/>
    <s v="Bengaluru"/>
    <s v="Diploma"/>
    <x v="146"/>
    <s v="No"/>
    <m/>
    <n v="70400"/>
    <n v="2"/>
    <n v="3"/>
    <s v="Yes"/>
    <s v="Married"/>
  </r>
  <r>
    <n v="1157"/>
    <s v="Aarav Rao"/>
    <s v="Male"/>
    <n v="41"/>
    <s v="Sales"/>
    <s v="Sales Executive"/>
    <s v="Hyderabad"/>
    <s v="Diploma"/>
    <x v="147"/>
    <s v="No"/>
    <m/>
    <n v="52200"/>
    <n v="4"/>
    <n v="5"/>
    <s v="No"/>
    <s v="Married"/>
  </r>
  <r>
    <n v="1158"/>
    <s v="Karan Joshi"/>
    <s v="Male"/>
    <n v="55"/>
    <s v="Operations"/>
    <s v="Operations Manager"/>
    <s v="Mumbai"/>
    <s v="Bachelor's"/>
    <x v="148"/>
    <s v="No"/>
    <m/>
    <n v="60800"/>
    <n v="3"/>
    <n v="5"/>
    <s v="Yes"/>
    <s v="Single"/>
  </r>
  <r>
    <n v="1159"/>
    <s v="Priya Kumar"/>
    <s v="Female"/>
    <n v="32"/>
    <s v="IT"/>
    <s v="IT Manager"/>
    <s v="Chennai"/>
    <s v="Bachelor's"/>
    <x v="149"/>
    <s v="No"/>
    <m/>
    <n v="84400"/>
    <n v="5"/>
    <n v="5"/>
    <s v="Yes"/>
    <s v="Single"/>
  </r>
  <r>
    <n v="1160"/>
    <s v="Amit Malhotra"/>
    <s v="Female"/>
    <n v="54"/>
    <s v="Customer Support"/>
    <s v="Support Executive"/>
    <s v="Hyderabad"/>
    <s v="Master's"/>
    <x v="150"/>
    <s v="No"/>
    <m/>
    <n v="32500"/>
    <n v="2"/>
    <n v="1"/>
    <s v="No"/>
    <s v="Single"/>
  </r>
  <r>
    <n v="1161"/>
    <s v="Rakesh Rao"/>
    <s v="Male"/>
    <n v="47"/>
    <s v="Sales"/>
    <s v="Sales Manager"/>
    <s v="Mumbai"/>
    <s v="MBA"/>
    <x v="151"/>
    <s v="No"/>
    <m/>
    <n v="87800"/>
    <n v="4"/>
    <n v="4"/>
    <s v="No"/>
    <s v="Single"/>
  </r>
  <r>
    <n v="1162"/>
    <s v="Yash Nair"/>
    <s v="Female"/>
    <n v="23"/>
    <s v="Marketing"/>
    <s v="Marketing Associate"/>
    <s v="Bengaluru"/>
    <s v="Bachelor's"/>
    <x v="152"/>
    <s v="No"/>
    <m/>
    <n v="37000"/>
    <n v="5"/>
    <n v="4"/>
    <s v="No"/>
    <s v="Single"/>
  </r>
  <r>
    <n v="1163"/>
    <s v="Amit Sharma"/>
    <s v="Female"/>
    <n v="32"/>
    <s v="Engineering"/>
    <s v="Senior Engineer"/>
    <s v="Chennai"/>
    <s v="MBA"/>
    <x v="153"/>
    <s v="No"/>
    <m/>
    <n v="87100"/>
    <n v="2"/>
    <n v="5"/>
    <s v="Yes"/>
    <s v="Married"/>
  </r>
  <r>
    <n v="1164"/>
    <s v="Aarav Bhatia"/>
    <s v="Female"/>
    <n v="24"/>
    <s v="Sales"/>
    <s v="Sales Executive"/>
    <s v="Pune"/>
    <s v="Diploma"/>
    <x v="154"/>
    <s v="No"/>
    <m/>
    <n v="39200"/>
    <n v="3"/>
    <n v="2"/>
    <s v="Yes"/>
    <s v="Married"/>
  </r>
  <r>
    <n v="1165"/>
    <s v="Ishita Bhatia"/>
    <s v="Female"/>
    <n v="37"/>
    <s v="Customer Support"/>
    <s v="Support Team Lead"/>
    <s v="Ahmedabad"/>
    <s v="Bachelor's"/>
    <x v="155"/>
    <s v="No"/>
    <m/>
    <n v="64500"/>
    <n v="4"/>
    <n v="4"/>
    <s v="No"/>
    <s v="Single"/>
  </r>
  <r>
    <n v="1166"/>
    <s v="Anjali Iyer"/>
    <s v="Male"/>
    <n v="33"/>
    <s v="Engineering"/>
    <s v="Senior Engineer"/>
    <s v="Chennai"/>
    <s v="Diploma"/>
    <x v="156"/>
    <s v="No"/>
    <m/>
    <n v="112700"/>
    <n v="3"/>
    <n v="1"/>
    <s v="No"/>
    <s v="Married"/>
  </r>
  <r>
    <n v="1167"/>
    <s v="Rohan Mehta"/>
    <s v="Male"/>
    <n v="46"/>
    <s v="Marketing"/>
    <s v="Marketing Manager"/>
    <s v="Chennai"/>
    <s v="Master's"/>
    <x v="157"/>
    <s v="No"/>
    <m/>
    <n v="78400"/>
    <n v="3"/>
    <n v="3"/>
    <s v="Yes"/>
    <s v="Married"/>
  </r>
  <r>
    <n v="1168"/>
    <s v="Anjali Patel"/>
    <s v="Male"/>
    <n v="56"/>
    <s v="Engineering"/>
    <s v="Software Engineer"/>
    <s v="Pune"/>
    <s v="MBA"/>
    <x v="158"/>
    <s v="No"/>
    <m/>
    <n v="69700"/>
    <n v="3"/>
    <n v="2"/>
    <s v="Yes"/>
    <s v="Married"/>
  </r>
  <r>
    <n v="1169"/>
    <s v="Sanya Nair"/>
    <s v="Female"/>
    <n v="54"/>
    <s v="Customer Support"/>
    <s v="Support Executive"/>
    <s v="Hyderabad"/>
    <s v="Diploma"/>
    <x v="159"/>
    <s v="Yes"/>
    <s v="02-05-2024"/>
    <n v="30100"/>
    <n v="3"/>
    <n v="3"/>
    <s v="No"/>
    <s v="Married"/>
  </r>
  <r>
    <n v="1170"/>
    <s v="Simran Iyer"/>
    <s v="Female"/>
    <n v="56"/>
    <s v="HR"/>
    <s v="HR Executive"/>
    <s v="Delhi"/>
    <s v="Bachelor's"/>
    <x v="160"/>
    <s v="Yes"/>
    <s v="20-02-2025"/>
    <n v="45800"/>
    <n v="4"/>
    <n v="5"/>
    <s v="Yes"/>
    <s v="Married"/>
  </r>
  <r>
    <n v="1171"/>
    <s v="Ishita Mehta"/>
    <s v="Male"/>
    <n v="28"/>
    <s v="Engineering"/>
    <s v="Senior Engineer"/>
    <s v="Chennai"/>
    <s v="Master's"/>
    <x v="161"/>
    <s v="No"/>
    <m/>
    <n v="97800"/>
    <n v="3"/>
    <n v="3"/>
    <s v="Yes"/>
    <s v="Single"/>
  </r>
  <r>
    <n v="1172"/>
    <s v="Rakesh Malhotra"/>
    <s v="Male"/>
    <n v="40"/>
    <s v="HR"/>
    <s v="HR Manager"/>
    <s v="Bengaluru"/>
    <s v="Diploma"/>
    <x v="162"/>
    <s v="No"/>
    <m/>
    <n v="72800"/>
    <n v="5"/>
    <n v="2"/>
    <s v="No"/>
    <s v="Single"/>
  </r>
  <r>
    <n v="1173"/>
    <s v="Ishita Joshi"/>
    <s v="Female"/>
    <n v="47"/>
    <s v="Customer Support"/>
    <s v="Support Executive"/>
    <s v="Ahmedabad"/>
    <s v="Master's"/>
    <x v="163"/>
    <s v="No"/>
    <m/>
    <n v="38800"/>
    <n v="2"/>
    <n v="3"/>
    <s v="Yes"/>
    <s v="Single"/>
  </r>
  <r>
    <n v="1174"/>
    <s v="Arjun Verma"/>
    <s v="Male"/>
    <n v="46"/>
    <s v="Customer Support"/>
    <s v="Support Executive"/>
    <s v="Hyderabad"/>
    <s v="Master's"/>
    <x v="164"/>
    <s v="No"/>
    <m/>
    <n v="34300"/>
    <n v="4"/>
    <n v="5"/>
    <s v="Yes"/>
    <s v="Married"/>
  </r>
  <r>
    <n v="1175"/>
    <s v="Rakesh Agarwal"/>
    <s v="Female"/>
    <n v="40"/>
    <s v="Customer Support"/>
    <s v="Support Team Lead"/>
    <s v="Mumbai"/>
    <s v="Bachelor's"/>
    <x v="165"/>
    <s v="No"/>
    <m/>
    <n v="69100"/>
    <n v="4"/>
    <n v="2"/>
    <s v="Yes"/>
    <s v="Single"/>
  </r>
  <r>
    <n v="1176"/>
    <s v="Anjali Kapoor"/>
    <s v="Male"/>
    <n v="36"/>
    <s v="Operations"/>
    <s v="Operations Executive"/>
    <s v="Kolkata"/>
    <s v="Diploma"/>
    <x v="166"/>
    <s v="No"/>
    <m/>
    <n v="40300"/>
    <n v="3"/>
    <n v="4"/>
    <s v="No"/>
    <s v="Married"/>
  </r>
  <r>
    <n v="1177"/>
    <s v="Rahul Verma"/>
    <s v="Male"/>
    <n v="24"/>
    <s v="Customer Support"/>
    <s v="Support Executive"/>
    <s v="Ahmedabad"/>
    <s v="Master's"/>
    <x v="167"/>
    <s v="No"/>
    <m/>
    <n v="30500"/>
    <n v="4"/>
    <n v="2"/>
    <s v="No"/>
    <s v="Single"/>
  </r>
  <r>
    <n v="1178"/>
    <s v="Vihaan Reddy"/>
    <s v="Female"/>
    <n v="41"/>
    <s v="Operations"/>
    <s v="Operations Manager"/>
    <s v="Delhi"/>
    <s v="Master's"/>
    <x v="168"/>
    <s v="No"/>
    <m/>
    <n v="61900"/>
    <n v="4"/>
    <n v="2"/>
    <s v="Yes"/>
    <s v="Single"/>
  </r>
  <r>
    <n v="1179"/>
    <s v="Rahul Bhatia"/>
    <s v="Male"/>
    <n v="58"/>
    <s v="Operations"/>
    <s v="Operations Manager"/>
    <s v="Bengaluru"/>
    <s v="Master's"/>
    <x v="169"/>
    <s v="No"/>
    <m/>
    <n v="67300"/>
    <n v="4"/>
    <n v="2"/>
    <s v="Yes"/>
    <s v="Married"/>
  </r>
  <r>
    <n v="1180"/>
    <s v="Suresh Mehta"/>
    <s v="Male"/>
    <n v="45"/>
    <s v="Marketing"/>
    <s v="Content Specialist"/>
    <s v="Hyderabad"/>
    <s v="Bachelor's"/>
    <x v="170"/>
    <s v="No"/>
    <m/>
    <n v="39200"/>
    <n v="2"/>
    <n v="2"/>
    <s v="Yes"/>
    <s v="Married"/>
  </r>
  <r>
    <n v="1181"/>
    <s v="Karan Singh"/>
    <s v="Male"/>
    <n v="40"/>
    <s v="Operations"/>
    <s v="Operations Manager"/>
    <s v="Ahmedabad"/>
    <s v="MBA"/>
    <x v="171"/>
    <s v="No"/>
    <m/>
    <n v="73400"/>
    <n v="1"/>
    <n v="4"/>
    <s v="Yes"/>
    <s v="Married"/>
  </r>
  <r>
    <n v="1182"/>
    <s v="Sneha Pillai"/>
    <s v="Female"/>
    <n v="53"/>
    <s v="Marketing"/>
    <s v="Content Specialist"/>
    <s v="Ahmedabad"/>
    <s v="Diploma"/>
    <x v="172"/>
    <s v="No"/>
    <m/>
    <n v="48900"/>
    <n v="3"/>
    <n v="1"/>
    <s v="No"/>
    <s v="Married"/>
  </r>
  <r>
    <n v="1183"/>
    <s v="Amit Iyer"/>
    <s v="Male"/>
    <n v="31"/>
    <s v="Engineering"/>
    <s v="Software Engineer"/>
    <s v="Mumbai"/>
    <s v="Diploma"/>
    <x v="173"/>
    <s v="No"/>
    <m/>
    <n v="64800"/>
    <n v="5"/>
    <n v="2"/>
    <s v="Yes"/>
    <s v="Married"/>
  </r>
  <r>
    <n v="1184"/>
    <s v="Sneha Saxena"/>
    <s v="Female"/>
    <n v="36"/>
    <s v="Customer Support"/>
    <s v="Support Executive"/>
    <s v="Chennai"/>
    <s v="MBA"/>
    <x v="174"/>
    <s v="No"/>
    <m/>
    <n v="28900"/>
    <n v="5"/>
    <n v="3"/>
    <s v="Yes"/>
    <s v="Single"/>
  </r>
  <r>
    <n v="1185"/>
    <s v="Vihaan Singh"/>
    <s v="Female"/>
    <n v="53"/>
    <s v="Sales"/>
    <s v="Sales Executive"/>
    <s v="Ahmedabad"/>
    <s v="Diploma"/>
    <x v="175"/>
    <s v="No"/>
    <m/>
    <n v="56200"/>
    <n v="4"/>
    <n v="2"/>
    <s v="Yes"/>
    <s v="Single"/>
  </r>
  <r>
    <n v="1186"/>
    <s v="Kabir Bhatia"/>
    <s v="Female"/>
    <n v="34"/>
    <s v="Marketing"/>
    <s v="Marketing Associate"/>
    <s v="Ahmedabad"/>
    <s v="Diploma"/>
    <x v="129"/>
    <s v="No"/>
    <m/>
    <n v="47800"/>
    <n v="1"/>
    <n v="5"/>
    <s v="No"/>
    <s v="Single"/>
  </r>
  <r>
    <n v="1187"/>
    <s v="Aarohi Gupta"/>
    <s v="Male"/>
    <n v="22"/>
    <s v="Customer Support"/>
    <s v="Support Team Lead"/>
    <s v="Delhi"/>
    <s v="Diploma"/>
    <x v="176"/>
    <s v="No"/>
    <m/>
    <n v="69800"/>
    <n v="3"/>
    <n v="4"/>
    <s v="No"/>
    <s v="Single"/>
  </r>
  <r>
    <n v="1188"/>
    <s v="Neha Gupta"/>
    <s v="Female"/>
    <n v="27"/>
    <s v="IT"/>
    <s v="System Admin"/>
    <s v="Bengaluru"/>
    <s v="Diploma"/>
    <x v="177"/>
    <s v="No"/>
    <m/>
    <n v="54700"/>
    <n v="3"/>
    <n v="5"/>
    <s v="No"/>
    <s v="Married"/>
  </r>
  <r>
    <n v="1189"/>
    <s v="Neha Patel"/>
    <s v="Female"/>
    <n v="50"/>
    <s v="Operations"/>
    <s v="Operations Executive"/>
    <s v="Pune"/>
    <s v="Master's"/>
    <x v="178"/>
    <s v="No"/>
    <m/>
    <n v="34500"/>
    <n v="4"/>
    <n v="4"/>
    <s v="No"/>
    <s v="Single"/>
  </r>
  <r>
    <n v="1190"/>
    <s v="Yash Bhatia"/>
    <s v="Female"/>
    <n v="34"/>
    <s v="Finance"/>
    <s v="Financial Analyst"/>
    <s v="Pune"/>
    <s v="Master's"/>
    <x v="179"/>
    <s v="No"/>
    <m/>
    <n v="57500"/>
    <n v="3"/>
    <n v="1"/>
    <s v="Yes"/>
    <s v="Married"/>
  </r>
  <r>
    <n v="1191"/>
    <s v="Rakesh Kumar"/>
    <s v="Male"/>
    <n v="48"/>
    <s v="IT"/>
    <s v="IT Support"/>
    <s v="Delhi"/>
    <s v="Bachelor's"/>
    <x v="180"/>
    <s v="No"/>
    <m/>
    <n v="56200"/>
    <n v="2"/>
    <n v="5"/>
    <s v="Yes"/>
    <s v="Single"/>
  </r>
  <r>
    <n v="1192"/>
    <s v="Karan Mehta"/>
    <s v="Male"/>
    <n v="30"/>
    <s v="HR"/>
    <s v="Recruiter"/>
    <s v="Ahmedabad"/>
    <s v="Bachelor's"/>
    <x v="40"/>
    <s v="No"/>
    <m/>
    <n v="46400"/>
    <n v="2"/>
    <n v="3"/>
    <s v="Yes"/>
    <s v="Single"/>
  </r>
  <r>
    <n v="1193"/>
    <s v="Rakesh Saxena"/>
    <s v="Male"/>
    <n v="49"/>
    <s v="IT"/>
    <s v="System Admin"/>
    <s v="Delhi"/>
    <s v="Master's"/>
    <x v="181"/>
    <s v="No"/>
    <m/>
    <n v="52700"/>
    <n v="5"/>
    <n v="3"/>
    <s v="Yes"/>
    <s v="Married"/>
  </r>
  <r>
    <n v="1194"/>
    <s v="Sneha Kapoor"/>
    <s v="Male"/>
    <n v="54"/>
    <s v="Finance"/>
    <s v="Financial Analyst"/>
    <s v="Pune"/>
    <s v="MBA"/>
    <x v="182"/>
    <s v="Yes"/>
    <s v="15-12-2024"/>
    <n v="61500"/>
    <n v="4"/>
    <n v="1"/>
    <s v="No"/>
    <s v="Married"/>
  </r>
  <r>
    <n v="1195"/>
    <s v="Anjali Saxena"/>
    <s v="Male"/>
    <n v="44"/>
    <s v="Sales"/>
    <s v="Account Manager"/>
    <s v="Pune"/>
    <s v="MBA"/>
    <x v="183"/>
    <s v="No"/>
    <m/>
    <n v="91300"/>
    <n v="1"/>
    <n v="4"/>
    <s v="Yes"/>
    <s v="Single"/>
  </r>
  <r>
    <n v="1196"/>
    <s v="Neha Singh"/>
    <s v="Male"/>
    <n v="46"/>
    <s v="Finance"/>
    <s v="Financial Analyst"/>
    <s v="Bengaluru"/>
    <s v="MBA"/>
    <x v="184"/>
    <s v="No"/>
    <m/>
    <n v="54300"/>
    <n v="3"/>
    <n v="3"/>
    <s v="No"/>
    <s v="Single"/>
  </r>
  <r>
    <n v="1197"/>
    <s v="Ishita Kapoor"/>
    <s v="Male"/>
    <n v="24"/>
    <s v="IT"/>
    <s v="IT Manager"/>
    <s v="Ahmedabad"/>
    <s v="Bachelor's"/>
    <x v="185"/>
    <s v="No"/>
    <m/>
    <n v="79700"/>
    <n v="4"/>
    <n v="4"/>
    <s v="No"/>
    <s v="Single"/>
  </r>
  <r>
    <n v="1198"/>
    <s v="Rakesh Bhatia"/>
    <s v="Female"/>
    <n v="43"/>
    <s v="HR"/>
    <s v="Recruiter"/>
    <s v="Delhi"/>
    <s v="MBA"/>
    <x v="46"/>
    <s v="No"/>
    <m/>
    <n v="37500"/>
    <n v="5"/>
    <n v="1"/>
    <s v="Yes"/>
    <s v="Single"/>
  </r>
  <r>
    <n v="1199"/>
    <s v="Suresh Joshi"/>
    <s v="Female"/>
    <n v="42"/>
    <s v="Operations"/>
    <s v="Operations Manager"/>
    <s v="Kolkata"/>
    <s v="MBA"/>
    <x v="186"/>
    <s v="No"/>
    <m/>
    <n v="67300"/>
    <n v="3"/>
    <n v="2"/>
    <s v="No"/>
    <s v="Single"/>
  </r>
  <r>
    <n v="1200"/>
    <s v="Amit Patel"/>
    <s v="Male"/>
    <n v="54"/>
    <s v="Finance"/>
    <s v="Accountant"/>
    <s v="Hyderabad"/>
    <s v="Bachelor's"/>
    <x v="187"/>
    <s v="No"/>
    <m/>
    <n v="49600"/>
    <n v="4"/>
    <n v="2"/>
    <s v="Yes"/>
    <s v="Single"/>
  </r>
  <r>
    <n v="1201"/>
    <s v="Kavya Nair"/>
    <s v="Female"/>
    <n v="31"/>
    <s v="Marketing"/>
    <s v="Marketing Manager"/>
    <s v="Hyderabad"/>
    <s v="Master's"/>
    <x v="188"/>
    <s v="No"/>
    <m/>
    <n v="73500"/>
    <n v="4"/>
    <n v="5"/>
    <s v="Yes"/>
    <s v="Married"/>
  </r>
  <r>
    <n v="1202"/>
    <s v="Kavya Desai"/>
    <s v="Female"/>
    <n v="52"/>
    <s v="Operations"/>
    <s v="Operations Executive"/>
    <s v="Chennai"/>
    <s v="MBA"/>
    <x v="105"/>
    <s v="No"/>
    <m/>
    <n v="37900"/>
    <n v="3"/>
    <n v="3"/>
    <s v="Yes"/>
    <s v="Single"/>
  </r>
  <r>
    <n v="1203"/>
    <s v="Aarav Sharma"/>
    <s v="Female"/>
    <n v="32"/>
    <s v="Customer Support"/>
    <s v="Support Team Lead"/>
    <s v="Kolkata"/>
    <s v="MBA"/>
    <x v="189"/>
    <s v="No"/>
    <m/>
    <n v="52300"/>
    <n v="4"/>
    <n v="5"/>
    <s v="No"/>
    <s v="Single"/>
  </r>
  <r>
    <n v="1204"/>
    <s v="Ritu Nair"/>
    <s v="Male"/>
    <n v="44"/>
    <s v="Engineering"/>
    <s v="QA Engineer"/>
    <s v="Chennai"/>
    <s v="Diploma"/>
    <x v="190"/>
    <s v="No"/>
    <m/>
    <n v="74000"/>
    <n v="5"/>
    <n v="3"/>
    <s v="Yes"/>
    <s v="Married"/>
  </r>
  <r>
    <n v="1205"/>
    <s v="Manish Chopra"/>
    <s v="Male"/>
    <n v="35"/>
    <s v="Engineering"/>
    <s v="QA Engineer"/>
    <s v="Pune"/>
    <s v="Bachelor's"/>
    <x v="191"/>
    <s v="No"/>
    <m/>
    <n v="65600"/>
    <n v="3"/>
    <n v="5"/>
    <s v="Yes"/>
    <s v="Single"/>
  </r>
  <r>
    <n v="1206"/>
    <s v="Riya Verma"/>
    <s v="Male"/>
    <n v="30"/>
    <s v="Sales"/>
    <s v="Sales Executive"/>
    <s v="Delhi"/>
    <s v="MBA"/>
    <x v="192"/>
    <s v="No"/>
    <m/>
    <n v="41600"/>
    <n v="4"/>
    <n v="3"/>
    <s v="Yes"/>
    <s v="Single"/>
  </r>
  <r>
    <n v="1207"/>
    <s v="Rohan Kapoor"/>
    <s v="Male"/>
    <n v="25"/>
    <s v="IT"/>
    <s v="System Admin"/>
    <s v="Chennai"/>
    <s v="Master's"/>
    <x v="193"/>
    <s v="No"/>
    <m/>
    <n v="56100"/>
    <n v="2"/>
    <n v="4"/>
    <s v="No"/>
    <s v="Married"/>
  </r>
  <r>
    <n v="1208"/>
    <s v="Karan Sharma"/>
    <s v="Male"/>
    <n v="43"/>
    <s v="Operations"/>
    <s v="Operations Manager"/>
    <s v="Mumbai"/>
    <s v="Diploma"/>
    <x v="194"/>
    <s v="Yes"/>
    <s v="05-11-2020"/>
    <n v="60700"/>
    <n v="3"/>
    <n v="3"/>
    <s v="No"/>
    <s v="Married"/>
  </r>
  <r>
    <n v="1209"/>
    <s v="Sanya Desai"/>
    <s v="Male"/>
    <n v="24"/>
    <s v="Operations"/>
    <s v="Operations Executive"/>
    <s v="Hyderabad"/>
    <s v="Diploma"/>
    <x v="195"/>
    <s v="No"/>
    <m/>
    <n v="42200"/>
    <n v="4"/>
    <n v="5"/>
    <s v="No"/>
    <s v="Married"/>
  </r>
  <r>
    <n v="1210"/>
    <s v="Rahul Agarwal"/>
    <s v="Female"/>
    <n v="28"/>
    <s v="Engineering"/>
    <s v="QA Engineer"/>
    <s v="Mumbai"/>
    <s v="Diploma"/>
    <x v="196"/>
    <s v="No"/>
    <m/>
    <n v="59200"/>
    <n v="4"/>
    <n v="1"/>
    <s v="Yes"/>
    <s v="Single"/>
  </r>
  <r>
    <n v="1211"/>
    <s v="Nishant Verma"/>
    <s v="Male"/>
    <n v="33"/>
    <s v="Engineering"/>
    <s v="QA Engineer"/>
    <s v="Chennai"/>
    <s v="Master's"/>
    <x v="197"/>
    <s v="No"/>
    <m/>
    <n v="69000"/>
    <n v="3"/>
    <n v="4"/>
    <s v="No"/>
    <s v="Single"/>
  </r>
  <r>
    <n v="1212"/>
    <s v="Amit Joshi"/>
    <s v="Female"/>
    <n v="28"/>
    <s v="IT"/>
    <s v="IT Support"/>
    <s v="Chennai"/>
    <s v="Bachelor's"/>
    <x v="198"/>
    <s v="No"/>
    <m/>
    <n v="42100"/>
    <n v="4"/>
    <n v="3"/>
    <s v="Yes"/>
    <s v="Single"/>
  </r>
  <r>
    <n v="1213"/>
    <s v="Yash Mehta"/>
    <s v="Female"/>
    <n v="23"/>
    <s v="Customer Support"/>
    <s v="Support Executive"/>
    <s v="Mumbai"/>
    <s v="MBA"/>
    <x v="199"/>
    <s v="No"/>
    <m/>
    <n v="36300"/>
    <n v="3"/>
    <n v="3"/>
    <s v="No"/>
    <s v="Married"/>
  </r>
  <r>
    <n v="1214"/>
    <s v="Aarohi Kumar"/>
    <s v="Male"/>
    <n v="41"/>
    <s v="Engineering"/>
    <s v="Engineering Manager"/>
    <s v="Hyderabad"/>
    <s v="Master's"/>
    <x v="200"/>
    <s v="No"/>
    <m/>
    <n v="103600"/>
    <n v="1"/>
    <n v="2"/>
    <s v="Yes"/>
    <s v="Married"/>
  </r>
  <r>
    <n v="1215"/>
    <s v="Pooja Saxena"/>
    <s v="Female"/>
    <n v="45"/>
    <s v="HR"/>
    <s v="Recruiter"/>
    <s v="Mumbai"/>
    <s v="Master's"/>
    <x v="201"/>
    <s v="No"/>
    <m/>
    <n v="46500"/>
    <n v="5"/>
    <n v="2"/>
    <s v="No"/>
    <s v="Single"/>
  </r>
  <r>
    <n v="1216"/>
    <s v="Anjali Singh"/>
    <s v="Male"/>
    <n v="54"/>
    <s v="Sales"/>
    <s v="Sales Executive"/>
    <s v="Hyderabad"/>
    <s v="Master's"/>
    <x v="202"/>
    <s v="No"/>
    <m/>
    <n v="40000"/>
    <n v="3"/>
    <n v="1"/>
    <s v="No"/>
    <s v="Married"/>
  </r>
  <r>
    <n v="1217"/>
    <s v="Amit Mehta"/>
    <s v="Female"/>
    <n v="22"/>
    <s v="Sales"/>
    <s v="Account Manager"/>
    <s v="Pune"/>
    <s v="Master's"/>
    <x v="203"/>
    <s v="No"/>
    <m/>
    <n v="73200"/>
    <n v="4"/>
    <n v="1"/>
    <s v="Yes"/>
    <s v="Single"/>
  </r>
  <r>
    <n v="1218"/>
    <s v="Manish Kapoor"/>
    <s v="Male"/>
    <n v="55"/>
    <s v="Marketing"/>
    <s v="Marketing Associate"/>
    <s v="Ahmedabad"/>
    <s v="Master's"/>
    <x v="204"/>
    <s v="No"/>
    <m/>
    <n v="35700"/>
    <n v="3"/>
    <n v="5"/>
    <s v="Yes"/>
    <s v="Married"/>
  </r>
  <r>
    <n v="1219"/>
    <s v="Suresh Kumar"/>
    <s v="Male"/>
    <n v="39"/>
    <s v="Operations"/>
    <s v="Operations Executive"/>
    <s v="Pune"/>
    <s v="Bachelor's"/>
    <x v="205"/>
    <s v="No"/>
    <m/>
    <n v="32500"/>
    <n v="3"/>
    <n v="2"/>
    <s v="Yes"/>
    <s v="Married"/>
  </r>
  <r>
    <n v="1220"/>
    <s v="Anjali Desai"/>
    <s v="Female"/>
    <n v="51"/>
    <s v="Finance"/>
    <s v="Financial Analyst"/>
    <s v="Chennai"/>
    <s v="Bachelor's"/>
    <x v="206"/>
    <s v="No"/>
    <m/>
    <n v="48100"/>
    <n v="3"/>
    <n v="3"/>
    <s v="No"/>
    <s v="Married"/>
  </r>
  <r>
    <n v="1221"/>
    <s v="Rohan Desai"/>
    <s v="Female"/>
    <n v="48"/>
    <s v="Customer Support"/>
    <s v="Support Executive"/>
    <s v="Kolkata"/>
    <s v="Diploma"/>
    <x v="207"/>
    <s v="No"/>
    <m/>
    <n v="38700"/>
    <n v="4"/>
    <n v="5"/>
    <s v="No"/>
    <s v="Married"/>
  </r>
  <r>
    <n v="1222"/>
    <s v="Riya Nair"/>
    <s v="Male"/>
    <n v="47"/>
    <s v="Marketing"/>
    <s v="Content Specialist"/>
    <s v="Mumbai"/>
    <s v="Bachelor's"/>
    <x v="32"/>
    <s v="No"/>
    <m/>
    <n v="41100"/>
    <n v="4"/>
    <n v="3"/>
    <s v="No"/>
    <s v="Single"/>
  </r>
  <r>
    <n v="1223"/>
    <s v="Neha Kumar"/>
    <s v="Female"/>
    <n v="26"/>
    <s v="Customer Support"/>
    <s v="Support Executive"/>
    <s v="Kolkata"/>
    <s v="MBA"/>
    <x v="208"/>
    <s v="No"/>
    <m/>
    <n v="39700"/>
    <n v="3"/>
    <n v="3"/>
    <s v="Yes"/>
    <s v="Single"/>
  </r>
  <r>
    <n v="1224"/>
    <s v="Ritu Saxena"/>
    <s v="Female"/>
    <n v="58"/>
    <s v="Finance"/>
    <s v="Accountant"/>
    <s v="Chennai"/>
    <s v="Diploma"/>
    <x v="209"/>
    <s v="No"/>
    <m/>
    <n v="62500"/>
    <n v="2"/>
    <n v="3"/>
    <s v="Yes"/>
    <s v="Single"/>
  </r>
  <r>
    <n v="1225"/>
    <s v="Suresh Joshi"/>
    <s v="Male"/>
    <n v="24"/>
    <s v="Engineering"/>
    <s v="Senior Engineer"/>
    <s v="Ahmedabad"/>
    <s v="Master's"/>
    <x v="210"/>
    <s v="No"/>
    <m/>
    <n v="91200"/>
    <n v="4"/>
    <n v="1"/>
    <s v="No"/>
    <s v="Single"/>
  </r>
  <r>
    <n v="1226"/>
    <s v="Rakesh Chopra"/>
    <s v="Female"/>
    <n v="50"/>
    <s v="Marketing"/>
    <s v="Marketing Manager"/>
    <s v="Chennai"/>
    <s v="MBA"/>
    <x v="211"/>
    <s v="No"/>
    <m/>
    <n v="72600"/>
    <n v="3"/>
    <n v="1"/>
    <s v="No"/>
    <s v="Married"/>
  </r>
  <r>
    <n v="1227"/>
    <s v="Sneha Reddy"/>
    <s v="Male"/>
    <n v="53"/>
    <s v="Sales"/>
    <s v="Account Manager"/>
    <s v="Bengaluru"/>
    <s v="MBA"/>
    <x v="212"/>
    <s v="No"/>
    <m/>
    <n v="90200"/>
    <n v="4"/>
    <n v="4"/>
    <s v="No"/>
    <s v="Single"/>
  </r>
  <r>
    <n v="1228"/>
    <s v="Simran Nair"/>
    <s v="Male"/>
    <n v="56"/>
    <s v="Finance"/>
    <s v="Financial Analyst"/>
    <s v="Bengaluru"/>
    <s v="MBA"/>
    <x v="213"/>
    <s v="No"/>
    <m/>
    <n v="60800"/>
    <n v="3"/>
    <n v="4"/>
    <s v="Yes"/>
    <s v="Married"/>
  </r>
  <r>
    <n v="1229"/>
    <s v="Kavya Gupta"/>
    <s v="Male"/>
    <n v="24"/>
    <s v="Engineering"/>
    <s v="Engineering Manager"/>
    <s v="Hyderabad"/>
    <s v="MBA"/>
    <x v="52"/>
    <s v="No"/>
    <m/>
    <n v="117000"/>
    <n v="1"/>
    <n v="4"/>
    <s v="No"/>
    <s v="Married"/>
  </r>
  <r>
    <n v="1230"/>
    <s v="Sanya Iyer"/>
    <s v="Female"/>
    <n v="35"/>
    <s v="Engineering"/>
    <s v="Senior Engineer"/>
    <s v="Chennai"/>
    <s v="Bachelor's"/>
    <x v="214"/>
    <s v="No"/>
    <m/>
    <n v="108700"/>
    <n v="2"/>
    <n v="4"/>
    <s v="No"/>
    <s v="Married"/>
  </r>
  <r>
    <n v="1231"/>
    <s v="Ritu Sharma"/>
    <s v="Male"/>
    <n v="52"/>
    <s v="IT"/>
    <s v="System Admin"/>
    <s v="Kolkata"/>
    <s v="Diploma"/>
    <x v="215"/>
    <s v="No"/>
    <m/>
    <n v="57900"/>
    <n v="3"/>
    <n v="5"/>
    <s v="Yes"/>
    <s v="Single"/>
  </r>
  <r>
    <n v="1232"/>
    <s v="Sneha Nair"/>
    <s v="Female"/>
    <n v="46"/>
    <s v="Sales"/>
    <s v="Account Manager"/>
    <s v="Hyderabad"/>
    <s v="MBA"/>
    <x v="216"/>
    <s v="Yes"/>
    <s v="13-07-2025"/>
    <n v="72700"/>
    <n v="3"/>
    <n v="1"/>
    <s v="Yes"/>
    <s v="Married"/>
  </r>
  <r>
    <n v="1233"/>
    <s v="Meera Nair"/>
    <s v="Female"/>
    <n v="52"/>
    <s v="Sales"/>
    <s v="Account Manager"/>
    <s v="Pune"/>
    <s v="MBA"/>
    <x v="217"/>
    <s v="No"/>
    <m/>
    <n v="86700"/>
    <n v="4"/>
    <n v="2"/>
    <s v="No"/>
    <s v="Single"/>
  </r>
  <r>
    <n v="1234"/>
    <s v="Kavya Patel"/>
    <s v="Female"/>
    <n v="56"/>
    <s v="Operations"/>
    <s v="Operations Executive"/>
    <s v="Mumbai"/>
    <s v="Master's"/>
    <x v="218"/>
    <s v="No"/>
    <m/>
    <n v="40200"/>
    <n v="2"/>
    <n v="3"/>
    <s v="No"/>
    <s v="Married"/>
  </r>
  <r>
    <n v="1235"/>
    <s v="Pooja Verma"/>
    <s v="Female"/>
    <n v="56"/>
    <s v="Finance"/>
    <s v="Financial Analyst"/>
    <s v="Kolkata"/>
    <s v="Diploma"/>
    <x v="48"/>
    <s v="No"/>
    <m/>
    <n v="48600"/>
    <n v="2"/>
    <n v="3"/>
    <s v="No"/>
    <s v="Married"/>
  </r>
  <r>
    <n v="1236"/>
    <s v="Rakesh Pillai"/>
    <s v="Male"/>
    <n v="57"/>
    <s v="Operations"/>
    <s v="Operations Manager"/>
    <s v="Pune"/>
    <s v="Diploma"/>
    <x v="219"/>
    <s v="Yes"/>
    <s v="27-12-2024"/>
    <n v="78100"/>
    <n v="1"/>
    <n v="3"/>
    <s v="Yes"/>
    <s v="Married"/>
  </r>
  <r>
    <n v="1237"/>
    <s v="Riya Bhatia"/>
    <s v="Female"/>
    <n v="47"/>
    <s v="HR"/>
    <s v="Recruiter"/>
    <s v="Pune"/>
    <s v="Diploma"/>
    <x v="220"/>
    <s v="No"/>
    <m/>
    <n v="37300"/>
    <n v="3"/>
    <n v="1"/>
    <s v="Yes"/>
    <s v="Single"/>
  </r>
  <r>
    <n v="1238"/>
    <s v="Kavya Gupta"/>
    <s v="Female"/>
    <n v="36"/>
    <s v="Engineering"/>
    <s v="Software Engineer"/>
    <s v="Bengaluru"/>
    <s v="Diploma"/>
    <x v="221"/>
    <s v="Yes"/>
    <s v="25-05-2025"/>
    <n v="76100"/>
    <n v="4"/>
    <n v="2"/>
    <s v="Yes"/>
    <s v="Married"/>
  </r>
  <r>
    <n v="1239"/>
    <s v="Nishant Nair"/>
    <s v="Male"/>
    <n v="50"/>
    <s v="Sales"/>
    <s v="Sales Manager"/>
    <s v="Pune"/>
    <s v="MBA"/>
    <x v="222"/>
    <s v="No"/>
    <m/>
    <n v="73900"/>
    <n v="2"/>
    <n v="1"/>
    <s v="Yes"/>
    <s v="Married"/>
  </r>
  <r>
    <n v="1240"/>
    <s v="Aarohi Iyer"/>
    <s v="Female"/>
    <n v="57"/>
    <s v="Engineering"/>
    <s v="QA Engineer"/>
    <s v="Hyderabad"/>
    <s v="MBA"/>
    <x v="223"/>
    <s v="No"/>
    <m/>
    <n v="59200"/>
    <n v="4"/>
    <n v="4"/>
    <s v="Yes"/>
    <s v="Married"/>
  </r>
  <r>
    <n v="1241"/>
    <s v="Arjun Patel"/>
    <s v="Female"/>
    <n v="51"/>
    <s v="HR"/>
    <s v="Recruiter"/>
    <s v="Delhi"/>
    <s v="Master's"/>
    <x v="224"/>
    <s v="No"/>
    <m/>
    <n v="45700"/>
    <n v="3"/>
    <n v="1"/>
    <s v="Yes"/>
    <s v="Married"/>
  </r>
  <r>
    <n v="1242"/>
    <s v="Nishant Nair"/>
    <s v="Male"/>
    <n v="53"/>
    <s v="Finance"/>
    <s v="Accountant"/>
    <s v="Chennai"/>
    <s v="Bachelor's"/>
    <x v="225"/>
    <s v="No"/>
    <m/>
    <n v="46500"/>
    <n v="3"/>
    <n v="5"/>
    <s v="Yes"/>
    <s v="Single"/>
  </r>
  <r>
    <n v="1243"/>
    <s v="Kabir Kumar"/>
    <s v="Female"/>
    <n v="28"/>
    <s v="HR"/>
    <s v="Recruiter"/>
    <s v="Hyderabad"/>
    <s v="Bachelor's"/>
    <x v="226"/>
    <s v="No"/>
    <m/>
    <n v="39500"/>
    <n v="5"/>
    <n v="1"/>
    <s v="Yes"/>
    <s v="Married"/>
  </r>
  <r>
    <n v="1244"/>
    <s v="Sanya Bhatia"/>
    <s v="Female"/>
    <n v="29"/>
    <s v="HR"/>
    <s v="HR Manager"/>
    <s v="Chennai"/>
    <s v="Master's"/>
    <x v="227"/>
    <s v="No"/>
    <m/>
    <n v="84500"/>
    <n v="4"/>
    <n v="5"/>
    <s v="Yes"/>
    <s v="Single"/>
  </r>
  <r>
    <n v="1245"/>
    <s v="Divya Mehta"/>
    <s v="Female"/>
    <n v="48"/>
    <s v="Sales"/>
    <s v="Sales Executive"/>
    <s v="Mumbai"/>
    <s v="Bachelor's"/>
    <x v="228"/>
    <s v="Yes"/>
    <s v="26-05-2021"/>
    <n v="45700"/>
    <n v="4"/>
    <n v="3"/>
    <s v="Yes"/>
    <s v="Single"/>
  </r>
  <r>
    <n v="1246"/>
    <s v="Rohan Sharma"/>
    <s v="Female"/>
    <n v="28"/>
    <s v="Finance"/>
    <s v="Financial Analyst"/>
    <s v="Hyderabad"/>
    <s v="Bachelor's"/>
    <x v="229"/>
    <s v="No"/>
    <m/>
    <n v="44800"/>
    <n v="3"/>
    <n v="1"/>
    <s v="No"/>
    <s v="Married"/>
  </r>
  <r>
    <n v="1247"/>
    <s v="Riya Reddy"/>
    <s v="Male"/>
    <n v="47"/>
    <s v="Finance"/>
    <s v="Accountant"/>
    <s v="Pune"/>
    <s v="MBA"/>
    <x v="230"/>
    <s v="No"/>
    <m/>
    <n v="46600"/>
    <n v="2"/>
    <n v="5"/>
    <s v="Yes"/>
    <s v="Single"/>
  </r>
  <r>
    <n v="1248"/>
    <s v="Ishita Singh"/>
    <s v="Male"/>
    <n v="27"/>
    <s v="IT"/>
    <s v="IT Manager"/>
    <s v="Pune"/>
    <s v="Master's"/>
    <x v="231"/>
    <s v="Yes"/>
    <s v="17-03-2022"/>
    <n v="78800"/>
    <n v="3"/>
    <n v="5"/>
    <s v="Yes"/>
    <s v="Married"/>
  </r>
  <r>
    <n v="1249"/>
    <s v="Yash Singh"/>
    <s v="Male"/>
    <n v="37"/>
    <s v="HR"/>
    <s v="HR Executive"/>
    <s v="Pune"/>
    <s v="Bachelor's"/>
    <x v="232"/>
    <s v="Yes"/>
    <s v="10-11-2020"/>
    <n v="43600"/>
    <n v="5"/>
    <n v="3"/>
    <s v="No"/>
    <s v="Single"/>
  </r>
  <r>
    <n v="1250"/>
    <s v="Anjali Bhatia"/>
    <s v="Male"/>
    <n v="24"/>
    <s v="Sales"/>
    <s v="Sales Manager"/>
    <s v="Kolkata"/>
    <s v="Diploma"/>
    <x v="211"/>
    <s v="No"/>
    <m/>
    <n v="94400"/>
    <n v="2"/>
    <n v="2"/>
    <s v="Yes"/>
    <s v="Married"/>
  </r>
  <r>
    <n v="1251"/>
    <s v="Vikram Patel"/>
    <s v="Male"/>
    <n v="22"/>
    <s v="HR"/>
    <s v="HR Executive"/>
    <s v="Chennai"/>
    <s v="Bachelor's"/>
    <x v="233"/>
    <s v="No"/>
    <m/>
    <n v="34600"/>
    <n v="4"/>
    <n v="1"/>
    <s v="Yes"/>
    <s v="Single"/>
  </r>
  <r>
    <n v="1252"/>
    <s v="Kavya Verma"/>
    <s v="Female"/>
    <n v="53"/>
    <s v="Customer Support"/>
    <s v="Support Executive"/>
    <s v="Chennai"/>
    <s v="Master's"/>
    <x v="234"/>
    <s v="No"/>
    <m/>
    <n v="28900"/>
    <n v="4"/>
    <n v="1"/>
    <s v="No"/>
    <s v="Single"/>
  </r>
  <r>
    <n v="1253"/>
    <s v="Priya Mehta"/>
    <s v="Female"/>
    <n v="37"/>
    <s v="Marketing"/>
    <s v="Marketing Associate"/>
    <s v="Hyderabad"/>
    <s v="Master's"/>
    <x v="235"/>
    <s v="No"/>
    <m/>
    <n v="45600"/>
    <n v="4"/>
    <n v="5"/>
    <s v="Yes"/>
    <s v="Married"/>
  </r>
  <r>
    <n v="1254"/>
    <s v="Pooja Mehta"/>
    <s v="Female"/>
    <n v="43"/>
    <s v="Customer Support"/>
    <s v="Support Team Lead"/>
    <s v="Delhi"/>
    <s v="Master's"/>
    <x v="236"/>
    <s v="No"/>
    <m/>
    <n v="67200"/>
    <n v="1"/>
    <n v="1"/>
    <s v="Yes"/>
    <s v="Married"/>
  </r>
  <r>
    <n v="1255"/>
    <s v="Priya Rao"/>
    <s v="Female"/>
    <n v="27"/>
    <s v="IT"/>
    <s v="IT Support"/>
    <s v="Chennai"/>
    <s v="Master's"/>
    <x v="237"/>
    <s v="Yes"/>
    <s v="06-12-2023"/>
    <n v="48400"/>
    <n v="3"/>
    <n v="1"/>
    <s v="No"/>
    <s v="Single"/>
  </r>
  <r>
    <n v="1256"/>
    <s v="Rakesh Bhatia"/>
    <s v="Female"/>
    <n v="46"/>
    <s v="HR"/>
    <s v="HR Executive"/>
    <s v="Pune"/>
    <s v="Bachelor's"/>
    <x v="238"/>
    <s v="Yes"/>
    <s v="31-01-2021"/>
    <n v="40200"/>
    <n v="3"/>
    <n v="2"/>
    <s v="No"/>
    <s v="Married"/>
  </r>
  <r>
    <n v="1257"/>
    <s v="Aarohi Kumar"/>
    <s v="Female"/>
    <n v="22"/>
    <s v="HR"/>
    <s v="HR Executive"/>
    <s v="Kolkata"/>
    <s v="Bachelor's"/>
    <x v="239"/>
    <s v="No"/>
    <m/>
    <n v="35700"/>
    <n v="3"/>
    <n v="3"/>
    <s v="No"/>
    <s v="Single"/>
  </r>
  <r>
    <n v="1258"/>
    <s v="Simran Agarwal"/>
    <s v="Female"/>
    <n v="54"/>
    <s v="Engineering"/>
    <s v="QA Engineer"/>
    <s v="Kolkata"/>
    <s v="Bachelor's"/>
    <x v="240"/>
    <s v="No"/>
    <m/>
    <n v="66800"/>
    <n v="5"/>
    <n v="4"/>
    <s v="Yes"/>
    <s v="Married"/>
  </r>
  <r>
    <n v="1259"/>
    <s v="Neha Joshi"/>
    <s v="Male"/>
    <n v="50"/>
    <s v="Sales"/>
    <s v="Account Manager"/>
    <s v="Delhi"/>
    <s v="Diploma"/>
    <x v="241"/>
    <s v="No"/>
    <m/>
    <n v="93200"/>
    <n v="5"/>
    <n v="4"/>
    <s v="Yes"/>
    <s v="Married"/>
  </r>
  <r>
    <n v="1260"/>
    <s v="Neha Patel"/>
    <s v="Male"/>
    <n v="47"/>
    <s v="Finance"/>
    <s v="Financial Analyst"/>
    <s v="Pune"/>
    <s v="Bachelor's"/>
    <x v="242"/>
    <s v="No"/>
    <m/>
    <n v="57400"/>
    <n v="4"/>
    <n v="2"/>
    <s v="No"/>
    <s v="Single"/>
  </r>
  <r>
    <n v="1261"/>
    <s v="Priya Desai"/>
    <s v="Female"/>
    <n v="45"/>
    <s v="Marketing"/>
    <s v="Content Specialist"/>
    <s v="Kolkata"/>
    <s v="Diploma"/>
    <x v="243"/>
    <s v="No"/>
    <m/>
    <n v="41100"/>
    <n v="4"/>
    <n v="1"/>
    <s v="No"/>
    <s v="Single"/>
  </r>
  <r>
    <n v="1262"/>
    <s v="Aarav Agarwal"/>
    <s v="Male"/>
    <n v="25"/>
    <s v="Engineering"/>
    <s v="QA Engineer"/>
    <s v="Bengaluru"/>
    <s v="MBA"/>
    <x v="244"/>
    <s v="No"/>
    <m/>
    <n v="80500"/>
    <n v="4"/>
    <n v="2"/>
    <s v="No"/>
    <s v="Married"/>
  </r>
  <r>
    <n v="1263"/>
    <s v="Manish Kumar"/>
    <s v="Male"/>
    <n v="38"/>
    <s v="Operations"/>
    <s v="Operations Manager"/>
    <s v="Kolkata"/>
    <s v="Bachelor's"/>
    <x v="245"/>
    <s v="No"/>
    <m/>
    <n v="68900"/>
    <n v="3"/>
    <n v="3"/>
    <s v="Yes"/>
    <s v="Single"/>
  </r>
  <r>
    <n v="1264"/>
    <s v="Ritu Saxena"/>
    <s v="Female"/>
    <n v="31"/>
    <s v="Customer Support"/>
    <s v="Support Executive"/>
    <s v="Chennai"/>
    <s v="Bachelor's"/>
    <x v="246"/>
    <s v="No"/>
    <m/>
    <n v="36900"/>
    <n v="3"/>
    <n v="4"/>
    <s v="Yes"/>
    <s v="Married"/>
  </r>
  <r>
    <n v="1265"/>
    <s v="Arjun Joshi"/>
    <s v="Female"/>
    <n v="50"/>
    <s v="Finance"/>
    <s v="Finance Manager"/>
    <s v="Delhi"/>
    <s v="MBA"/>
    <x v="247"/>
    <s v="No"/>
    <m/>
    <n v="78000"/>
    <n v="4"/>
    <n v="3"/>
    <s v="No"/>
    <s v="Married"/>
  </r>
  <r>
    <n v="1266"/>
    <s v="Riya Gupta"/>
    <s v="Male"/>
    <n v="33"/>
    <s v="Customer Support"/>
    <s v="Support Executive"/>
    <s v="Hyderabad"/>
    <s v="Master's"/>
    <x v="248"/>
    <s v="No"/>
    <m/>
    <n v="37100"/>
    <n v="3"/>
    <n v="3"/>
    <s v="No"/>
    <s v="Married"/>
  </r>
  <r>
    <n v="1267"/>
    <s v="Neha Kapoor"/>
    <s v="Female"/>
    <n v="30"/>
    <s v="Engineering"/>
    <s v="Senior Engineer"/>
    <s v="Kolkata"/>
    <s v="MBA"/>
    <x v="249"/>
    <s v="No"/>
    <m/>
    <n v="89700"/>
    <n v="2"/>
    <n v="5"/>
    <s v="Yes"/>
    <s v="Single"/>
  </r>
  <r>
    <n v="1268"/>
    <s v="Yash Rao"/>
    <s v="Female"/>
    <n v="31"/>
    <s v="HR"/>
    <s v="Recruiter"/>
    <s v="Hyderabad"/>
    <s v="Master's"/>
    <x v="250"/>
    <s v="No"/>
    <m/>
    <n v="44700"/>
    <n v="4"/>
    <n v="3"/>
    <s v="Yes"/>
    <s v="Married"/>
  </r>
  <r>
    <n v="1269"/>
    <s v="Manish Malhotra"/>
    <s v="Male"/>
    <n v="35"/>
    <s v="Customer Support"/>
    <s v="Support Team Lead"/>
    <s v="Delhi"/>
    <s v="MBA"/>
    <x v="251"/>
    <s v="No"/>
    <m/>
    <n v="56100"/>
    <n v="3"/>
    <n v="1"/>
    <s v="No"/>
    <s v="Single"/>
  </r>
  <r>
    <n v="1270"/>
    <s v="Rakesh Agarwal"/>
    <s v="Male"/>
    <n v="51"/>
    <s v="Marketing"/>
    <s v="Marketing Manager"/>
    <s v="Pune"/>
    <s v="Bachelor's"/>
    <x v="252"/>
    <s v="No"/>
    <m/>
    <n v="77800"/>
    <n v="4"/>
    <n v="5"/>
    <s v="Yes"/>
    <s v="Single"/>
  </r>
  <r>
    <n v="1271"/>
    <s v="Simran Bhatia"/>
    <s v="Male"/>
    <n v="43"/>
    <s v="IT"/>
    <s v="IT Support"/>
    <s v="Hyderabad"/>
    <s v="MBA"/>
    <x v="19"/>
    <s v="No"/>
    <m/>
    <n v="51700"/>
    <n v="3"/>
    <n v="2"/>
    <s v="No"/>
    <s v="Single"/>
  </r>
  <r>
    <n v="1272"/>
    <s v="Riya Reddy"/>
    <s v="Male"/>
    <n v="39"/>
    <s v="Finance"/>
    <s v="Accountant"/>
    <s v="Chennai"/>
    <s v="Bachelor's"/>
    <x v="253"/>
    <s v="No"/>
    <m/>
    <n v="54200"/>
    <n v="3"/>
    <n v="5"/>
    <s v="No"/>
    <s v="Single"/>
  </r>
  <r>
    <n v="1273"/>
    <s v="Pooja Verma"/>
    <s v="Female"/>
    <n v="58"/>
    <s v="Operations"/>
    <s v="Operations Manager"/>
    <s v="Delhi"/>
    <s v="Diploma"/>
    <x v="254"/>
    <s v="No"/>
    <m/>
    <n v="69900"/>
    <n v="5"/>
    <n v="5"/>
    <s v="No"/>
    <s v="Single"/>
  </r>
  <r>
    <n v="1274"/>
    <s v="Rohan Saxena"/>
    <s v="Male"/>
    <n v="34"/>
    <s v="Marketing"/>
    <s v="Marketing Manager"/>
    <s v="Bengaluru"/>
    <s v="MBA"/>
    <x v="255"/>
    <s v="No"/>
    <m/>
    <n v="86500"/>
    <n v="4"/>
    <n v="2"/>
    <s v="Yes"/>
    <s v="Married"/>
  </r>
  <r>
    <n v="1275"/>
    <s v="Aarav Desai"/>
    <s v="Female"/>
    <n v="44"/>
    <s v="Sales"/>
    <s v="Account Manager"/>
    <s v="Mumbai"/>
    <s v="Bachelor's"/>
    <x v="256"/>
    <s v="No"/>
    <m/>
    <n v="82400"/>
    <n v="4"/>
    <n v="5"/>
    <s v="No"/>
    <s v="Married"/>
  </r>
  <r>
    <n v="1276"/>
    <s v="Amit Reddy"/>
    <s v="Female"/>
    <n v="33"/>
    <s v="Operations"/>
    <s v="Operations Manager"/>
    <s v="Delhi"/>
    <s v="Bachelor's"/>
    <x v="257"/>
    <s v="No"/>
    <m/>
    <n v="69700"/>
    <n v="1"/>
    <n v="1"/>
    <s v="No"/>
    <s v="Single"/>
  </r>
  <r>
    <n v="1277"/>
    <s v="Kavya Patel"/>
    <s v="Female"/>
    <n v="42"/>
    <s v="IT"/>
    <s v="System Admin"/>
    <s v="Delhi"/>
    <s v="MBA"/>
    <x v="258"/>
    <s v="No"/>
    <m/>
    <n v="58000"/>
    <n v="5"/>
    <n v="5"/>
    <s v="No"/>
    <s v="Married"/>
  </r>
  <r>
    <n v="1278"/>
    <s v="Aarav Joshi"/>
    <s v="Female"/>
    <n v="46"/>
    <s v="Sales"/>
    <s v="Sales Executive"/>
    <s v="Hyderabad"/>
    <s v="Diploma"/>
    <x v="259"/>
    <s v="Yes"/>
    <s v="12-01-2020"/>
    <n v="52900"/>
    <n v="4"/>
    <n v="1"/>
    <s v="Yes"/>
    <s v="Married"/>
  </r>
  <r>
    <n v="1279"/>
    <s v="Ishita Sharma"/>
    <s v="Male"/>
    <n v="42"/>
    <s v="IT"/>
    <s v="IT Support"/>
    <s v="Pune"/>
    <s v="Bachelor's"/>
    <x v="260"/>
    <s v="No"/>
    <m/>
    <n v="52800"/>
    <n v="5"/>
    <n v="2"/>
    <s v="Yes"/>
    <s v="Single"/>
  </r>
  <r>
    <n v="1280"/>
    <s v="Aarav Joshi"/>
    <s v="Female"/>
    <n v="50"/>
    <s v="Marketing"/>
    <s v="Marketing Associate"/>
    <s v="Bengaluru"/>
    <s v="Master's"/>
    <x v="261"/>
    <s v="No"/>
    <m/>
    <n v="45300"/>
    <n v="5"/>
    <n v="4"/>
    <s v="Yes"/>
    <s v="Single"/>
  </r>
  <r>
    <n v="1281"/>
    <s v="Kavya Kumar"/>
    <s v="Male"/>
    <n v="31"/>
    <s v="Customer Support"/>
    <s v="Support Executive"/>
    <s v="Ahmedabad"/>
    <s v="Diploma"/>
    <x v="262"/>
    <s v="Yes"/>
    <s v="31-01-2022"/>
    <n v="38800"/>
    <n v="4"/>
    <n v="2"/>
    <s v="Yes"/>
    <s v="Married"/>
  </r>
  <r>
    <n v="1282"/>
    <s v="Yash Iyer"/>
    <s v="Male"/>
    <n v="24"/>
    <s v="HR"/>
    <s v="HR Executive"/>
    <s v="Pune"/>
    <s v="Bachelor's"/>
    <x v="263"/>
    <s v="No"/>
    <m/>
    <n v="34800"/>
    <n v="3"/>
    <n v="2"/>
    <s v="Yes"/>
    <s v="Married"/>
  </r>
  <r>
    <n v="1283"/>
    <s v="Aditi Verma"/>
    <s v="Male"/>
    <n v="28"/>
    <s v="IT"/>
    <s v="IT Support"/>
    <s v="Ahmedabad"/>
    <s v="Bachelor's"/>
    <x v="264"/>
    <s v="No"/>
    <m/>
    <n v="43600"/>
    <n v="4"/>
    <n v="3"/>
    <s v="Yes"/>
    <s v="Married"/>
  </r>
  <r>
    <n v="1284"/>
    <s v="Ritu Sharma"/>
    <s v="Male"/>
    <n v="25"/>
    <s v="Sales"/>
    <s v="Account Manager"/>
    <s v="Delhi"/>
    <s v="Bachelor's"/>
    <x v="265"/>
    <s v="No"/>
    <m/>
    <n v="88800"/>
    <n v="3"/>
    <n v="5"/>
    <s v="Yes"/>
    <s v="Single"/>
  </r>
  <r>
    <n v="1285"/>
    <s v="Ananya Agarwal"/>
    <s v="Female"/>
    <n v="29"/>
    <s v="HR"/>
    <s v="HR Executive"/>
    <s v="Pune"/>
    <s v="Diploma"/>
    <x v="266"/>
    <s v="Yes"/>
    <s v="23-09-2021"/>
    <n v="42700"/>
    <n v="3"/>
    <n v="1"/>
    <s v="Yes"/>
    <s v="Married"/>
  </r>
  <r>
    <n v="1286"/>
    <s v="Aditi Malhotra"/>
    <s v="Female"/>
    <n v="34"/>
    <s v="Finance"/>
    <s v="Financial Analyst"/>
    <s v="Ahmedabad"/>
    <s v="MBA"/>
    <x v="267"/>
    <s v="No"/>
    <m/>
    <n v="44100"/>
    <n v="1"/>
    <n v="5"/>
    <s v="Yes"/>
    <s v="Married"/>
  </r>
  <r>
    <n v="1287"/>
    <s v="Karan Rao"/>
    <s v="Male"/>
    <n v="30"/>
    <s v="Marketing"/>
    <s v="Marketing Associate"/>
    <s v="Mumbai"/>
    <s v="Bachelor's"/>
    <x v="268"/>
    <s v="No"/>
    <m/>
    <n v="49200"/>
    <n v="2"/>
    <n v="3"/>
    <s v="No"/>
    <s v="Married"/>
  </r>
  <r>
    <n v="1288"/>
    <s v="Rakesh Patel"/>
    <s v="Female"/>
    <n v="46"/>
    <s v="Finance"/>
    <s v="Accountant"/>
    <s v="Mumbai"/>
    <s v="MBA"/>
    <x v="269"/>
    <s v="No"/>
    <m/>
    <n v="45700"/>
    <n v="3"/>
    <n v="4"/>
    <s v="No"/>
    <s v="Married"/>
  </r>
  <r>
    <n v="1289"/>
    <s v="Anjali Iyer"/>
    <s v="Male"/>
    <n v="56"/>
    <s v="Customer Support"/>
    <s v="Support Executive"/>
    <s v="Chennai"/>
    <s v="Master's"/>
    <x v="270"/>
    <s v="No"/>
    <m/>
    <n v="39000"/>
    <n v="3"/>
    <n v="2"/>
    <s v="No"/>
    <s v="Single"/>
  </r>
  <r>
    <n v="1290"/>
    <s v="Simran Reddy"/>
    <s v="Male"/>
    <n v="45"/>
    <s v="Sales"/>
    <s v="Sales Manager"/>
    <s v="Kolkata"/>
    <s v="MBA"/>
    <x v="271"/>
    <s v="Yes"/>
    <s v="03-10-2024"/>
    <n v="86300"/>
    <n v="5"/>
    <n v="1"/>
    <s v="Yes"/>
    <s v="Married"/>
  </r>
  <r>
    <n v="1291"/>
    <s v="Ritu Agarwal"/>
    <s v="Male"/>
    <n v="38"/>
    <s v="HR"/>
    <s v="HR Executive"/>
    <s v="Hyderabad"/>
    <s v="Bachelor's"/>
    <x v="272"/>
    <s v="Yes"/>
    <s v="23-02-2024"/>
    <n v="45500"/>
    <n v="5"/>
    <n v="5"/>
    <s v="Yes"/>
    <s v="Married"/>
  </r>
  <r>
    <n v="1292"/>
    <s v="Vikram Mehta"/>
    <s v="Male"/>
    <n v="35"/>
    <s v="Operations"/>
    <s v="Operations Manager"/>
    <s v="Mumbai"/>
    <s v="Bachelor's"/>
    <x v="273"/>
    <s v="No"/>
    <m/>
    <n v="75100"/>
    <n v="4"/>
    <n v="2"/>
    <s v="Yes"/>
    <s v="Single"/>
  </r>
  <r>
    <n v="1293"/>
    <s v="Rakesh Mehta"/>
    <s v="Female"/>
    <n v="26"/>
    <s v="Marketing"/>
    <s v="Marketing Associate"/>
    <s v="Delhi"/>
    <s v="Bachelor's"/>
    <x v="274"/>
    <s v="No"/>
    <m/>
    <n v="37000"/>
    <n v="4"/>
    <n v="5"/>
    <s v="No"/>
    <s v="Married"/>
  </r>
  <r>
    <n v="1294"/>
    <s v="Ananya Singh"/>
    <s v="Female"/>
    <n v="50"/>
    <s v="Finance"/>
    <s v="Accountant"/>
    <s v="Kolkata"/>
    <s v="Master's"/>
    <x v="275"/>
    <s v="No"/>
    <m/>
    <n v="59700"/>
    <n v="3"/>
    <n v="2"/>
    <s v="Yes"/>
    <s v="Married"/>
  </r>
  <r>
    <n v="1295"/>
    <s v="Suresh Iyer"/>
    <s v="Male"/>
    <n v="22"/>
    <s v="HR"/>
    <s v="HR Manager"/>
    <s v="Chennai"/>
    <s v="MBA"/>
    <x v="276"/>
    <s v="No"/>
    <m/>
    <n v="63300"/>
    <n v="2"/>
    <n v="5"/>
    <s v="No"/>
    <s v="Married"/>
  </r>
  <r>
    <n v="1296"/>
    <s v="Ananya Verma"/>
    <s v="Male"/>
    <n v="38"/>
    <s v="IT"/>
    <s v="IT Support"/>
    <s v="Mumbai"/>
    <s v="Diploma"/>
    <x v="277"/>
    <s v="Yes"/>
    <s v="31-03-2019"/>
    <n v="51700"/>
    <n v="3"/>
    <n v="3"/>
    <s v="Yes"/>
    <s v="Married"/>
  </r>
  <r>
    <n v="1297"/>
    <s v="Sanya Desai"/>
    <s v="Male"/>
    <n v="45"/>
    <s v="Engineering"/>
    <s v="QA Engineer"/>
    <s v="Hyderabad"/>
    <s v="MBA"/>
    <x v="278"/>
    <s v="No"/>
    <m/>
    <n v="68800"/>
    <n v="2"/>
    <n v="2"/>
    <s v="No"/>
    <s v="Married"/>
  </r>
  <r>
    <n v="1298"/>
    <s v="Ritu Sharma"/>
    <s v="Male"/>
    <n v="37"/>
    <s v="HR"/>
    <s v="HR Executive"/>
    <s v="Kolkata"/>
    <s v="MBA"/>
    <x v="279"/>
    <s v="Yes"/>
    <s v="06-06-2024"/>
    <n v="38200"/>
    <n v="1"/>
    <n v="3"/>
    <s v="Yes"/>
    <s v="Married"/>
  </r>
  <r>
    <n v="1299"/>
    <s v="Ishita Kumar"/>
    <s v="Female"/>
    <n v="57"/>
    <s v="IT"/>
    <s v="IT Support"/>
    <s v="Delhi"/>
    <s v="Diploma"/>
    <x v="280"/>
    <s v="No"/>
    <m/>
    <n v="42600"/>
    <n v="2"/>
    <n v="2"/>
    <s v="Yes"/>
    <s v="Married"/>
  </r>
  <r>
    <n v="1300"/>
    <s v="Karan Verma"/>
    <s v="Male"/>
    <n v="50"/>
    <s v="HR"/>
    <s v="HR Executive"/>
    <s v="Hyderabad"/>
    <s v="MBA"/>
    <x v="281"/>
    <s v="Yes"/>
    <s v="08-10-2024"/>
    <n v="37800"/>
    <n v="3"/>
    <n v="2"/>
    <s v="No"/>
    <s v="Single"/>
  </r>
  <r>
    <n v="1301"/>
    <s v="Yash Saxena"/>
    <s v="Female"/>
    <n v="37"/>
    <s v="Marketing"/>
    <s v="Marketing Associate"/>
    <s v="Kolkata"/>
    <s v="Bachelor's"/>
    <x v="282"/>
    <s v="No"/>
    <m/>
    <n v="38600"/>
    <n v="5"/>
    <n v="1"/>
    <s v="No"/>
    <s v="Married"/>
  </r>
  <r>
    <n v="1302"/>
    <s v="Karan Bhatia"/>
    <s v="Male"/>
    <n v="35"/>
    <s v="Marketing"/>
    <s v="Marketing Manager"/>
    <s v="Chennai"/>
    <s v="Bachelor's"/>
    <x v="283"/>
    <s v="Yes"/>
    <s v="22-11-2023"/>
    <n v="84300"/>
    <n v="3"/>
    <n v="4"/>
    <s v="No"/>
    <s v="Single"/>
  </r>
  <r>
    <n v="1303"/>
    <s v="Rahul Sharma"/>
    <s v="Male"/>
    <n v="53"/>
    <s v="IT"/>
    <s v="IT Manager"/>
    <s v="Mumbai"/>
    <s v="Master's"/>
    <x v="284"/>
    <s v="No"/>
    <m/>
    <n v="95900"/>
    <n v="2"/>
    <n v="3"/>
    <s v="Yes"/>
    <s v="Married"/>
  </r>
  <r>
    <n v="1304"/>
    <s v="Pooja Reddy"/>
    <s v="Male"/>
    <n v="50"/>
    <s v="Sales"/>
    <s v="Account Manager"/>
    <s v="Ahmedabad"/>
    <s v="Bachelor's"/>
    <x v="81"/>
    <s v="No"/>
    <m/>
    <n v="96400"/>
    <n v="3"/>
    <n v="2"/>
    <s v="No"/>
    <s v="Married"/>
  </r>
  <r>
    <n v="1305"/>
    <s v="Yash Nair"/>
    <s v="Male"/>
    <n v="45"/>
    <s v="Customer Support"/>
    <s v="Support Executive"/>
    <s v="Bengaluru"/>
    <s v="Bachelor's"/>
    <x v="285"/>
    <s v="No"/>
    <m/>
    <n v="30200"/>
    <n v="3"/>
    <n v="4"/>
    <s v="Yes"/>
    <s v="Single"/>
  </r>
  <r>
    <n v="1306"/>
    <s v="Aarav Kumar"/>
    <s v="Male"/>
    <n v="42"/>
    <s v="Finance"/>
    <s v="Accountant"/>
    <s v="Hyderabad"/>
    <s v="Master's"/>
    <x v="286"/>
    <s v="No"/>
    <m/>
    <n v="50600"/>
    <n v="3"/>
    <n v="1"/>
    <s v="No"/>
    <s v="Single"/>
  </r>
  <r>
    <n v="1307"/>
    <s v="Riya Sharma"/>
    <s v="Male"/>
    <n v="57"/>
    <s v="Finance"/>
    <s v="Finance Manager"/>
    <s v="Ahmedabad"/>
    <s v="Diploma"/>
    <x v="287"/>
    <s v="No"/>
    <m/>
    <n v="102100"/>
    <n v="2"/>
    <n v="1"/>
    <s v="No"/>
    <s v="Married"/>
  </r>
  <r>
    <n v="1308"/>
    <s v="Kabir Patel"/>
    <s v="Male"/>
    <n v="49"/>
    <s v="Operations"/>
    <s v="Operations Executive"/>
    <s v="Bengaluru"/>
    <s v="Master's"/>
    <x v="288"/>
    <s v="No"/>
    <m/>
    <n v="33500"/>
    <n v="4"/>
    <n v="3"/>
    <s v="Yes"/>
    <s v="Single"/>
  </r>
  <r>
    <n v="1309"/>
    <s v="Sneha Chopra"/>
    <s v="Female"/>
    <n v="23"/>
    <s v="Marketing"/>
    <s v="Marketing Associate"/>
    <s v="Kolkata"/>
    <s v="Bachelor's"/>
    <x v="289"/>
    <s v="Yes"/>
    <s v="08-02-2022"/>
    <n v="36900"/>
    <n v="4"/>
    <n v="4"/>
    <s v="Yes"/>
    <s v="Married"/>
  </r>
  <r>
    <n v="1310"/>
    <s v="Kavya Malhotra"/>
    <s v="Male"/>
    <n v="55"/>
    <s v="IT"/>
    <s v="IT Support"/>
    <s v="Ahmedabad"/>
    <s v="MBA"/>
    <x v="290"/>
    <s v="No"/>
    <m/>
    <n v="44500"/>
    <n v="2"/>
    <n v="5"/>
    <s v="No"/>
    <s v="Single"/>
  </r>
  <r>
    <n v="1311"/>
    <s v="Kavya Chopra"/>
    <s v="Male"/>
    <n v="25"/>
    <s v="Customer Support"/>
    <s v="Support Team Lead"/>
    <s v="Hyderabad"/>
    <s v="Bachelor's"/>
    <x v="279"/>
    <s v="No"/>
    <m/>
    <n v="53900"/>
    <n v="3"/>
    <n v="4"/>
    <s v="No"/>
    <s v="Married"/>
  </r>
  <r>
    <n v="1312"/>
    <s v="Pooja Reddy"/>
    <s v="Female"/>
    <n v="35"/>
    <s v="Operations"/>
    <s v="Operations Executive"/>
    <s v="Kolkata"/>
    <s v="Bachelor's"/>
    <x v="291"/>
    <s v="No"/>
    <m/>
    <n v="38500"/>
    <n v="5"/>
    <n v="2"/>
    <s v="No"/>
    <s v="Married"/>
  </r>
  <r>
    <n v="1313"/>
    <s v="Arjun Kumar"/>
    <s v="Female"/>
    <n v="29"/>
    <s v="Engineering"/>
    <s v="Senior Engineer"/>
    <s v="Pune"/>
    <s v="MBA"/>
    <x v="292"/>
    <s v="No"/>
    <m/>
    <n v="95900"/>
    <n v="5"/>
    <n v="1"/>
    <s v="No"/>
    <s v="Married"/>
  </r>
  <r>
    <n v="1314"/>
    <s v="Rohan Pillai"/>
    <s v="Female"/>
    <n v="52"/>
    <s v="Operations"/>
    <s v="Operations Manager"/>
    <s v="Chennai"/>
    <s v="Master's"/>
    <x v="134"/>
    <s v="No"/>
    <m/>
    <n v="76600"/>
    <n v="4"/>
    <n v="1"/>
    <s v="No"/>
    <s v="Single"/>
  </r>
  <r>
    <n v="1315"/>
    <s v="Amit Iyer"/>
    <s v="Male"/>
    <n v="26"/>
    <s v="Operations"/>
    <s v="Operations Manager"/>
    <s v="Hyderabad"/>
    <s v="Master's"/>
    <x v="293"/>
    <s v="No"/>
    <m/>
    <n v="81400"/>
    <n v="5"/>
    <n v="2"/>
    <s v="Yes"/>
    <s v="Married"/>
  </r>
  <r>
    <n v="1316"/>
    <s v="Sneha Desai"/>
    <s v="Female"/>
    <n v="27"/>
    <s v="Sales"/>
    <s v="Sales Executive"/>
    <s v="Mumbai"/>
    <s v="Master's"/>
    <x v="294"/>
    <s v="No"/>
    <m/>
    <n v="38300"/>
    <n v="3"/>
    <n v="2"/>
    <s v="Yes"/>
    <s v="Single"/>
  </r>
  <r>
    <n v="1317"/>
    <s v="Nishant Gupta"/>
    <s v="Male"/>
    <n v="26"/>
    <s v="HR"/>
    <s v="HR Executive"/>
    <s v="Ahmedabad"/>
    <s v="MBA"/>
    <x v="295"/>
    <s v="No"/>
    <m/>
    <n v="39600"/>
    <n v="3"/>
    <n v="3"/>
    <s v="No"/>
    <s v="Single"/>
  </r>
  <r>
    <n v="1318"/>
    <s v="Ritu Gupta"/>
    <s v="Female"/>
    <n v="25"/>
    <s v="Engineering"/>
    <s v="QA Engineer"/>
    <s v="Delhi"/>
    <s v="Bachelor's"/>
    <x v="296"/>
    <s v="No"/>
    <m/>
    <n v="58700"/>
    <n v="5"/>
    <n v="5"/>
    <s v="No"/>
    <s v="Single"/>
  </r>
  <r>
    <n v="1319"/>
    <s v="Aarav Saxena"/>
    <s v="Male"/>
    <n v="23"/>
    <s v="Engineering"/>
    <s v="Engineering Manager"/>
    <s v="Kolkata"/>
    <s v="MBA"/>
    <x v="148"/>
    <s v="No"/>
    <m/>
    <n v="114000"/>
    <n v="2"/>
    <n v="1"/>
    <s v="Yes"/>
    <s v="Single"/>
  </r>
  <r>
    <n v="1320"/>
    <s v="Anjali Bhatia"/>
    <s v="Female"/>
    <n v="58"/>
    <s v="HR"/>
    <s v="Recruiter"/>
    <s v="Delhi"/>
    <s v="Diploma"/>
    <x v="297"/>
    <s v="No"/>
    <m/>
    <n v="36200"/>
    <n v="3"/>
    <n v="1"/>
    <s v="No"/>
    <s v="Single"/>
  </r>
  <r>
    <n v="1321"/>
    <s v="Vikram Chopra"/>
    <s v="Female"/>
    <n v="23"/>
    <s v="Operations"/>
    <s v="Operations Executive"/>
    <s v="Mumbai"/>
    <s v="Master's"/>
    <x v="1"/>
    <s v="No"/>
    <m/>
    <n v="40100"/>
    <n v="3"/>
    <n v="4"/>
    <s v="Yes"/>
    <s v="Single"/>
  </r>
  <r>
    <n v="1322"/>
    <s v="Aarav Malhotra"/>
    <s v="Female"/>
    <n v="51"/>
    <s v="Engineering"/>
    <s v="Senior Engineer"/>
    <s v="Mumbai"/>
    <s v="Master's"/>
    <x v="298"/>
    <s v="No"/>
    <m/>
    <n v="107500"/>
    <n v="4"/>
    <n v="3"/>
    <s v="No"/>
    <s v="Married"/>
  </r>
  <r>
    <n v="1323"/>
    <s v="Rahul Malhotra"/>
    <s v="Male"/>
    <n v="42"/>
    <s v="Operations"/>
    <s v="Operations Executive"/>
    <s v="Hyderabad"/>
    <s v="Bachelor's"/>
    <x v="299"/>
    <s v="No"/>
    <m/>
    <n v="35900"/>
    <n v="3"/>
    <n v="2"/>
    <s v="No"/>
    <s v="Single"/>
  </r>
  <r>
    <n v="1324"/>
    <s v="Aarav Kapoor"/>
    <s v="Male"/>
    <n v="28"/>
    <s v="Operations"/>
    <s v="Operations Manager"/>
    <s v="Hyderabad"/>
    <s v="Bachelor's"/>
    <x v="300"/>
    <s v="Yes"/>
    <s v="16-08-2024"/>
    <n v="75200"/>
    <n v="3"/>
    <n v="2"/>
    <s v="No"/>
    <s v="Married"/>
  </r>
  <r>
    <n v="1325"/>
    <s v="Kavya Kumar"/>
    <s v="Female"/>
    <n v="28"/>
    <s v="Operations"/>
    <s v="Operations Manager"/>
    <s v="Chennai"/>
    <s v="Bachelor's"/>
    <x v="301"/>
    <s v="Yes"/>
    <s v="02-10-2024"/>
    <n v="60500"/>
    <n v="5"/>
    <n v="2"/>
    <s v="Yes"/>
    <s v="Married"/>
  </r>
  <r>
    <n v="1326"/>
    <s v="Pooja Saxena"/>
    <s v="Male"/>
    <n v="49"/>
    <s v="Finance"/>
    <s v="Finance Manager"/>
    <s v="Delhi"/>
    <s v="MBA"/>
    <x v="132"/>
    <s v="Yes"/>
    <s v="21-01-2024"/>
    <n v="79600"/>
    <n v="3"/>
    <n v="1"/>
    <s v="No"/>
    <s v="Single"/>
  </r>
  <r>
    <n v="1327"/>
    <s v="Rahul Singh"/>
    <s v="Male"/>
    <n v="37"/>
    <s v="Operations"/>
    <s v="Operations Executive"/>
    <s v="Kolkata"/>
    <s v="Master's"/>
    <x v="302"/>
    <s v="No"/>
    <m/>
    <n v="38200"/>
    <n v="4"/>
    <n v="3"/>
    <s v="Yes"/>
    <s v="Single"/>
  </r>
  <r>
    <n v="1328"/>
    <s v="Karan Desai"/>
    <s v="Male"/>
    <n v="36"/>
    <s v="Marketing"/>
    <s v="Marketing Manager"/>
    <s v="Kolkata"/>
    <s v="Diploma"/>
    <x v="303"/>
    <s v="No"/>
    <m/>
    <n v="82500"/>
    <n v="3"/>
    <n v="2"/>
    <s v="Yes"/>
    <s v="Single"/>
  </r>
  <r>
    <n v="1329"/>
    <s v="Ritu Kumar"/>
    <s v="Male"/>
    <n v="54"/>
    <s v="Operations"/>
    <s v="Operations Executive"/>
    <s v="Mumbai"/>
    <s v="MBA"/>
    <x v="281"/>
    <s v="No"/>
    <m/>
    <n v="44700"/>
    <n v="4"/>
    <n v="5"/>
    <s v="No"/>
    <s v="Married"/>
  </r>
  <r>
    <n v="1330"/>
    <s v="Ananya Kapoor"/>
    <s v="Male"/>
    <n v="58"/>
    <s v="Customer Support"/>
    <s v="Support Executive"/>
    <s v="Mumbai"/>
    <s v="Master's"/>
    <x v="304"/>
    <s v="No"/>
    <m/>
    <n v="27300"/>
    <n v="4"/>
    <n v="1"/>
    <s v="No"/>
    <s v="Single"/>
  </r>
  <r>
    <n v="1331"/>
    <s v="Kavya Kapoor"/>
    <s v="Female"/>
    <n v="47"/>
    <s v="Operations"/>
    <s v="Operations Manager"/>
    <s v="Chennai"/>
    <s v="MBA"/>
    <x v="305"/>
    <s v="Yes"/>
    <s v="16-08-2024"/>
    <n v="65900"/>
    <n v="5"/>
    <n v="5"/>
    <s v="Yes"/>
    <s v="Single"/>
  </r>
  <r>
    <n v="1332"/>
    <s v="Manish Reddy"/>
    <s v="Male"/>
    <n v="49"/>
    <s v="Finance"/>
    <s v="Accountant"/>
    <s v="Chennai"/>
    <s v="Diploma"/>
    <x v="306"/>
    <s v="No"/>
    <m/>
    <n v="45200"/>
    <n v="4"/>
    <n v="1"/>
    <s v="No"/>
    <s v="Single"/>
  </r>
  <r>
    <n v="1333"/>
    <s v="Kavya Kapoor"/>
    <s v="Male"/>
    <n v="52"/>
    <s v="Sales"/>
    <s v="Account Manager"/>
    <s v="Ahmedabad"/>
    <s v="MBA"/>
    <x v="307"/>
    <s v="No"/>
    <m/>
    <n v="94200"/>
    <n v="5"/>
    <n v="3"/>
    <s v="No"/>
    <s v="Single"/>
  </r>
  <r>
    <n v="1334"/>
    <s v="Meera Singh"/>
    <s v="Male"/>
    <n v="45"/>
    <s v="Operations"/>
    <s v="Operations Executive"/>
    <s v="Mumbai"/>
    <s v="Master's"/>
    <x v="27"/>
    <s v="Yes"/>
    <s v="21-01-2024"/>
    <n v="41600"/>
    <n v="3"/>
    <n v="4"/>
    <s v="No"/>
    <s v="Married"/>
  </r>
  <r>
    <n v="1335"/>
    <s v="Arjun Malhotra"/>
    <s v="Female"/>
    <n v="58"/>
    <s v="Operations"/>
    <s v="Operations Manager"/>
    <s v="Hyderabad"/>
    <s v="MBA"/>
    <x v="308"/>
    <s v="No"/>
    <m/>
    <n v="74600"/>
    <n v="5"/>
    <n v="1"/>
    <s v="No"/>
    <s v="Married"/>
  </r>
  <r>
    <n v="1336"/>
    <s v="Priya Sharma"/>
    <s v="Male"/>
    <n v="29"/>
    <s v="HR"/>
    <s v="HR Executive"/>
    <s v="Chennai"/>
    <s v="MBA"/>
    <x v="309"/>
    <s v="No"/>
    <m/>
    <n v="34600"/>
    <n v="4"/>
    <n v="2"/>
    <s v="No"/>
    <s v="Single"/>
  </r>
  <r>
    <n v="1337"/>
    <s v="Ananya Agarwal"/>
    <s v="Female"/>
    <n v="36"/>
    <s v="Operations"/>
    <s v="Operations Executive"/>
    <s v="Pune"/>
    <s v="Bachelor's"/>
    <x v="310"/>
    <s v="No"/>
    <m/>
    <n v="45700"/>
    <n v="5"/>
    <n v="4"/>
    <s v="Yes"/>
    <s v="Married"/>
  </r>
  <r>
    <n v="1338"/>
    <s v="Aarav Kapoor"/>
    <s v="Female"/>
    <n v="31"/>
    <s v="Operations"/>
    <s v="Operations Executive"/>
    <s v="Ahmedabad"/>
    <s v="Bachelor's"/>
    <x v="311"/>
    <s v="No"/>
    <m/>
    <n v="47500"/>
    <n v="4"/>
    <n v="2"/>
    <s v="Yes"/>
    <s v="Single"/>
  </r>
  <r>
    <n v="1339"/>
    <s v="Kavya Pillai"/>
    <s v="Female"/>
    <n v="54"/>
    <s v="Sales"/>
    <s v="Sales Executive"/>
    <s v="Pune"/>
    <s v="Bachelor's"/>
    <x v="312"/>
    <s v="No"/>
    <m/>
    <n v="47400"/>
    <n v="5"/>
    <n v="2"/>
    <s v="Yes"/>
    <s v="Married"/>
  </r>
  <r>
    <n v="1340"/>
    <s v="Anjali Sharma"/>
    <s v="Female"/>
    <n v="48"/>
    <s v="Engineering"/>
    <s v="QA Engineer"/>
    <s v="Hyderabad"/>
    <s v="Master's"/>
    <x v="313"/>
    <s v="Yes"/>
    <s v="16-07-2020"/>
    <n v="68600"/>
    <n v="3"/>
    <n v="3"/>
    <s v="Yes"/>
    <s v="Single"/>
  </r>
  <r>
    <n v="1341"/>
    <s v="Simran Chopra"/>
    <s v="Male"/>
    <n v="29"/>
    <s v="Engineering"/>
    <s v="Senior Engineer"/>
    <s v="Bengaluru"/>
    <s v="Master's"/>
    <x v="314"/>
    <s v="No"/>
    <m/>
    <n v="103300"/>
    <n v="4"/>
    <n v="4"/>
    <s v="Yes"/>
    <s v="Married"/>
  </r>
  <r>
    <n v="1342"/>
    <s v="Ishita Bhatia"/>
    <s v="Male"/>
    <n v="42"/>
    <s v="Marketing"/>
    <s v="Content Specialist"/>
    <s v="Kolkata"/>
    <s v="Master's"/>
    <x v="315"/>
    <s v="No"/>
    <m/>
    <n v="38600"/>
    <n v="3"/>
    <n v="4"/>
    <s v="Yes"/>
    <s v="Single"/>
  </r>
  <r>
    <n v="1343"/>
    <s v="Riya Reddy"/>
    <s v="Female"/>
    <n v="32"/>
    <s v="Operations"/>
    <s v="Operations Manager"/>
    <s v="Hyderabad"/>
    <s v="MBA"/>
    <x v="316"/>
    <s v="No"/>
    <m/>
    <n v="70300"/>
    <n v="2"/>
    <n v="1"/>
    <s v="No"/>
    <s v="Single"/>
  </r>
  <r>
    <n v="1344"/>
    <s v="Priya Kumar"/>
    <s v="Female"/>
    <n v="55"/>
    <s v="IT"/>
    <s v="System Admin"/>
    <s v="Hyderabad"/>
    <s v="Diploma"/>
    <x v="317"/>
    <s v="No"/>
    <m/>
    <n v="49900"/>
    <n v="4"/>
    <n v="2"/>
    <s v="Yes"/>
    <s v="Married"/>
  </r>
  <r>
    <n v="1345"/>
    <s v="Rakesh Mehta"/>
    <s v="Male"/>
    <n v="43"/>
    <s v="Customer Support"/>
    <s v="Support Executive"/>
    <s v="Chennai"/>
    <s v="Diploma"/>
    <x v="318"/>
    <s v="No"/>
    <m/>
    <n v="36200"/>
    <n v="4"/>
    <n v="4"/>
    <s v="Yes"/>
    <s v="Single"/>
  </r>
  <r>
    <n v="1346"/>
    <s v="Kavya Kumar"/>
    <s v="Female"/>
    <n v="57"/>
    <s v="Customer Support"/>
    <s v="Support Team Lead"/>
    <s v="Hyderabad"/>
    <s v="Master's"/>
    <x v="319"/>
    <s v="No"/>
    <m/>
    <n v="70800"/>
    <n v="2"/>
    <n v="4"/>
    <s v="No"/>
    <s v="Single"/>
  </r>
  <r>
    <n v="1347"/>
    <s v="Rohan Reddy"/>
    <s v="Female"/>
    <n v="23"/>
    <s v="Engineering"/>
    <s v="QA Engineer"/>
    <s v="Delhi"/>
    <s v="Master's"/>
    <x v="320"/>
    <s v="No"/>
    <m/>
    <n v="76200"/>
    <n v="3"/>
    <n v="5"/>
    <s v="Yes"/>
    <s v="Married"/>
  </r>
  <r>
    <n v="1348"/>
    <s v="Simran Desai"/>
    <s v="Female"/>
    <n v="46"/>
    <s v="IT"/>
    <s v="IT Support"/>
    <s v="Chennai"/>
    <s v="MBA"/>
    <x v="321"/>
    <s v="No"/>
    <m/>
    <n v="55900"/>
    <n v="3"/>
    <n v="4"/>
    <s v="Yes"/>
    <s v="Married"/>
  </r>
  <r>
    <n v="1349"/>
    <s v="Anjali Desai"/>
    <s v="Male"/>
    <n v="32"/>
    <s v="Finance"/>
    <s v="Accountant"/>
    <s v="Hyderabad"/>
    <s v="Diploma"/>
    <x v="322"/>
    <s v="Yes"/>
    <s v="06-02-2023"/>
    <n v="42900"/>
    <n v="3"/>
    <n v="2"/>
    <s v="No"/>
    <s v="Single"/>
  </r>
  <r>
    <n v="1350"/>
    <s v="Riya Verma"/>
    <s v="Female"/>
    <n v="57"/>
    <s v="Finance"/>
    <s v="Financial Analyst"/>
    <s v="Delhi"/>
    <s v="Master's"/>
    <x v="323"/>
    <s v="No"/>
    <m/>
    <n v="60900"/>
    <n v="2"/>
    <n v="4"/>
    <s v="Yes"/>
    <s v="Single"/>
  </r>
  <r>
    <n v="1351"/>
    <s v="Sneha Kumar"/>
    <s v="Female"/>
    <n v="41"/>
    <s v="Customer Support"/>
    <s v="Support Executive"/>
    <s v="Bengaluru"/>
    <s v="Master's"/>
    <x v="324"/>
    <s v="Yes"/>
    <s v="09-03-2022"/>
    <n v="28300"/>
    <n v="3"/>
    <n v="2"/>
    <s v="Yes"/>
    <s v="Married"/>
  </r>
  <r>
    <n v="1352"/>
    <s v="Ananya Singh"/>
    <s v="Male"/>
    <n v="45"/>
    <s v="HR"/>
    <s v="Recruiter"/>
    <s v="Chennai"/>
    <s v="Master's"/>
    <x v="325"/>
    <s v="No"/>
    <m/>
    <n v="49700"/>
    <n v="3"/>
    <n v="3"/>
    <s v="No"/>
    <s v="Single"/>
  </r>
  <r>
    <n v="1353"/>
    <s v="Neha Sharma"/>
    <s v="Male"/>
    <n v="25"/>
    <s v="Engineering"/>
    <s v="Senior Engineer"/>
    <s v="Bengaluru"/>
    <s v="MBA"/>
    <x v="326"/>
    <s v="Yes"/>
    <s v="23-04-2024"/>
    <n v="96600"/>
    <n v="4"/>
    <n v="5"/>
    <s v="Yes"/>
    <s v="Married"/>
  </r>
  <r>
    <n v="1354"/>
    <s v="Karan Sharma"/>
    <s v="Female"/>
    <n v="53"/>
    <s v="Customer Support"/>
    <s v="Support Executive"/>
    <s v="Mumbai"/>
    <s v="Master's"/>
    <x v="327"/>
    <s v="No"/>
    <m/>
    <n v="36000"/>
    <n v="3"/>
    <n v="5"/>
    <s v="Yes"/>
    <s v="Married"/>
  </r>
  <r>
    <n v="1355"/>
    <s v="Priya Nair"/>
    <s v="Female"/>
    <n v="42"/>
    <s v="Customer Support"/>
    <s v="Support Team Lead"/>
    <s v="Ahmedabad"/>
    <s v="Master's"/>
    <x v="328"/>
    <s v="No"/>
    <m/>
    <n v="53400"/>
    <n v="5"/>
    <n v="5"/>
    <s v="Yes"/>
    <s v="Married"/>
  </r>
  <r>
    <n v="1356"/>
    <s v="Rohan Desai"/>
    <s v="Female"/>
    <n v="27"/>
    <s v="Operations"/>
    <s v="Operations Executive"/>
    <s v="Ahmedabad"/>
    <s v="MBA"/>
    <x v="280"/>
    <s v="Yes"/>
    <s v="31-10-2023"/>
    <n v="46400"/>
    <n v="4"/>
    <n v="5"/>
    <s v="No"/>
    <s v="Married"/>
  </r>
  <r>
    <n v="1357"/>
    <s v="Yash Agarwal"/>
    <s v="Female"/>
    <n v="46"/>
    <s v="Sales"/>
    <s v="Sales Executive"/>
    <s v="Bengaluru"/>
    <s v="Bachelor's"/>
    <x v="329"/>
    <s v="No"/>
    <m/>
    <n v="54000"/>
    <n v="4"/>
    <n v="3"/>
    <s v="Yes"/>
    <s v="Married"/>
  </r>
  <r>
    <n v="1358"/>
    <s v="Amit Joshi"/>
    <s v="Male"/>
    <n v="26"/>
    <s v="Sales"/>
    <s v="Sales Manager"/>
    <s v="Hyderabad"/>
    <s v="Master's"/>
    <x v="330"/>
    <s v="No"/>
    <m/>
    <n v="77900"/>
    <n v="3"/>
    <n v="5"/>
    <s v="No"/>
    <s v="Married"/>
  </r>
  <r>
    <n v="1359"/>
    <s v="Karan Kapoor"/>
    <s v="Female"/>
    <n v="40"/>
    <s v="IT"/>
    <s v="IT Support"/>
    <s v="Mumbai"/>
    <s v="Master's"/>
    <x v="331"/>
    <s v="No"/>
    <m/>
    <n v="52400"/>
    <n v="5"/>
    <n v="2"/>
    <s v="No"/>
    <s v="Married"/>
  </r>
  <r>
    <n v="1360"/>
    <s v="Kavya Iyer"/>
    <s v="Female"/>
    <n v="27"/>
    <s v="Sales"/>
    <s v="Sales Manager"/>
    <s v="Ahmedabad"/>
    <s v="Bachelor's"/>
    <x v="332"/>
    <s v="Yes"/>
    <s v="17-03-2024"/>
    <n v="96400"/>
    <n v="5"/>
    <n v="5"/>
    <s v="No"/>
    <s v="Single"/>
  </r>
  <r>
    <n v="1361"/>
    <s v="Sneha Malhotra"/>
    <s v="Female"/>
    <n v="54"/>
    <s v="Engineering"/>
    <s v="Senior Engineer"/>
    <s v="Delhi"/>
    <s v="Master's"/>
    <x v="333"/>
    <s v="No"/>
    <m/>
    <n v="89600"/>
    <n v="3"/>
    <n v="4"/>
    <s v="Yes"/>
    <s v="Married"/>
  </r>
  <r>
    <n v="1362"/>
    <s v="Aditi Verma"/>
    <s v="Male"/>
    <n v="56"/>
    <s v="Engineering"/>
    <s v="QA Engineer"/>
    <s v="Delhi"/>
    <s v="Diploma"/>
    <x v="334"/>
    <s v="No"/>
    <m/>
    <n v="60800"/>
    <n v="3"/>
    <n v="3"/>
    <s v="Yes"/>
    <s v="Married"/>
  </r>
  <r>
    <n v="1363"/>
    <s v="Riya Bhatia"/>
    <s v="Female"/>
    <n v="57"/>
    <s v="HR"/>
    <s v="HR Manager"/>
    <s v="Bengaluru"/>
    <s v="Bachelor's"/>
    <x v="335"/>
    <s v="Yes"/>
    <s v="15-04-2024"/>
    <n v="72900"/>
    <n v="3"/>
    <n v="4"/>
    <s v="No"/>
    <s v="Married"/>
  </r>
  <r>
    <n v="1364"/>
    <s v="Yash Joshi"/>
    <s v="Male"/>
    <n v="43"/>
    <s v="IT"/>
    <s v="IT Manager"/>
    <s v="Chennai"/>
    <s v="Master's"/>
    <x v="336"/>
    <s v="No"/>
    <m/>
    <n v="86100"/>
    <n v="5"/>
    <n v="2"/>
    <s v="No"/>
    <s v="Married"/>
  </r>
  <r>
    <n v="1365"/>
    <s v="Rohan Mehta"/>
    <s v="Male"/>
    <n v="51"/>
    <s v="Operations"/>
    <s v="Operations Executive"/>
    <s v="Chennai"/>
    <s v="Master's"/>
    <x v="337"/>
    <s v="No"/>
    <m/>
    <n v="46800"/>
    <n v="3"/>
    <n v="3"/>
    <s v="No"/>
    <s v="Single"/>
  </r>
  <r>
    <n v="1366"/>
    <s v="Simran Reddy"/>
    <s v="Female"/>
    <n v="40"/>
    <s v="HR"/>
    <s v="Recruiter"/>
    <s v="Pune"/>
    <s v="MBA"/>
    <x v="338"/>
    <s v="No"/>
    <m/>
    <n v="45300"/>
    <n v="4"/>
    <n v="2"/>
    <s v="Yes"/>
    <s v="Single"/>
  </r>
  <r>
    <n v="1367"/>
    <s v="Rahul Agarwal"/>
    <s v="Male"/>
    <n v="28"/>
    <s v="HR"/>
    <s v="Recruiter"/>
    <s v="Delhi"/>
    <s v="MBA"/>
    <x v="183"/>
    <s v="Yes"/>
    <s v="10-07-2020"/>
    <n v="44900"/>
    <n v="4"/>
    <n v="4"/>
    <s v="Yes"/>
    <s v="Married"/>
  </r>
  <r>
    <n v="1368"/>
    <s v="Rohan Pillai"/>
    <s v="Male"/>
    <n v="58"/>
    <s v="Customer Support"/>
    <s v="Support Team Lead"/>
    <s v="Bengaluru"/>
    <s v="Bachelor's"/>
    <x v="339"/>
    <s v="No"/>
    <m/>
    <n v="71700"/>
    <n v="5"/>
    <n v="2"/>
    <s v="Yes"/>
    <s v="Married"/>
  </r>
  <r>
    <n v="1369"/>
    <s v="Yash Agarwal"/>
    <s v="Female"/>
    <n v="49"/>
    <s v="Customer Support"/>
    <s v="Support Team Lead"/>
    <s v="Mumbai"/>
    <s v="Bachelor's"/>
    <x v="340"/>
    <s v="No"/>
    <m/>
    <n v="68100"/>
    <n v="5"/>
    <n v="4"/>
    <s v="No"/>
    <s v="Single"/>
  </r>
  <r>
    <n v="1370"/>
    <s v="Ishita Verma"/>
    <s v="Female"/>
    <n v="57"/>
    <s v="Customer Support"/>
    <s v="Support Executive"/>
    <s v="Chennai"/>
    <s v="MBA"/>
    <x v="341"/>
    <s v="No"/>
    <m/>
    <n v="31800"/>
    <n v="5"/>
    <n v="2"/>
    <s v="Yes"/>
    <s v="Single"/>
  </r>
  <r>
    <n v="1371"/>
    <s v="Kabir Patel"/>
    <s v="Male"/>
    <n v="57"/>
    <s v="Marketing"/>
    <s v="Marketing Associate"/>
    <s v="Hyderabad"/>
    <s v="Bachelor's"/>
    <x v="56"/>
    <s v="Yes"/>
    <s v="24-10-2023"/>
    <n v="42600"/>
    <n v="4"/>
    <n v="2"/>
    <s v="No"/>
    <s v="Single"/>
  </r>
  <r>
    <n v="1372"/>
    <s v="Riya Sharma"/>
    <s v="Male"/>
    <n v="46"/>
    <s v="Operations"/>
    <s v="Operations Executive"/>
    <s v="Delhi"/>
    <s v="Diploma"/>
    <x v="31"/>
    <s v="No"/>
    <m/>
    <n v="37400"/>
    <n v="4"/>
    <n v="1"/>
    <s v="No"/>
    <s v="Single"/>
  </r>
  <r>
    <n v="1373"/>
    <s v="Ritu Verma"/>
    <s v="Male"/>
    <n v="43"/>
    <s v="HR"/>
    <s v="HR Executive"/>
    <s v="Hyderabad"/>
    <s v="Bachelor's"/>
    <x v="342"/>
    <s v="No"/>
    <m/>
    <n v="39400"/>
    <n v="2"/>
    <n v="1"/>
    <s v="No"/>
    <s v="Single"/>
  </r>
  <r>
    <n v="1374"/>
    <s v="Pooja Patel"/>
    <s v="Male"/>
    <n v="54"/>
    <s v="Finance"/>
    <s v="Accountant"/>
    <s v="Chennai"/>
    <s v="Bachelor's"/>
    <x v="343"/>
    <s v="No"/>
    <m/>
    <n v="61100"/>
    <n v="4"/>
    <n v="2"/>
    <s v="Yes"/>
    <s v="Married"/>
  </r>
  <r>
    <n v="1375"/>
    <s v="Rahul Verma"/>
    <s v="Female"/>
    <n v="32"/>
    <s v="Sales"/>
    <s v="Sales Executive"/>
    <s v="Pune"/>
    <s v="Diploma"/>
    <x v="344"/>
    <s v="No"/>
    <m/>
    <n v="50300"/>
    <n v="3"/>
    <n v="1"/>
    <s v="Yes"/>
    <s v="Married"/>
  </r>
  <r>
    <n v="1376"/>
    <s v="Ishita Iyer"/>
    <s v="Female"/>
    <n v="56"/>
    <s v="Marketing"/>
    <s v="Marketing Associate"/>
    <s v="Kolkata"/>
    <s v="Bachelor's"/>
    <x v="345"/>
    <s v="No"/>
    <m/>
    <n v="52400"/>
    <n v="3"/>
    <n v="3"/>
    <s v="Yes"/>
    <s v="Single"/>
  </r>
  <r>
    <n v="1377"/>
    <s v="Arjun Rao"/>
    <s v="Female"/>
    <n v="25"/>
    <s v="Marketing"/>
    <s v="Marketing Associate"/>
    <s v="Delhi"/>
    <s v="Bachelor's"/>
    <x v="346"/>
    <s v="No"/>
    <m/>
    <n v="38900"/>
    <n v="3"/>
    <n v="4"/>
    <s v="No"/>
    <s v="Married"/>
  </r>
  <r>
    <n v="1378"/>
    <s v="Aarav Singh"/>
    <s v="Female"/>
    <n v="30"/>
    <s v="IT"/>
    <s v="System Admin"/>
    <s v="Delhi"/>
    <s v="Diploma"/>
    <x v="347"/>
    <s v="No"/>
    <m/>
    <n v="42100"/>
    <n v="3"/>
    <n v="1"/>
    <s v="Yes"/>
    <s v="Single"/>
  </r>
  <r>
    <n v="1379"/>
    <s v="Anjali Gupta"/>
    <s v="Male"/>
    <n v="39"/>
    <s v="Operations"/>
    <s v="Operations Executive"/>
    <s v="Mumbai"/>
    <s v="Master's"/>
    <x v="348"/>
    <s v="No"/>
    <m/>
    <n v="34900"/>
    <n v="4"/>
    <n v="3"/>
    <s v="Yes"/>
    <s v="Married"/>
  </r>
  <r>
    <n v="1380"/>
    <s v="Karan Reddy"/>
    <s v="Male"/>
    <n v="31"/>
    <s v="Engineering"/>
    <s v="Software Engineer"/>
    <s v="Kolkata"/>
    <s v="Master's"/>
    <x v="349"/>
    <s v="No"/>
    <m/>
    <n v="73900"/>
    <n v="2"/>
    <n v="2"/>
    <s v="Yes"/>
    <s v="Single"/>
  </r>
  <r>
    <n v="1381"/>
    <s v="Vihaan Joshi"/>
    <s v="Male"/>
    <n v="58"/>
    <s v="Finance"/>
    <s v="Finance Manager"/>
    <s v="Chennai"/>
    <s v="Diploma"/>
    <x v="350"/>
    <s v="No"/>
    <m/>
    <n v="83600"/>
    <n v="4"/>
    <n v="3"/>
    <s v="Yes"/>
    <s v="Married"/>
  </r>
  <r>
    <n v="1382"/>
    <s v="Sanya Agarwal"/>
    <s v="Male"/>
    <n v="48"/>
    <s v="Finance"/>
    <s v="Finance Manager"/>
    <s v="Bengaluru"/>
    <s v="Bachelor's"/>
    <x v="351"/>
    <s v="No"/>
    <m/>
    <n v="100400"/>
    <n v="3"/>
    <n v="3"/>
    <s v="Yes"/>
    <s v="Married"/>
  </r>
  <r>
    <n v="1383"/>
    <s v="Vikram Joshi"/>
    <s v="Female"/>
    <n v="40"/>
    <s v="HR"/>
    <s v="Recruiter"/>
    <s v="Kolkata"/>
    <s v="MBA"/>
    <x v="352"/>
    <s v="No"/>
    <m/>
    <n v="47300"/>
    <n v="1"/>
    <n v="3"/>
    <s v="Yes"/>
    <s v="Married"/>
  </r>
  <r>
    <n v="1384"/>
    <s v="Kavya Joshi"/>
    <s v="Female"/>
    <n v="35"/>
    <s v="IT"/>
    <s v="System Admin"/>
    <s v="Delhi"/>
    <s v="MBA"/>
    <x v="353"/>
    <s v="No"/>
    <m/>
    <n v="59700"/>
    <n v="3"/>
    <n v="3"/>
    <s v="No"/>
    <s v="Single"/>
  </r>
  <r>
    <n v="1385"/>
    <s v="Aditi Desai"/>
    <s v="Male"/>
    <n v="49"/>
    <s v="Operations"/>
    <s v="Operations Manager"/>
    <s v="Kolkata"/>
    <s v="Bachelor's"/>
    <x v="182"/>
    <s v="No"/>
    <m/>
    <n v="82500"/>
    <n v="5"/>
    <n v="2"/>
    <s v="No"/>
    <s v="Married"/>
  </r>
  <r>
    <n v="1386"/>
    <s v="Neha Singh"/>
    <s v="Male"/>
    <n v="39"/>
    <s v="IT"/>
    <s v="IT Support"/>
    <s v="Chennai"/>
    <s v="Master's"/>
    <x v="354"/>
    <s v="No"/>
    <m/>
    <n v="41600"/>
    <n v="2"/>
    <n v="4"/>
    <s v="No"/>
    <s v="Married"/>
  </r>
  <r>
    <n v="1387"/>
    <s v="Priya Patel"/>
    <s v="Female"/>
    <n v="39"/>
    <s v="Engineering"/>
    <s v="Senior Engineer"/>
    <s v="Bengaluru"/>
    <s v="MBA"/>
    <x v="114"/>
    <s v="No"/>
    <m/>
    <n v="110900"/>
    <n v="5"/>
    <n v="2"/>
    <s v="Yes"/>
    <s v="Married"/>
  </r>
  <r>
    <n v="1388"/>
    <s v="Priya Nair"/>
    <s v="Male"/>
    <n v="50"/>
    <s v="Operations"/>
    <s v="Operations Executive"/>
    <s v="Delhi"/>
    <s v="MBA"/>
    <x v="355"/>
    <s v="No"/>
    <m/>
    <n v="38300"/>
    <n v="4"/>
    <n v="1"/>
    <s v="No"/>
    <s v="Married"/>
  </r>
  <r>
    <n v="1389"/>
    <s v="Ananya Mehta"/>
    <s v="Male"/>
    <n v="30"/>
    <s v="Operations"/>
    <s v="Operations Executive"/>
    <s v="Chennai"/>
    <s v="MBA"/>
    <x v="356"/>
    <s v="Yes"/>
    <s v="23-11-2024"/>
    <n v="41800"/>
    <n v="3"/>
    <n v="5"/>
    <s v="Yes"/>
    <s v="Married"/>
  </r>
  <r>
    <n v="1390"/>
    <s v="Nishant Nair"/>
    <s v="Male"/>
    <n v="24"/>
    <s v="HR"/>
    <s v="HR Manager"/>
    <s v="Chennai"/>
    <s v="Bachelor's"/>
    <x v="357"/>
    <s v="No"/>
    <m/>
    <n v="70600"/>
    <n v="4"/>
    <n v="5"/>
    <s v="No"/>
    <s v="Single"/>
  </r>
  <r>
    <n v="1391"/>
    <s v="Riya Nair"/>
    <s v="Female"/>
    <n v="36"/>
    <s v="Finance"/>
    <s v="Accountant"/>
    <s v="Chennai"/>
    <s v="Bachelor's"/>
    <x v="358"/>
    <s v="No"/>
    <m/>
    <n v="49100"/>
    <n v="3"/>
    <n v="4"/>
    <s v="Yes"/>
    <s v="Married"/>
  </r>
  <r>
    <n v="1392"/>
    <s v="Yash Iyer"/>
    <s v="Female"/>
    <n v="52"/>
    <s v="Sales"/>
    <s v="Account Manager"/>
    <s v="Hyderabad"/>
    <s v="MBA"/>
    <x v="359"/>
    <s v="No"/>
    <m/>
    <n v="84000"/>
    <n v="1"/>
    <n v="4"/>
    <s v="Yes"/>
    <s v="Single"/>
  </r>
  <r>
    <n v="1393"/>
    <s v="Vikram Saxena"/>
    <s v="Female"/>
    <n v="50"/>
    <s v="Customer Support"/>
    <s v="Support Executive"/>
    <s v="Delhi"/>
    <s v="MBA"/>
    <x v="360"/>
    <s v="No"/>
    <m/>
    <n v="31200"/>
    <n v="5"/>
    <n v="1"/>
    <s v="Yes"/>
    <s v="Single"/>
  </r>
  <r>
    <n v="1394"/>
    <s v="Ananya Joshi"/>
    <s v="Male"/>
    <n v="44"/>
    <s v="Customer Support"/>
    <s v="Support Team Lead"/>
    <s v="Ahmedabad"/>
    <s v="MBA"/>
    <x v="361"/>
    <s v="Yes"/>
    <s v="07-05-2025"/>
    <n v="57400"/>
    <n v="4"/>
    <n v="4"/>
    <s v="Yes"/>
    <s v="Married"/>
  </r>
  <r>
    <n v="1395"/>
    <s v="Aarohi Desai"/>
    <s v="Male"/>
    <n v="57"/>
    <s v="HR"/>
    <s v="HR Manager"/>
    <s v="Chennai"/>
    <s v="MBA"/>
    <x v="362"/>
    <s v="No"/>
    <m/>
    <n v="69100"/>
    <n v="4"/>
    <n v="3"/>
    <s v="Yes"/>
    <s v="Married"/>
  </r>
  <r>
    <n v="1396"/>
    <s v="Pooja Desai"/>
    <s v="Female"/>
    <n v="32"/>
    <s v="Engineering"/>
    <s v="QA Engineer"/>
    <s v="Delhi"/>
    <s v="MBA"/>
    <x v="363"/>
    <s v="No"/>
    <m/>
    <n v="55800"/>
    <n v="5"/>
    <n v="1"/>
    <s v="Yes"/>
    <s v="Single"/>
  </r>
  <r>
    <n v="1397"/>
    <s v="Pooja Desai"/>
    <s v="Female"/>
    <n v="33"/>
    <s v="Operations"/>
    <s v="Operations Manager"/>
    <s v="Hyderabad"/>
    <s v="Master's"/>
    <x v="364"/>
    <s v="No"/>
    <m/>
    <n v="62600"/>
    <n v="5"/>
    <n v="1"/>
    <s v="Yes"/>
    <s v="Married"/>
  </r>
  <r>
    <n v="1398"/>
    <s v="Riya Kapoor"/>
    <s v="Female"/>
    <n v="56"/>
    <s v="Sales"/>
    <s v="Sales Manager"/>
    <s v="Ahmedabad"/>
    <s v="Master's"/>
    <x v="365"/>
    <s v="No"/>
    <m/>
    <n v="71000"/>
    <n v="3"/>
    <n v="5"/>
    <s v="Yes"/>
    <s v="Single"/>
  </r>
  <r>
    <n v="1399"/>
    <s v="Pooja Agarwal"/>
    <s v="Female"/>
    <n v="29"/>
    <s v="Finance"/>
    <s v="Finance Manager"/>
    <s v="Bengaluru"/>
    <s v="Diploma"/>
    <x v="366"/>
    <s v="No"/>
    <m/>
    <n v="86400"/>
    <n v="3"/>
    <n v="5"/>
    <s v="Yes"/>
    <s v="Married"/>
  </r>
  <r>
    <n v="1400"/>
    <s v="Sneha Kapoor"/>
    <s v="Male"/>
    <n v="25"/>
    <s v="Operations"/>
    <s v="Operations Manager"/>
    <s v="Ahmedabad"/>
    <s v="Master's"/>
    <x v="83"/>
    <s v="No"/>
    <m/>
    <n v="60400"/>
    <n v="4"/>
    <n v="5"/>
    <s v="Yes"/>
    <s v="Married"/>
  </r>
  <r>
    <m/>
    <m/>
    <m/>
    <m/>
    <m/>
    <m/>
    <m/>
    <m/>
    <x v="367"/>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E9F92-E8C7-42CE-AD71-F3CB518FB39F}" name="PivotTable6" cacheId="5"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erformance Rating">
  <location ref="E14:F20" firstHeaderRow="1" firstDataRow="1" firstDataCol="1"/>
  <pivotFields count="17">
    <pivotField showAll="0"/>
    <pivotField showAll="0"/>
    <pivotField showAll="0">
      <items count="3">
        <item x="0"/>
        <item x="1"/>
        <item t="default"/>
      </items>
    </pivotField>
    <pivotField showAll="0"/>
    <pivotField showAll="0">
      <items count="9">
        <item x="6"/>
        <item x="2"/>
        <item x="5"/>
        <item x="1"/>
        <item x="3"/>
        <item x="4"/>
        <item x="7"/>
        <item x="0"/>
        <item t="default"/>
      </items>
    </pivotField>
    <pivotField showAll="0"/>
    <pivotField showAll="0"/>
    <pivotField showAll="0"/>
    <pivotField showAll="0">
      <items count="735">
        <item m="1" x="426"/>
        <item m="1" x="637"/>
        <item m="1" x="523"/>
        <item m="1" x="658"/>
        <item m="1" x="461"/>
        <item m="1" x="656"/>
        <item m="1" x="468"/>
        <item m="1" x="708"/>
        <item m="1" x="400"/>
        <item m="1" x="445"/>
        <item m="1" x="620"/>
        <item m="1" x="550"/>
        <item m="1" x="511"/>
        <item m="1" x="621"/>
        <item m="1" x="714"/>
        <item m="1" x="369"/>
        <item m="1" x="591"/>
        <item m="1" x="432"/>
        <item m="1" x="552"/>
        <item m="1" x="639"/>
        <item m="1" x="699"/>
        <item m="1" x="700"/>
        <item m="1" x="713"/>
        <item m="1" x="567"/>
        <item m="1" x="485"/>
        <item m="1" x="457"/>
        <item m="1" x="544"/>
        <item m="1" x="435"/>
        <item m="1" x="579"/>
        <item m="1" x="598"/>
        <item m="1" x="716"/>
        <item m="1" x="458"/>
        <item m="1" x="428"/>
        <item m="1" x="611"/>
        <item m="1" x="403"/>
        <item m="1" x="688"/>
        <item m="1" x="596"/>
        <item m="1" x="416"/>
        <item m="1" x="561"/>
        <item m="1" x="427"/>
        <item m="1" x="489"/>
        <item m="1" x="413"/>
        <item m="1" x="631"/>
        <item m="1" x="565"/>
        <item m="1" x="440"/>
        <item m="1" x="657"/>
        <item m="1" x="625"/>
        <item m="1" x="570"/>
        <item m="1" x="680"/>
        <item m="1" x="371"/>
        <item m="1" x="618"/>
        <item m="1" x="719"/>
        <item m="1" x="404"/>
        <item m="1" x="433"/>
        <item m="1" x="593"/>
        <item m="1" x="690"/>
        <item m="1" x="402"/>
        <item m="1" x="648"/>
        <item m="1" x="399"/>
        <item m="1" x="594"/>
        <item m="1" x="691"/>
        <item m="1" x="408"/>
        <item m="1" x="733"/>
        <item m="1" x="469"/>
        <item m="1" x="481"/>
        <item m="1" x="730"/>
        <item m="1" x="528"/>
        <item m="1" x="589"/>
        <item m="1" x="666"/>
        <item m="1" x="441"/>
        <item m="1" x="521"/>
        <item m="1" x="514"/>
        <item m="1" x="696"/>
        <item m="1" x="390"/>
        <item m="1" x="660"/>
        <item m="1" x="573"/>
        <item m="1" x="674"/>
        <item m="1" x="448"/>
        <item m="1" x="652"/>
        <item m="1" x="467"/>
        <item m="1" x="453"/>
        <item m="1" x="649"/>
        <item m="1" x="727"/>
        <item m="1" x="518"/>
        <item m="1" x="374"/>
        <item m="1" x="434"/>
        <item m="1" x="525"/>
        <item m="1" x="698"/>
        <item m="1" x="446"/>
        <item m="1" x="542"/>
        <item m="1" x="681"/>
        <item m="1" x="534"/>
        <item m="1" x="430"/>
        <item m="1" x="568"/>
        <item m="1" x="647"/>
        <item m="1" x="574"/>
        <item m="1" x="424"/>
        <item m="1" x="392"/>
        <item m="1" x="406"/>
        <item m="1" x="671"/>
        <item m="1" x="554"/>
        <item m="1" x="517"/>
        <item m="1" x="610"/>
        <item m="1" x="668"/>
        <item m="1" x="675"/>
        <item m="1" x="407"/>
        <item m="1" x="706"/>
        <item m="1" x="492"/>
        <item m="1" x="531"/>
        <item m="1" x="429"/>
        <item m="1" x="417"/>
        <item m="1" x="367"/>
        <item m="1" x="622"/>
        <item m="1" x="662"/>
        <item m="1" x="396"/>
        <item m="1" x="732"/>
        <item m="1" x="566"/>
        <item m="1" x="677"/>
        <item m="1" x="653"/>
        <item m="1" x="692"/>
        <item m="1" x="673"/>
        <item m="1" x="454"/>
        <item m="1" x="577"/>
        <item m="1" x="393"/>
        <item m="1" x="581"/>
        <item m="1" x="486"/>
        <item m="1" x="569"/>
        <item m="1" x="527"/>
        <item m="1" x="443"/>
        <item m="1" x="494"/>
        <item m="1" x="411"/>
        <item m="1" x="510"/>
        <item m="1" x="455"/>
        <item m="1" x="645"/>
        <item m="1" x="609"/>
        <item m="1" x="685"/>
        <item m="1" x="463"/>
        <item m="1" x="628"/>
        <item m="1" x="632"/>
        <item m="1" x="450"/>
        <item m="1" x="496"/>
        <item m="1" x="480"/>
        <item m="1" x="498"/>
        <item m="1" x="584"/>
        <item m="1" x="536"/>
        <item m="1" x="382"/>
        <item m="1" x="669"/>
        <item m="1" x="663"/>
        <item m="1" x="530"/>
        <item m="1" x="452"/>
        <item m="1" x="501"/>
        <item m="1" x="512"/>
        <item m="1" x="505"/>
        <item m="1" x="373"/>
        <item m="1" x="683"/>
        <item m="1" x="551"/>
        <item m="1" x="502"/>
        <item m="1" x="421"/>
        <item m="1" x="385"/>
        <item m="1" x="667"/>
        <item m="1" x="603"/>
        <item m="1" x="401"/>
        <item m="1" x="466"/>
        <item m="1" x="386"/>
        <item m="1" x="519"/>
        <item m="1" x="508"/>
        <item m="1" x="377"/>
        <item m="1" x="520"/>
        <item m="1" x="558"/>
        <item m="1" x="720"/>
        <item m="1" x="412"/>
        <item m="1" x="728"/>
        <item m="1" x="422"/>
        <item m="1" x="592"/>
        <item m="1" x="418"/>
        <item m="1" x="479"/>
        <item m="1" x="613"/>
        <item m="1" x="731"/>
        <item m="1" x="381"/>
        <item m="1" x="500"/>
        <item m="1" x="522"/>
        <item m="1" x="535"/>
        <item m="1" x="687"/>
        <item m="1" x="661"/>
        <item m="1" x="545"/>
        <item m="1" x="388"/>
        <item m="1" x="686"/>
        <item m="1" x="539"/>
        <item m="1" x="526"/>
        <item m="1" x="646"/>
        <item m="1" x="726"/>
        <item m="1" x="676"/>
        <item m="1" x="537"/>
        <item m="1" x="482"/>
        <item m="1" x="394"/>
        <item m="1" x="436"/>
        <item m="1" x="460"/>
        <item m="1" x="410"/>
        <item m="1" x="614"/>
        <item m="1" x="643"/>
        <item m="1" x="541"/>
        <item m="1" x="607"/>
        <item m="1" x="627"/>
        <item m="1" x="655"/>
        <item m="1" x="378"/>
        <item m="1" x="694"/>
        <item m="1" x="419"/>
        <item m="1" x="474"/>
        <item m="1" x="600"/>
        <item m="1" x="721"/>
        <item m="1" x="414"/>
        <item m="1" x="490"/>
        <item m="1" x="415"/>
        <item m="1" x="664"/>
        <item m="1" x="604"/>
        <item m="1" x="477"/>
        <item m="1" x="470"/>
        <item m="1" x="641"/>
        <item m="1" x="473"/>
        <item m="1" x="562"/>
        <item m="1" x="665"/>
        <item m="1" x="538"/>
        <item m="1" x="549"/>
        <item m="1" x="633"/>
        <item m="1" x="606"/>
        <item m="1" x="559"/>
        <item m="1" x="389"/>
        <item m="1" x="612"/>
        <item m="1" x="444"/>
        <item m="1" x="684"/>
        <item m="1" x="405"/>
        <item m="1" x="725"/>
        <item m="1" x="370"/>
        <item m="1" x="638"/>
        <item m="1" x="425"/>
        <item m="1" x="557"/>
        <item m="1" x="602"/>
        <item m="1" x="623"/>
        <item m="1" x="588"/>
        <item m="1" x="616"/>
        <item m="1" x="491"/>
        <item m="1" x="383"/>
        <item m="1" x="626"/>
        <item m="1" x="571"/>
        <item m="1" x="701"/>
        <item m="1" x="636"/>
        <item m="1" x="524"/>
        <item m="1" x="650"/>
        <item m="1" x="654"/>
        <item m="1" x="695"/>
        <item m="1" x="497"/>
        <item m="1" x="437"/>
        <item m="1" x="704"/>
        <item m="1" x="619"/>
        <item m="1" x="722"/>
        <item m="1" x="555"/>
        <item m="1" x="710"/>
        <item m="1" x="697"/>
        <item m="1" x="471"/>
        <item m="1" x="582"/>
        <item m="1" x="391"/>
        <item m="1" x="642"/>
        <item m="1" x="563"/>
        <item m="1" x="546"/>
        <item m="1" x="712"/>
        <item m="1" x="597"/>
        <item m="1" x="420"/>
        <item m="1" x="723"/>
        <item m="1" x="368"/>
        <item m="1" x="495"/>
        <item m="1" x="503"/>
        <item m="1" x="560"/>
        <item m="1" x="475"/>
        <item m="1" x="543"/>
        <item m="1" x="465"/>
        <item m="1" x="717"/>
        <item m="1" x="553"/>
        <item m="1" x="456"/>
        <item m="1" x="605"/>
        <item m="1" x="516"/>
        <item m="1" x="533"/>
        <item m="1" x="507"/>
        <item m="1" x="513"/>
        <item m="1" x="532"/>
        <item m="1" x="595"/>
        <item m="1" x="576"/>
        <item m="1" x="372"/>
        <item m="1" x="478"/>
        <item m="1" x="651"/>
        <item m="1" x="409"/>
        <item m="1" x="398"/>
        <item m="1" x="379"/>
        <item m="1" x="442"/>
        <item m="1" x="703"/>
        <item m="1" x="689"/>
        <item m="1" x="630"/>
        <item m="1" x="483"/>
        <item m="1" x="729"/>
        <item m="1" x="711"/>
        <item m="1" x="601"/>
        <item m="1" x="472"/>
        <item m="1" x="439"/>
        <item m="1" x="564"/>
        <item m="1" x="715"/>
        <item m="1" x="548"/>
        <item m="1" x="624"/>
        <item m="1" x="449"/>
        <item m="1" x="476"/>
        <item m="1" x="484"/>
        <item m="1" x="583"/>
        <item m="1" x="504"/>
        <item m="1" x="659"/>
        <item m="1" x="702"/>
        <item m="1" x="423"/>
        <item m="1" x="705"/>
        <item m="1" x="438"/>
        <item m="1" x="599"/>
        <item m="1" x="718"/>
        <item m="1" x="578"/>
        <item m="1" x="572"/>
        <item m="1" x="506"/>
        <item m="1" x="670"/>
        <item m="1" x="464"/>
        <item m="1" x="447"/>
        <item m="1" x="682"/>
        <item m="1" x="615"/>
        <item m="1" x="540"/>
        <item m="1" x="590"/>
        <item m="1" x="608"/>
        <item m="1" x="487"/>
        <item m="1" x="515"/>
        <item m="1" x="451"/>
        <item m="1" x="547"/>
        <item m="1" x="384"/>
        <item m="1" x="640"/>
        <item m="1" x="529"/>
        <item m="1" x="587"/>
        <item m="1" x="634"/>
        <item m="1" x="580"/>
        <item m="1" x="707"/>
        <item m="1" x="678"/>
        <item m="1" x="380"/>
        <item m="1" x="617"/>
        <item m="1" x="376"/>
        <item m="1" x="586"/>
        <item m="1" x="556"/>
        <item m="1" x="387"/>
        <item m="1" x="395"/>
        <item m="1" x="585"/>
        <item m="1" x="672"/>
        <item m="1" x="629"/>
        <item m="1" x="488"/>
        <item m="1" x="724"/>
        <item m="1" x="431"/>
        <item m="1" x="459"/>
        <item m="1" x="493"/>
        <item m="1" x="462"/>
        <item m="1" x="709"/>
        <item m="1" x="693"/>
        <item m="1" x="375"/>
        <item m="1" x="509"/>
        <item m="1" x="679"/>
        <item m="1" x="397"/>
        <item m="1" x="575"/>
        <item m="1" x="635"/>
        <item m="1" x="499"/>
        <item m="1" x="644"/>
        <item x="78"/>
        <item x="226"/>
        <item x="55"/>
        <item x="319"/>
        <item x="110"/>
        <item x="192"/>
        <item x="186"/>
        <item x="82"/>
        <item x="267"/>
        <item x="156"/>
        <item x="96"/>
        <item x="112"/>
        <item x="247"/>
        <item x="109"/>
        <item x="198"/>
        <item x="134"/>
        <item x="137"/>
        <item x="142"/>
        <item x="94"/>
        <item x="10"/>
        <item x="133"/>
        <item x="13"/>
        <item x="63"/>
        <item x="286"/>
        <item x="153"/>
        <item x="356"/>
        <item x="292"/>
        <item x="203"/>
        <item x="324"/>
        <item x="164"/>
        <item x="165"/>
        <item x="201"/>
        <item x="191"/>
        <item x="111"/>
        <item x="120"/>
        <item x="219"/>
        <item x="64"/>
        <item x="331"/>
        <item x="217"/>
        <item x="128"/>
        <item x="2"/>
        <item x="177"/>
        <item x="114"/>
        <item x="44"/>
        <item x="54"/>
        <item x="271"/>
        <item x="72"/>
        <item x="84"/>
        <item x="189"/>
        <item x="49"/>
        <item x="161"/>
        <item x="300"/>
        <item x="27"/>
        <item x="188"/>
        <item x="232"/>
        <item x="180"/>
        <item x="33"/>
        <item x="185"/>
        <item x="39"/>
        <item x="255"/>
        <item x="34"/>
        <item x="332"/>
        <item x="29"/>
        <item x="178"/>
        <item x="11"/>
        <item x="266"/>
        <item x="181"/>
        <item x="211"/>
        <item x="342"/>
        <item x="277"/>
        <item x="253"/>
        <item x="360"/>
        <item x="225"/>
        <item x="103"/>
        <item x="22"/>
        <item x="269"/>
        <item x="275"/>
        <item x="89"/>
        <item x="336"/>
        <item x="151"/>
        <item x="85"/>
        <item x="152"/>
        <item x="308"/>
        <item x="76"/>
        <item x="83"/>
        <item x="340"/>
        <item x="358"/>
        <item x="248"/>
        <item x="262"/>
        <item x="101"/>
        <item x="61"/>
        <item x="325"/>
        <item x="138"/>
        <item x="337"/>
        <item x="41"/>
        <item x="158"/>
        <item x="6"/>
        <item x="228"/>
        <item x="341"/>
        <item x="254"/>
        <item x="366"/>
        <item x="168"/>
        <item x="252"/>
        <item x="284"/>
        <item x="347"/>
        <item x="207"/>
        <item x="184"/>
        <item x="16"/>
        <item x="136"/>
        <item x="224"/>
        <item x="18"/>
        <item x="45"/>
        <item x="126"/>
        <item x="68"/>
        <item x="194"/>
        <item x="175"/>
        <item x="259"/>
        <item x="42"/>
        <item x="197"/>
        <item x="278"/>
        <item x="288"/>
        <item x="171"/>
        <item x="231"/>
        <item x="66"/>
        <item x="365"/>
        <item x="242"/>
        <item x="302"/>
        <item x="43"/>
        <item x="327"/>
        <item x="239"/>
        <item x="215"/>
        <item x="176"/>
        <item x="75"/>
        <item x="205"/>
        <item x="238"/>
        <item x="303"/>
        <item x="28"/>
        <item x="264"/>
        <item x="150"/>
        <item x="172"/>
        <item x="276"/>
        <item x="157"/>
        <item x="117"/>
        <item x="183"/>
        <item x="14"/>
        <item x="317"/>
        <item x="235"/>
        <item x="339"/>
        <item x="159"/>
        <item x="256"/>
        <item x="130"/>
        <item x="249"/>
        <item x="223"/>
        <item x="312"/>
        <item x="313"/>
        <item x="81"/>
        <item x="62"/>
        <item x="129"/>
        <item x="316"/>
        <item x="124"/>
        <item x="1"/>
        <item x="209"/>
        <item x="250"/>
        <item x="251"/>
        <item x="344"/>
        <item x="148"/>
        <item x="37"/>
        <item x="353"/>
        <item x="115"/>
        <item x="229"/>
        <item x="169"/>
        <item x="338"/>
        <item x="60"/>
        <item x="57"/>
        <item x="294"/>
        <item x="69"/>
        <item x="17"/>
        <item x="48"/>
        <item x="330"/>
        <item x="273"/>
        <item x="95"/>
        <item x="333"/>
        <item x="349"/>
        <item x="187"/>
        <item x="199"/>
        <item x="296"/>
        <item x="24"/>
        <item x="59"/>
        <item x="160"/>
        <item x="97"/>
        <item x="213"/>
        <item x="218"/>
        <item x="329"/>
        <item x="243"/>
        <item x="246"/>
        <item x="283"/>
        <item x="166"/>
        <item x="200"/>
        <item x="345"/>
        <item x="289"/>
        <item x="35"/>
        <item x="145"/>
        <item x="221"/>
        <item x="173"/>
        <item x="244"/>
        <item x="227"/>
        <item x="30"/>
        <item x="306"/>
        <item x="195"/>
        <item x="241"/>
        <item x="47"/>
        <item x="335"/>
        <item x="102"/>
        <item x="86"/>
        <item x="210"/>
        <item x="320"/>
        <item x="123"/>
        <item x="92"/>
        <item x="214"/>
        <item x="240"/>
        <item x="143"/>
        <item x="260"/>
        <item x="298"/>
        <item x="304"/>
        <item x="99"/>
        <item x="348"/>
        <item x="202"/>
        <item x="318"/>
        <item x="163"/>
        <item x="237"/>
        <item x="98"/>
        <item x="257"/>
        <item x="162"/>
        <item x="270"/>
        <item x="274"/>
        <item x="245"/>
        <item x="196"/>
        <item x="149"/>
        <item x="23"/>
        <item x="310"/>
        <item x="174"/>
        <item x="118"/>
        <item x="73"/>
        <item x="40"/>
        <item x="38"/>
        <item x="328"/>
        <item x="146"/>
        <item x="322"/>
        <item x="311"/>
        <item x="305"/>
        <item x="7"/>
        <item x="116"/>
        <item x="36"/>
        <item x="67"/>
        <item x="155"/>
        <item x="121"/>
        <item x="208"/>
        <item x="9"/>
        <item x="352"/>
        <item x="100"/>
        <item x="193"/>
        <item x="363"/>
        <item x="58"/>
        <item x="108"/>
        <item x="65"/>
        <item x="222"/>
        <item x="25"/>
        <item x="119"/>
        <item x="236"/>
        <item x="190"/>
        <item x="204"/>
        <item x="343"/>
        <item x="31"/>
        <item x="351"/>
        <item x="268"/>
        <item x="272"/>
        <item x="15"/>
        <item x="93"/>
        <item x="297"/>
        <item x="91"/>
        <item x="154"/>
        <item x="21"/>
        <item x="52"/>
        <item x="334"/>
        <item x="220"/>
        <item x="326"/>
        <item x="51"/>
        <item x="77"/>
        <item x="80"/>
        <item x="293"/>
        <item x="301"/>
        <item x="261"/>
        <item x="364"/>
        <item x="107"/>
        <item x="216"/>
        <item x="315"/>
        <item x="90"/>
        <item x="307"/>
        <item x="314"/>
        <item x="263"/>
        <item x="281"/>
        <item x="279"/>
        <item x="70"/>
        <item x="53"/>
        <item x="258"/>
        <item x="125"/>
        <item x="359"/>
        <item x="233"/>
        <item x="285"/>
        <item x="50"/>
        <item x="170"/>
        <item x="354"/>
        <item x="280"/>
        <item x="131"/>
        <item x="3"/>
        <item x="234"/>
        <item x="56"/>
        <item x="26"/>
        <item x="135"/>
        <item x="105"/>
        <item x="79"/>
        <item x="0"/>
        <item x="355"/>
        <item x="71"/>
        <item x="20"/>
        <item x="122"/>
        <item x="299"/>
        <item x="88"/>
        <item x="361"/>
        <item x="12"/>
        <item x="132"/>
        <item x="212"/>
        <item x="74"/>
        <item x="282"/>
        <item x="295"/>
        <item x="182"/>
        <item x="104"/>
        <item x="46"/>
        <item x="19"/>
        <item x="350"/>
        <item x="139"/>
        <item x="8"/>
        <item x="147"/>
        <item x="291"/>
        <item x="346"/>
        <item x="206"/>
        <item x="265"/>
        <item x="141"/>
        <item x="287"/>
        <item x="179"/>
        <item x="140"/>
        <item x="144"/>
        <item x="323"/>
        <item x="106"/>
        <item x="230"/>
        <item x="290"/>
        <item x="32"/>
        <item x="167"/>
        <item x="127"/>
        <item x="362"/>
        <item x="321"/>
        <item x="309"/>
        <item x="357"/>
        <item x="4"/>
        <item x="87"/>
        <item x="113"/>
        <item x="5"/>
        <item t="default"/>
      </items>
    </pivotField>
    <pivotField showAll="0">
      <items count="3">
        <item x="0"/>
        <item x="1"/>
        <item t="default"/>
      </items>
    </pivotField>
    <pivotField showAll="0"/>
    <pivotField dataField="1" numFmtId="4" showAll="0"/>
    <pivotField axis="axisRow" showAll="0">
      <items count="6">
        <item x="4"/>
        <item x="0"/>
        <item x="2"/>
        <item x="3"/>
        <item x="1"/>
        <item t="default"/>
      </items>
    </pivotField>
    <pivotField showAll="0"/>
    <pivotField showAll="0"/>
    <pivotField showAll="0"/>
    <pivotField showAll="0">
      <items count="369">
        <item x="59"/>
        <item x="270"/>
        <item x="156"/>
        <item x="291"/>
        <item x="94"/>
        <item x="289"/>
        <item x="101"/>
        <item x="341"/>
        <item x="33"/>
        <item x="78"/>
        <item x="253"/>
        <item x="183"/>
        <item x="144"/>
        <item x="254"/>
        <item x="347"/>
        <item x="2"/>
        <item x="224"/>
        <item x="65"/>
        <item x="185"/>
        <item x="272"/>
        <item x="332"/>
        <item x="333"/>
        <item x="346"/>
        <item x="200"/>
        <item x="118"/>
        <item x="90"/>
        <item x="177"/>
        <item x="68"/>
        <item x="212"/>
        <item x="231"/>
        <item x="349"/>
        <item x="91"/>
        <item x="61"/>
        <item x="244"/>
        <item x="36"/>
        <item x="321"/>
        <item x="229"/>
        <item x="49"/>
        <item x="194"/>
        <item x="60"/>
        <item x="122"/>
        <item x="46"/>
        <item x="264"/>
        <item x="198"/>
        <item x="73"/>
        <item x="290"/>
        <item x="258"/>
        <item x="203"/>
        <item x="313"/>
        <item x="4"/>
        <item x="251"/>
        <item x="352"/>
        <item x="37"/>
        <item x="66"/>
        <item x="226"/>
        <item x="323"/>
        <item x="35"/>
        <item x="281"/>
        <item x="32"/>
        <item x="227"/>
        <item x="324"/>
        <item x="41"/>
        <item x="366"/>
        <item x="102"/>
        <item x="114"/>
        <item x="363"/>
        <item x="161"/>
        <item x="222"/>
        <item x="299"/>
        <item x="74"/>
        <item x="154"/>
        <item x="147"/>
        <item x="329"/>
        <item x="23"/>
        <item x="293"/>
        <item x="206"/>
        <item x="307"/>
        <item x="81"/>
        <item x="285"/>
        <item x="100"/>
        <item x="86"/>
        <item x="282"/>
        <item x="360"/>
        <item x="151"/>
        <item x="7"/>
        <item x="67"/>
        <item x="158"/>
        <item x="331"/>
        <item x="79"/>
        <item x="175"/>
        <item x="314"/>
        <item x="167"/>
        <item x="63"/>
        <item x="201"/>
        <item x="280"/>
        <item x="207"/>
        <item x="57"/>
        <item x="25"/>
        <item x="39"/>
        <item x="304"/>
        <item x="187"/>
        <item x="150"/>
        <item x="243"/>
        <item x="301"/>
        <item x="308"/>
        <item x="40"/>
        <item x="339"/>
        <item x="125"/>
        <item x="164"/>
        <item x="62"/>
        <item x="50"/>
        <item x="0"/>
        <item x="255"/>
        <item x="295"/>
        <item x="29"/>
        <item x="365"/>
        <item x="199"/>
        <item x="310"/>
        <item x="286"/>
        <item x="325"/>
        <item x="306"/>
        <item x="87"/>
        <item x="210"/>
        <item x="26"/>
        <item x="214"/>
        <item x="119"/>
        <item x="202"/>
        <item x="160"/>
        <item x="76"/>
        <item x="127"/>
        <item x="44"/>
        <item x="143"/>
        <item x="88"/>
        <item x="278"/>
        <item x="242"/>
        <item x="318"/>
        <item x="96"/>
        <item x="261"/>
        <item x="265"/>
        <item x="83"/>
        <item x="129"/>
        <item x="113"/>
        <item x="131"/>
        <item x="217"/>
        <item x="169"/>
        <item x="15"/>
        <item x="302"/>
        <item x="296"/>
        <item x="163"/>
        <item x="85"/>
        <item x="134"/>
        <item x="145"/>
        <item x="138"/>
        <item x="6"/>
        <item x="316"/>
        <item x="184"/>
        <item x="135"/>
        <item x="54"/>
        <item x="18"/>
        <item x="300"/>
        <item x="236"/>
        <item x="34"/>
        <item x="99"/>
        <item x="19"/>
        <item x="152"/>
        <item x="141"/>
        <item x="10"/>
        <item x="153"/>
        <item x="191"/>
        <item x="353"/>
        <item x="45"/>
        <item x="361"/>
        <item x="55"/>
        <item x="225"/>
        <item x="51"/>
        <item x="112"/>
        <item x="246"/>
        <item x="364"/>
        <item x="14"/>
        <item x="133"/>
        <item x="155"/>
        <item x="168"/>
        <item x="320"/>
        <item x="294"/>
        <item x="178"/>
        <item x="21"/>
        <item x="319"/>
        <item x="172"/>
        <item x="159"/>
        <item x="279"/>
        <item x="359"/>
        <item x="309"/>
        <item x="170"/>
        <item x="115"/>
        <item x="27"/>
        <item x="69"/>
        <item x="93"/>
        <item x="43"/>
        <item x="247"/>
        <item x="276"/>
        <item x="174"/>
        <item x="240"/>
        <item x="260"/>
        <item x="288"/>
        <item x="11"/>
        <item x="327"/>
        <item x="52"/>
        <item x="107"/>
        <item x="233"/>
        <item x="354"/>
        <item x="47"/>
        <item x="123"/>
        <item x="48"/>
        <item x="297"/>
        <item x="237"/>
        <item x="110"/>
        <item x="103"/>
        <item x="274"/>
        <item x="106"/>
        <item x="195"/>
        <item x="298"/>
        <item x="171"/>
        <item x="182"/>
        <item x="266"/>
        <item x="239"/>
        <item x="192"/>
        <item x="22"/>
        <item x="245"/>
        <item x="77"/>
        <item x="317"/>
        <item x="38"/>
        <item x="358"/>
        <item x="3"/>
        <item x="271"/>
        <item x="58"/>
        <item x="190"/>
        <item x="235"/>
        <item x="256"/>
        <item x="221"/>
        <item x="249"/>
        <item x="124"/>
        <item x="16"/>
        <item x="259"/>
        <item x="204"/>
        <item x="334"/>
        <item x="269"/>
        <item x="157"/>
        <item x="283"/>
        <item x="287"/>
        <item x="328"/>
        <item x="130"/>
        <item x="70"/>
        <item x="337"/>
        <item x="252"/>
        <item x="355"/>
        <item x="188"/>
        <item x="343"/>
        <item x="330"/>
        <item x="104"/>
        <item x="215"/>
        <item x="24"/>
        <item x="275"/>
        <item x="196"/>
        <item x="179"/>
        <item x="345"/>
        <item x="230"/>
        <item x="53"/>
        <item x="356"/>
        <item x="1"/>
        <item x="128"/>
        <item x="136"/>
        <item x="193"/>
        <item x="108"/>
        <item x="176"/>
        <item x="98"/>
        <item x="350"/>
        <item x="186"/>
        <item x="89"/>
        <item x="238"/>
        <item x="149"/>
        <item x="166"/>
        <item x="140"/>
        <item x="146"/>
        <item x="165"/>
        <item x="228"/>
        <item x="209"/>
        <item x="5"/>
        <item x="111"/>
        <item x="284"/>
        <item x="42"/>
        <item x="31"/>
        <item x="12"/>
        <item x="75"/>
        <item x="336"/>
        <item x="322"/>
        <item x="263"/>
        <item x="116"/>
        <item x="362"/>
        <item x="344"/>
        <item x="234"/>
        <item x="105"/>
        <item x="72"/>
        <item x="197"/>
        <item x="348"/>
        <item x="181"/>
        <item x="257"/>
        <item x="82"/>
        <item x="109"/>
        <item x="117"/>
        <item x="216"/>
        <item x="137"/>
        <item x="292"/>
        <item x="335"/>
        <item x="56"/>
        <item x="338"/>
        <item x="71"/>
        <item x="232"/>
        <item x="351"/>
        <item x="211"/>
        <item x="205"/>
        <item x="139"/>
        <item x="303"/>
        <item x="97"/>
        <item x="80"/>
        <item x="315"/>
        <item x="248"/>
        <item x="173"/>
        <item x="223"/>
        <item x="241"/>
        <item x="120"/>
        <item x="148"/>
        <item x="84"/>
        <item x="180"/>
        <item x="17"/>
        <item x="273"/>
        <item x="162"/>
        <item x="220"/>
        <item x="267"/>
        <item x="213"/>
        <item x="340"/>
        <item x="311"/>
        <item x="13"/>
        <item x="250"/>
        <item x="9"/>
        <item x="219"/>
        <item x="189"/>
        <item x="20"/>
        <item x="28"/>
        <item x="218"/>
        <item x="305"/>
        <item x="262"/>
        <item x="121"/>
        <item x="357"/>
        <item x="64"/>
        <item x="92"/>
        <item x="126"/>
        <item x="95"/>
        <item x="342"/>
        <item x="326"/>
        <item x="8"/>
        <item x="142"/>
        <item x="312"/>
        <item x="30"/>
        <item x="208"/>
        <item x="268"/>
        <item x="132"/>
        <item x="277"/>
        <item x="367"/>
        <item t="default"/>
      </items>
    </pivotField>
  </pivotFields>
  <rowFields count="1">
    <field x="12"/>
  </rowFields>
  <rowItems count="6">
    <i>
      <x/>
    </i>
    <i>
      <x v="1"/>
    </i>
    <i>
      <x v="2"/>
    </i>
    <i>
      <x v="3"/>
    </i>
    <i>
      <x v="4"/>
    </i>
    <i t="grand">
      <x/>
    </i>
  </rowItems>
  <colItems count="1">
    <i/>
  </colItems>
  <dataFields count="1">
    <dataField name="Average of Salary" fld="11" subtotal="average" baseField="12"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29BCF9-CE80-4E17-9870-1025AF901F28}" name="PivotTable1"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Department">
  <location ref="B3:C12" firstHeaderRow="1" firstDataRow="1" firstDataCol="1"/>
  <pivotFields count="17">
    <pivotField dataField="1" showAll="0"/>
    <pivotField showAll="0"/>
    <pivotField showAll="0">
      <items count="3">
        <item x="0"/>
        <item x="1"/>
        <item t="default"/>
      </items>
    </pivotField>
    <pivotField showAll="0"/>
    <pivotField axis="axisRow" showAll="0">
      <items count="9">
        <item x="6"/>
        <item x="2"/>
        <item x="5"/>
        <item x="1"/>
        <item x="3"/>
        <item x="4"/>
        <item x="7"/>
        <item x="0"/>
        <item t="default"/>
      </items>
    </pivotField>
    <pivotField showAll="0">
      <items count="24">
        <item x="10"/>
        <item x="8"/>
        <item x="15"/>
        <item x="7"/>
        <item x="19"/>
        <item x="22"/>
        <item x="21"/>
        <item x="2"/>
        <item x="5"/>
        <item x="16"/>
        <item x="13"/>
        <item x="6"/>
        <item x="18"/>
        <item x="14"/>
        <item x="17"/>
        <item x="1"/>
        <item x="0"/>
        <item x="20"/>
        <item x="3"/>
        <item x="11"/>
        <item x="12"/>
        <item x="9"/>
        <item x="4"/>
        <item t="default"/>
      </items>
    </pivotField>
    <pivotField showAll="0"/>
    <pivotField showAll="0"/>
    <pivotField showAll="0">
      <items count="735">
        <item m="1" x="426"/>
        <item m="1" x="637"/>
        <item m="1" x="523"/>
        <item m="1" x="658"/>
        <item m="1" x="461"/>
        <item m="1" x="656"/>
        <item m="1" x="468"/>
        <item m="1" x="708"/>
        <item m="1" x="400"/>
        <item m="1" x="445"/>
        <item m="1" x="620"/>
        <item m="1" x="550"/>
        <item m="1" x="511"/>
        <item m="1" x="621"/>
        <item m="1" x="714"/>
        <item m="1" x="369"/>
        <item m="1" x="591"/>
        <item m="1" x="432"/>
        <item m="1" x="552"/>
        <item m="1" x="639"/>
        <item m="1" x="699"/>
        <item m="1" x="700"/>
        <item m="1" x="713"/>
        <item m="1" x="567"/>
        <item m="1" x="485"/>
        <item m="1" x="457"/>
        <item m="1" x="544"/>
        <item m="1" x="435"/>
        <item m="1" x="579"/>
        <item m="1" x="598"/>
        <item m="1" x="716"/>
        <item m="1" x="458"/>
        <item m="1" x="428"/>
        <item m="1" x="611"/>
        <item m="1" x="403"/>
        <item m="1" x="688"/>
        <item m="1" x="596"/>
        <item m="1" x="416"/>
        <item m="1" x="561"/>
        <item m="1" x="427"/>
        <item m="1" x="489"/>
        <item m="1" x="413"/>
        <item m="1" x="631"/>
        <item m="1" x="565"/>
        <item m="1" x="440"/>
        <item m="1" x="657"/>
        <item m="1" x="625"/>
        <item m="1" x="570"/>
        <item m="1" x="680"/>
        <item m="1" x="371"/>
        <item m="1" x="618"/>
        <item m="1" x="719"/>
        <item m="1" x="404"/>
        <item m="1" x="433"/>
        <item m="1" x="593"/>
        <item m="1" x="690"/>
        <item m="1" x="402"/>
        <item m="1" x="648"/>
        <item m="1" x="399"/>
        <item m="1" x="594"/>
        <item m="1" x="691"/>
        <item m="1" x="408"/>
        <item m="1" x="733"/>
        <item m="1" x="469"/>
        <item m="1" x="481"/>
        <item m="1" x="730"/>
        <item m="1" x="528"/>
        <item m="1" x="589"/>
        <item m="1" x="666"/>
        <item m="1" x="441"/>
        <item m="1" x="521"/>
        <item m="1" x="514"/>
        <item m="1" x="696"/>
        <item m="1" x="390"/>
        <item m="1" x="660"/>
        <item m="1" x="573"/>
        <item m="1" x="674"/>
        <item m="1" x="448"/>
        <item m="1" x="652"/>
        <item m="1" x="467"/>
        <item m="1" x="453"/>
        <item m="1" x="649"/>
        <item m="1" x="727"/>
        <item m="1" x="518"/>
        <item m="1" x="374"/>
        <item m="1" x="434"/>
        <item m="1" x="525"/>
        <item m="1" x="698"/>
        <item m="1" x="446"/>
        <item m="1" x="542"/>
        <item m="1" x="681"/>
        <item m="1" x="534"/>
        <item m="1" x="430"/>
        <item m="1" x="568"/>
        <item m="1" x="647"/>
        <item m="1" x="574"/>
        <item m="1" x="424"/>
        <item m="1" x="392"/>
        <item m="1" x="406"/>
        <item m="1" x="671"/>
        <item m="1" x="554"/>
        <item m="1" x="517"/>
        <item m="1" x="610"/>
        <item m="1" x="668"/>
        <item m="1" x="675"/>
        <item m="1" x="407"/>
        <item m="1" x="706"/>
        <item m="1" x="492"/>
        <item m="1" x="531"/>
        <item m="1" x="429"/>
        <item m="1" x="417"/>
        <item m="1" x="367"/>
        <item m="1" x="622"/>
        <item m="1" x="662"/>
        <item m="1" x="396"/>
        <item m="1" x="732"/>
        <item m="1" x="566"/>
        <item m="1" x="677"/>
        <item m="1" x="653"/>
        <item m="1" x="692"/>
        <item m="1" x="673"/>
        <item m="1" x="454"/>
        <item m="1" x="577"/>
        <item m="1" x="393"/>
        <item m="1" x="581"/>
        <item m="1" x="486"/>
        <item m="1" x="569"/>
        <item m="1" x="527"/>
        <item m="1" x="443"/>
        <item m="1" x="494"/>
        <item m="1" x="411"/>
        <item m="1" x="510"/>
        <item m="1" x="455"/>
        <item m="1" x="645"/>
        <item m="1" x="609"/>
        <item m="1" x="685"/>
        <item m="1" x="463"/>
        <item m="1" x="628"/>
        <item m="1" x="632"/>
        <item m="1" x="450"/>
        <item m="1" x="496"/>
        <item m="1" x="480"/>
        <item m="1" x="498"/>
        <item m="1" x="584"/>
        <item m="1" x="536"/>
        <item m="1" x="382"/>
        <item m="1" x="669"/>
        <item m="1" x="663"/>
        <item m="1" x="530"/>
        <item m="1" x="452"/>
        <item m="1" x="501"/>
        <item m="1" x="512"/>
        <item m="1" x="505"/>
        <item m="1" x="373"/>
        <item m="1" x="683"/>
        <item m="1" x="551"/>
        <item m="1" x="502"/>
        <item m="1" x="421"/>
        <item m="1" x="385"/>
        <item m="1" x="667"/>
        <item m="1" x="603"/>
        <item m="1" x="401"/>
        <item m="1" x="466"/>
        <item m="1" x="386"/>
        <item m="1" x="519"/>
        <item m="1" x="508"/>
        <item m="1" x="377"/>
        <item m="1" x="520"/>
        <item m="1" x="558"/>
        <item m="1" x="720"/>
        <item m="1" x="412"/>
        <item m="1" x="728"/>
        <item m="1" x="422"/>
        <item m="1" x="592"/>
        <item m="1" x="418"/>
        <item m="1" x="479"/>
        <item m="1" x="613"/>
        <item m="1" x="731"/>
        <item m="1" x="381"/>
        <item m="1" x="500"/>
        <item m="1" x="522"/>
        <item m="1" x="535"/>
        <item m="1" x="687"/>
        <item m="1" x="661"/>
        <item m="1" x="545"/>
        <item m="1" x="388"/>
        <item m="1" x="686"/>
        <item m="1" x="539"/>
        <item m="1" x="526"/>
        <item m="1" x="646"/>
        <item m="1" x="726"/>
        <item m="1" x="676"/>
        <item m="1" x="537"/>
        <item m="1" x="482"/>
        <item m="1" x="394"/>
        <item m="1" x="436"/>
        <item m="1" x="460"/>
        <item m="1" x="410"/>
        <item m="1" x="614"/>
        <item m="1" x="643"/>
        <item m="1" x="541"/>
        <item m="1" x="607"/>
        <item m="1" x="627"/>
        <item m="1" x="655"/>
        <item m="1" x="378"/>
        <item m="1" x="694"/>
        <item m="1" x="419"/>
        <item m="1" x="474"/>
        <item m="1" x="600"/>
        <item m="1" x="721"/>
        <item m="1" x="414"/>
        <item m="1" x="490"/>
        <item m="1" x="415"/>
        <item m="1" x="664"/>
        <item m="1" x="604"/>
        <item m="1" x="477"/>
        <item m="1" x="470"/>
        <item m="1" x="641"/>
        <item m="1" x="473"/>
        <item m="1" x="562"/>
        <item m="1" x="665"/>
        <item m="1" x="538"/>
        <item m="1" x="549"/>
        <item m="1" x="633"/>
        <item m="1" x="606"/>
        <item m="1" x="559"/>
        <item m="1" x="389"/>
        <item m="1" x="612"/>
        <item m="1" x="444"/>
        <item m="1" x="684"/>
        <item m="1" x="405"/>
        <item m="1" x="725"/>
        <item m="1" x="370"/>
        <item m="1" x="638"/>
        <item m="1" x="425"/>
        <item m="1" x="557"/>
        <item m="1" x="602"/>
        <item m="1" x="623"/>
        <item m="1" x="588"/>
        <item m="1" x="616"/>
        <item m="1" x="491"/>
        <item m="1" x="383"/>
        <item m="1" x="626"/>
        <item m="1" x="571"/>
        <item m="1" x="701"/>
        <item m="1" x="636"/>
        <item m="1" x="524"/>
        <item m="1" x="650"/>
        <item m="1" x="654"/>
        <item m="1" x="695"/>
        <item m="1" x="497"/>
        <item m="1" x="437"/>
        <item m="1" x="704"/>
        <item m="1" x="619"/>
        <item m="1" x="722"/>
        <item m="1" x="555"/>
        <item m="1" x="710"/>
        <item m="1" x="697"/>
        <item m="1" x="471"/>
        <item m="1" x="582"/>
        <item m="1" x="391"/>
        <item m="1" x="642"/>
        <item m="1" x="563"/>
        <item m="1" x="546"/>
        <item m="1" x="712"/>
        <item m="1" x="597"/>
        <item m="1" x="420"/>
        <item m="1" x="723"/>
        <item m="1" x="368"/>
        <item m="1" x="495"/>
        <item m="1" x="503"/>
        <item m="1" x="560"/>
        <item m="1" x="475"/>
        <item m="1" x="543"/>
        <item m="1" x="465"/>
        <item m="1" x="717"/>
        <item m="1" x="553"/>
        <item m="1" x="456"/>
        <item m="1" x="605"/>
        <item m="1" x="516"/>
        <item m="1" x="533"/>
        <item m="1" x="507"/>
        <item m="1" x="513"/>
        <item m="1" x="532"/>
        <item m="1" x="595"/>
        <item m="1" x="576"/>
        <item m="1" x="372"/>
        <item m="1" x="478"/>
        <item m="1" x="651"/>
        <item m="1" x="409"/>
        <item m="1" x="398"/>
        <item m="1" x="379"/>
        <item m="1" x="442"/>
        <item m="1" x="703"/>
        <item m="1" x="689"/>
        <item m="1" x="630"/>
        <item m="1" x="483"/>
        <item m="1" x="729"/>
        <item m="1" x="711"/>
        <item m="1" x="601"/>
        <item m="1" x="472"/>
        <item m="1" x="439"/>
        <item m="1" x="564"/>
        <item m="1" x="715"/>
        <item m="1" x="548"/>
        <item m="1" x="624"/>
        <item m="1" x="449"/>
        <item m="1" x="476"/>
        <item m="1" x="484"/>
        <item m="1" x="583"/>
        <item m="1" x="504"/>
        <item m="1" x="659"/>
        <item m="1" x="702"/>
        <item m="1" x="423"/>
        <item m="1" x="705"/>
        <item m="1" x="438"/>
        <item m="1" x="599"/>
        <item m="1" x="718"/>
        <item m="1" x="578"/>
        <item m="1" x="572"/>
        <item m="1" x="506"/>
        <item m="1" x="670"/>
        <item m="1" x="464"/>
        <item m="1" x="447"/>
        <item m="1" x="682"/>
        <item m="1" x="615"/>
        <item m="1" x="540"/>
        <item m="1" x="590"/>
        <item m="1" x="608"/>
        <item m="1" x="487"/>
        <item m="1" x="515"/>
        <item m="1" x="451"/>
        <item m="1" x="547"/>
        <item m="1" x="384"/>
        <item m="1" x="640"/>
        <item m="1" x="529"/>
        <item m="1" x="587"/>
        <item m="1" x="634"/>
        <item m="1" x="580"/>
        <item m="1" x="707"/>
        <item m="1" x="678"/>
        <item m="1" x="380"/>
        <item m="1" x="617"/>
        <item m="1" x="376"/>
        <item m="1" x="586"/>
        <item m="1" x="556"/>
        <item m="1" x="387"/>
        <item m="1" x="395"/>
        <item m="1" x="585"/>
        <item m="1" x="672"/>
        <item m="1" x="629"/>
        <item m="1" x="488"/>
        <item m="1" x="724"/>
        <item m="1" x="431"/>
        <item m="1" x="459"/>
        <item m="1" x="493"/>
        <item m="1" x="462"/>
        <item m="1" x="709"/>
        <item m="1" x="693"/>
        <item m="1" x="375"/>
        <item m="1" x="509"/>
        <item m="1" x="679"/>
        <item m="1" x="397"/>
        <item m="1" x="575"/>
        <item m="1" x="635"/>
        <item m="1" x="499"/>
        <item m="1" x="644"/>
        <item x="78"/>
        <item x="226"/>
        <item x="55"/>
        <item x="319"/>
        <item x="110"/>
        <item x="192"/>
        <item x="186"/>
        <item x="82"/>
        <item x="267"/>
        <item x="156"/>
        <item x="96"/>
        <item x="112"/>
        <item x="247"/>
        <item x="109"/>
        <item x="198"/>
        <item x="134"/>
        <item x="137"/>
        <item x="142"/>
        <item x="94"/>
        <item x="10"/>
        <item x="133"/>
        <item x="13"/>
        <item x="63"/>
        <item x="286"/>
        <item x="153"/>
        <item x="356"/>
        <item x="292"/>
        <item x="203"/>
        <item x="324"/>
        <item x="164"/>
        <item x="165"/>
        <item x="201"/>
        <item x="191"/>
        <item x="111"/>
        <item x="120"/>
        <item x="219"/>
        <item x="64"/>
        <item x="331"/>
        <item x="217"/>
        <item x="128"/>
        <item x="2"/>
        <item x="177"/>
        <item x="114"/>
        <item x="44"/>
        <item x="54"/>
        <item x="271"/>
        <item x="72"/>
        <item x="84"/>
        <item x="189"/>
        <item x="49"/>
        <item x="161"/>
        <item x="300"/>
        <item x="27"/>
        <item x="188"/>
        <item x="232"/>
        <item x="180"/>
        <item x="33"/>
        <item x="185"/>
        <item x="39"/>
        <item x="255"/>
        <item x="34"/>
        <item x="332"/>
        <item x="29"/>
        <item x="178"/>
        <item x="11"/>
        <item x="266"/>
        <item x="181"/>
        <item x="211"/>
        <item x="342"/>
        <item x="277"/>
        <item x="253"/>
        <item x="360"/>
        <item x="225"/>
        <item x="103"/>
        <item x="22"/>
        <item x="269"/>
        <item x="275"/>
        <item x="89"/>
        <item x="336"/>
        <item x="151"/>
        <item x="85"/>
        <item x="152"/>
        <item x="308"/>
        <item x="76"/>
        <item x="83"/>
        <item x="340"/>
        <item x="358"/>
        <item x="248"/>
        <item x="262"/>
        <item x="101"/>
        <item x="61"/>
        <item x="325"/>
        <item x="138"/>
        <item x="337"/>
        <item x="41"/>
        <item x="158"/>
        <item x="6"/>
        <item x="228"/>
        <item x="341"/>
        <item x="254"/>
        <item x="366"/>
        <item x="168"/>
        <item x="252"/>
        <item x="284"/>
        <item x="347"/>
        <item x="207"/>
        <item x="184"/>
        <item x="16"/>
        <item x="136"/>
        <item x="224"/>
        <item x="18"/>
        <item x="45"/>
        <item x="126"/>
        <item x="68"/>
        <item x="194"/>
        <item x="175"/>
        <item x="259"/>
        <item x="42"/>
        <item x="197"/>
        <item x="278"/>
        <item x="288"/>
        <item x="171"/>
        <item x="231"/>
        <item x="66"/>
        <item x="365"/>
        <item x="242"/>
        <item x="302"/>
        <item x="43"/>
        <item x="327"/>
        <item x="239"/>
        <item x="215"/>
        <item x="176"/>
        <item x="75"/>
        <item x="205"/>
        <item x="238"/>
        <item x="303"/>
        <item x="28"/>
        <item x="264"/>
        <item x="150"/>
        <item x="172"/>
        <item x="276"/>
        <item x="157"/>
        <item x="117"/>
        <item x="183"/>
        <item x="14"/>
        <item x="317"/>
        <item x="235"/>
        <item x="339"/>
        <item x="159"/>
        <item x="256"/>
        <item x="130"/>
        <item x="249"/>
        <item x="223"/>
        <item x="312"/>
        <item x="313"/>
        <item x="81"/>
        <item x="62"/>
        <item x="129"/>
        <item x="316"/>
        <item x="124"/>
        <item x="1"/>
        <item x="209"/>
        <item x="250"/>
        <item x="251"/>
        <item x="344"/>
        <item x="148"/>
        <item x="37"/>
        <item x="353"/>
        <item x="115"/>
        <item x="229"/>
        <item x="169"/>
        <item x="338"/>
        <item x="60"/>
        <item x="57"/>
        <item x="294"/>
        <item x="69"/>
        <item x="17"/>
        <item x="48"/>
        <item x="330"/>
        <item x="273"/>
        <item x="95"/>
        <item x="333"/>
        <item x="349"/>
        <item x="187"/>
        <item x="199"/>
        <item x="296"/>
        <item x="24"/>
        <item x="59"/>
        <item x="160"/>
        <item x="97"/>
        <item x="213"/>
        <item x="218"/>
        <item x="329"/>
        <item x="243"/>
        <item x="246"/>
        <item x="283"/>
        <item x="166"/>
        <item x="200"/>
        <item x="345"/>
        <item x="289"/>
        <item x="35"/>
        <item x="145"/>
        <item x="221"/>
        <item x="173"/>
        <item x="244"/>
        <item x="227"/>
        <item x="30"/>
        <item x="306"/>
        <item x="195"/>
        <item x="241"/>
        <item x="47"/>
        <item x="335"/>
        <item x="102"/>
        <item x="86"/>
        <item x="210"/>
        <item x="320"/>
        <item x="123"/>
        <item x="92"/>
        <item x="214"/>
        <item x="240"/>
        <item x="143"/>
        <item x="260"/>
        <item x="298"/>
        <item x="304"/>
        <item x="99"/>
        <item x="348"/>
        <item x="202"/>
        <item x="318"/>
        <item x="163"/>
        <item x="237"/>
        <item x="98"/>
        <item x="257"/>
        <item x="162"/>
        <item x="270"/>
        <item x="274"/>
        <item x="245"/>
        <item x="196"/>
        <item x="149"/>
        <item x="23"/>
        <item x="310"/>
        <item x="174"/>
        <item x="118"/>
        <item x="73"/>
        <item x="40"/>
        <item x="38"/>
        <item x="328"/>
        <item x="146"/>
        <item x="322"/>
        <item x="311"/>
        <item x="305"/>
        <item x="7"/>
        <item x="116"/>
        <item x="36"/>
        <item x="67"/>
        <item x="155"/>
        <item x="121"/>
        <item x="208"/>
        <item x="9"/>
        <item x="352"/>
        <item x="100"/>
        <item x="193"/>
        <item x="363"/>
        <item x="58"/>
        <item x="108"/>
        <item x="65"/>
        <item x="222"/>
        <item x="25"/>
        <item x="119"/>
        <item x="236"/>
        <item x="190"/>
        <item x="204"/>
        <item x="343"/>
        <item x="31"/>
        <item x="351"/>
        <item x="268"/>
        <item x="272"/>
        <item x="15"/>
        <item x="93"/>
        <item x="297"/>
        <item x="91"/>
        <item x="154"/>
        <item x="21"/>
        <item x="52"/>
        <item x="334"/>
        <item x="220"/>
        <item x="326"/>
        <item x="51"/>
        <item x="77"/>
        <item x="80"/>
        <item x="293"/>
        <item x="301"/>
        <item x="261"/>
        <item x="364"/>
        <item x="107"/>
        <item x="216"/>
        <item x="315"/>
        <item x="90"/>
        <item x="307"/>
        <item x="314"/>
        <item x="263"/>
        <item x="281"/>
        <item x="279"/>
        <item x="70"/>
        <item x="53"/>
        <item x="258"/>
        <item x="125"/>
        <item x="359"/>
        <item x="233"/>
        <item x="285"/>
        <item x="50"/>
        <item x="170"/>
        <item x="354"/>
        <item x="280"/>
        <item x="131"/>
        <item x="3"/>
        <item x="234"/>
        <item x="56"/>
        <item x="26"/>
        <item x="135"/>
        <item x="105"/>
        <item x="79"/>
        <item x="0"/>
        <item x="355"/>
        <item x="71"/>
        <item x="20"/>
        <item x="122"/>
        <item x="299"/>
        <item x="88"/>
        <item x="361"/>
        <item x="12"/>
        <item x="132"/>
        <item x="212"/>
        <item x="74"/>
        <item x="282"/>
        <item x="295"/>
        <item x="182"/>
        <item x="104"/>
        <item x="46"/>
        <item x="19"/>
        <item x="350"/>
        <item x="139"/>
        <item x="8"/>
        <item x="147"/>
        <item x="291"/>
        <item x="346"/>
        <item x="206"/>
        <item x="265"/>
        <item x="141"/>
        <item x="287"/>
        <item x="179"/>
        <item x="140"/>
        <item x="144"/>
        <item x="323"/>
        <item x="106"/>
        <item x="230"/>
        <item x="290"/>
        <item x="32"/>
        <item x="167"/>
        <item x="127"/>
        <item x="362"/>
        <item x="321"/>
        <item x="309"/>
        <item x="357"/>
        <item x="4"/>
        <item x="87"/>
        <item x="113"/>
        <item x="5"/>
        <item t="default"/>
      </items>
    </pivotField>
    <pivotField showAll="0">
      <items count="3">
        <item x="0"/>
        <item x="1"/>
        <item t="default"/>
      </items>
    </pivotField>
    <pivotField showAll="0"/>
    <pivotField numFmtId="4" showAll="0">
      <items count="307">
        <item x="260"/>
        <item x="23"/>
        <item x="130"/>
        <item x="273"/>
        <item x="64"/>
        <item x="162"/>
        <item x="49"/>
        <item x="151"/>
        <item x="242"/>
        <item x="157"/>
        <item x="90"/>
        <item x="300"/>
        <item x="43"/>
        <item x="286"/>
        <item x="142"/>
        <item x="245"/>
        <item x="44"/>
        <item x="155"/>
        <item x="167"/>
        <item x="72"/>
        <item x="1"/>
        <item x="228"/>
        <item x="292"/>
        <item x="104"/>
        <item x="32"/>
        <item x="186"/>
        <item x="256"/>
        <item x="94"/>
        <item x="254"/>
        <item x="181"/>
        <item x="30"/>
        <item x="216"/>
        <item x="144"/>
        <item x="218"/>
        <item x="202"/>
        <item x="287"/>
        <item x="54"/>
        <item x="238"/>
        <item x="175"/>
        <item x="124"/>
        <item x="236"/>
        <item x="250"/>
        <item x="57"/>
        <item x="239"/>
        <item x="51"/>
        <item x="97"/>
        <item x="291"/>
        <item x="230"/>
        <item x="146"/>
        <item x="288"/>
        <item x="31"/>
        <item x="251"/>
        <item x="189"/>
        <item x="13"/>
        <item x="184"/>
        <item x="100"/>
        <item x="199"/>
        <item x="24"/>
        <item x="83"/>
        <item x="107"/>
        <item x="188"/>
        <item x="14"/>
        <item x="26"/>
        <item x="20"/>
        <item x="0"/>
        <item x="178"/>
        <item x="48"/>
        <item x="237"/>
        <item x="50"/>
        <item x="271"/>
        <item x="11"/>
        <item x="113"/>
        <item x="62"/>
        <item x="246"/>
        <item x="127"/>
        <item x="219"/>
        <item x="205"/>
        <item x="283"/>
        <item x="19"/>
        <item x="262"/>
        <item x="227"/>
        <item x="232"/>
        <item x="208"/>
        <item x="136"/>
        <item x="152"/>
        <item x="25"/>
        <item x="115"/>
        <item x="98"/>
        <item x="168"/>
        <item x="183"/>
        <item x="206"/>
        <item x="37"/>
        <item x="282"/>
        <item x="21"/>
        <item x="295"/>
        <item x="265"/>
        <item x="264"/>
        <item x="76"/>
        <item x="164"/>
        <item x="187"/>
        <item x="93"/>
        <item x="210"/>
        <item x="69"/>
        <item x="200"/>
        <item x="63"/>
        <item x="161"/>
        <item x="298"/>
        <item x="229"/>
        <item x="173"/>
        <item x="39"/>
        <item x="8"/>
        <item x="121"/>
        <item x="290"/>
        <item x="9"/>
        <item x="243"/>
        <item x="45"/>
        <item x="28"/>
        <item x="220"/>
        <item x="91"/>
        <item x="176"/>
        <item x="278"/>
        <item x="169"/>
        <item x="226"/>
        <item x="225"/>
        <item x="56"/>
        <item x="128"/>
        <item x="275"/>
        <item x="247"/>
        <item x="276"/>
        <item x="82"/>
        <item x="221"/>
        <item x="171"/>
        <item x="166"/>
        <item x="126"/>
        <item x="301"/>
        <item x="120"/>
        <item x="4"/>
        <item x="105"/>
        <item x="163"/>
        <item x="34"/>
        <item x="134"/>
        <item x="138"/>
        <item x="213"/>
        <item x="66"/>
        <item x="196"/>
        <item x="224"/>
        <item x="252"/>
        <item x="68"/>
        <item x="179"/>
        <item x="41"/>
        <item x="103"/>
        <item x="305"/>
        <item x="258"/>
        <item x="112"/>
        <item x="140"/>
        <item x="272"/>
        <item x="289"/>
        <item x="170"/>
        <item x="158"/>
        <item x="102"/>
        <item x="123"/>
        <item x="190"/>
        <item x="302"/>
        <item x="234"/>
        <item x="29"/>
        <item x="53"/>
        <item x="147"/>
        <item x="12"/>
        <item x="22"/>
        <item x="261"/>
        <item x="211"/>
        <item x="96"/>
        <item x="209"/>
        <item x="159"/>
        <item x="119"/>
        <item x="285"/>
        <item x="266"/>
        <item x="235"/>
        <item x="215"/>
        <item x="180"/>
        <item x="156"/>
        <item x="150"/>
        <item x="165"/>
        <item x="222"/>
        <item x="268"/>
        <item x="139"/>
        <item x="297"/>
        <item x="269"/>
        <item x="303"/>
        <item x="10"/>
        <item x="70"/>
        <item x="92"/>
        <item x="284"/>
        <item x="125"/>
        <item x="135"/>
        <item x="18"/>
        <item x="192"/>
        <item x="197"/>
        <item x="154"/>
        <item x="280"/>
        <item x="185"/>
        <item x="160"/>
        <item x="174"/>
        <item x="203"/>
        <item x="177"/>
        <item x="52"/>
        <item x="78"/>
        <item x="263"/>
        <item x="101"/>
        <item x="74"/>
        <item x="233"/>
        <item x="257"/>
        <item x="59"/>
        <item x="60"/>
        <item x="42"/>
        <item x="118"/>
        <item x="270"/>
        <item x="248"/>
        <item x="114"/>
        <item x="61"/>
        <item x="277"/>
        <item x="217"/>
        <item x="201"/>
        <item x="149"/>
        <item x="207"/>
        <item x="2"/>
        <item x="84"/>
        <item x="79"/>
        <item x="172"/>
        <item x="110"/>
        <item x="214"/>
        <item x="85"/>
        <item x="77"/>
        <item x="249"/>
        <item x="86"/>
        <item x="259"/>
        <item x="293"/>
        <item x="40"/>
        <item x="299"/>
        <item x="131"/>
        <item x="141"/>
        <item x="204"/>
        <item x="106"/>
        <item x="80"/>
        <item x="281"/>
        <item x="231"/>
        <item x="304"/>
        <item x="223"/>
        <item x="6"/>
        <item x="198"/>
        <item x="145"/>
        <item x="87"/>
        <item x="73"/>
        <item x="143"/>
        <item x="38"/>
        <item x="95"/>
        <item x="15"/>
        <item x="75"/>
        <item x="111"/>
        <item x="122"/>
        <item x="46"/>
        <item x="279"/>
        <item x="47"/>
        <item x="117"/>
        <item x="193"/>
        <item x="191"/>
        <item x="67"/>
        <item x="116"/>
        <item x="212"/>
        <item x="129"/>
        <item x="35"/>
        <item x="58"/>
        <item x="132"/>
        <item x="240"/>
        <item x="241"/>
        <item x="274"/>
        <item x="88"/>
        <item x="153"/>
        <item x="89"/>
        <item x="108"/>
        <item x="109"/>
        <item x="133"/>
        <item x="16"/>
        <item x="81"/>
        <item x="294"/>
        <item x="27"/>
        <item x="36"/>
        <item x="244"/>
        <item x="55"/>
        <item x="33"/>
        <item x="267"/>
        <item x="182"/>
        <item x="65"/>
        <item x="255"/>
        <item x="5"/>
        <item x="195"/>
        <item x="3"/>
        <item x="17"/>
        <item x="296"/>
        <item x="148"/>
        <item x="253"/>
        <item x="194"/>
        <item x="137"/>
        <item x="99"/>
        <item x="71"/>
        <item x="7"/>
        <item t="default"/>
      </items>
    </pivotField>
    <pivotField showAll="0"/>
    <pivotField showAll="0"/>
    <pivotField showAll="0"/>
    <pivotField showAll="0"/>
    <pivotField showAll="0">
      <items count="369">
        <item x="59"/>
        <item x="270"/>
        <item x="156"/>
        <item x="291"/>
        <item x="94"/>
        <item x="289"/>
        <item x="101"/>
        <item x="341"/>
        <item x="33"/>
        <item x="78"/>
        <item x="253"/>
        <item x="183"/>
        <item x="144"/>
        <item x="254"/>
        <item x="347"/>
        <item x="2"/>
        <item x="224"/>
        <item x="65"/>
        <item x="185"/>
        <item x="272"/>
        <item x="332"/>
        <item x="333"/>
        <item x="346"/>
        <item x="200"/>
        <item x="118"/>
        <item x="90"/>
        <item x="177"/>
        <item x="68"/>
        <item x="212"/>
        <item x="231"/>
        <item x="349"/>
        <item x="91"/>
        <item x="61"/>
        <item x="244"/>
        <item x="36"/>
        <item x="321"/>
        <item x="229"/>
        <item x="49"/>
        <item x="194"/>
        <item x="60"/>
        <item x="122"/>
        <item x="46"/>
        <item x="264"/>
        <item x="198"/>
        <item x="73"/>
        <item x="290"/>
        <item x="258"/>
        <item x="203"/>
        <item x="313"/>
        <item x="4"/>
        <item x="251"/>
        <item x="352"/>
        <item x="37"/>
        <item x="66"/>
        <item x="226"/>
        <item x="323"/>
        <item x="35"/>
        <item x="281"/>
        <item x="32"/>
        <item x="227"/>
        <item x="324"/>
        <item x="41"/>
        <item x="366"/>
        <item x="102"/>
        <item x="114"/>
        <item x="363"/>
        <item x="161"/>
        <item x="222"/>
        <item x="299"/>
        <item x="74"/>
        <item x="154"/>
        <item x="147"/>
        <item x="329"/>
        <item x="23"/>
        <item x="293"/>
        <item x="206"/>
        <item x="307"/>
        <item x="81"/>
        <item x="285"/>
        <item x="100"/>
        <item x="86"/>
        <item x="282"/>
        <item x="360"/>
        <item x="151"/>
        <item x="7"/>
        <item x="67"/>
        <item x="158"/>
        <item x="331"/>
        <item x="79"/>
        <item x="175"/>
        <item x="314"/>
        <item x="167"/>
        <item x="63"/>
        <item x="201"/>
        <item x="280"/>
        <item x="207"/>
        <item x="57"/>
        <item x="25"/>
        <item x="39"/>
        <item x="304"/>
        <item x="187"/>
        <item x="150"/>
        <item x="243"/>
        <item x="301"/>
        <item x="308"/>
        <item x="40"/>
        <item x="339"/>
        <item x="125"/>
        <item x="164"/>
        <item x="62"/>
        <item x="50"/>
        <item x="0"/>
        <item x="255"/>
        <item x="295"/>
        <item x="29"/>
        <item x="365"/>
        <item x="199"/>
        <item x="310"/>
        <item x="286"/>
        <item x="325"/>
        <item x="306"/>
        <item x="87"/>
        <item x="210"/>
        <item x="26"/>
        <item x="214"/>
        <item x="119"/>
        <item x="202"/>
        <item x="160"/>
        <item x="76"/>
        <item x="127"/>
        <item x="44"/>
        <item x="143"/>
        <item x="88"/>
        <item x="278"/>
        <item x="242"/>
        <item x="318"/>
        <item x="96"/>
        <item x="261"/>
        <item x="265"/>
        <item x="83"/>
        <item x="129"/>
        <item x="113"/>
        <item x="131"/>
        <item x="217"/>
        <item x="169"/>
        <item x="15"/>
        <item x="302"/>
        <item x="296"/>
        <item x="163"/>
        <item x="85"/>
        <item x="134"/>
        <item x="145"/>
        <item x="138"/>
        <item x="6"/>
        <item x="316"/>
        <item x="184"/>
        <item x="135"/>
        <item x="54"/>
        <item x="18"/>
        <item x="300"/>
        <item x="236"/>
        <item x="34"/>
        <item x="99"/>
        <item x="19"/>
        <item x="152"/>
        <item x="141"/>
        <item x="10"/>
        <item x="153"/>
        <item x="191"/>
        <item x="353"/>
        <item x="45"/>
        <item x="361"/>
        <item x="55"/>
        <item x="225"/>
        <item x="51"/>
        <item x="112"/>
        <item x="246"/>
        <item x="364"/>
        <item x="14"/>
        <item x="133"/>
        <item x="155"/>
        <item x="168"/>
        <item x="320"/>
        <item x="294"/>
        <item x="178"/>
        <item x="21"/>
        <item x="319"/>
        <item x="172"/>
        <item x="159"/>
        <item x="279"/>
        <item x="359"/>
        <item x="309"/>
        <item x="170"/>
        <item x="115"/>
        <item x="27"/>
        <item x="69"/>
        <item x="93"/>
        <item x="43"/>
        <item x="247"/>
        <item x="276"/>
        <item x="174"/>
        <item x="240"/>
        <item x="260"/>
        <item x="288"/>
        <item x="11"/>
        <item x="327"/>
        <item x="52"/>
        <item x="107"/>
        <item x="233"/>
        <item x="354"/>
        <item x="47"/>
        <item x="123"/>
        <item x="48"/>
        <item x="297"/>
        <item x="237"/>
        <item x="110"/>
        <item x="103"/>
        <item x="274"/>
        <item x="106"/>
        <item x="195"/>
        <item x="298"/>
        <item x="171"/>
        <item x="182"/>
        <item x="266"/>
        <item x="239"/>
        <item x="192"/>
        <item x="22"/>
        <item x="245"/>
        <item x="77"/>
        <item x="317"/>
        <item x="38"/>
        <item x="358"/>
        <item x="3"/>
        <item x="271"/>
        <item x="58"/>
        <item x="190"/>
        <item x="235"/>
        <item x="256"/>
        <item x="221"/>
        <item x="249"/>
        <item x="124"/>
        <item x="16"/>
        <item x="259"/>
        <item x="204"/>
        <item x="334"/>
        <item x="269"/>
        <item x="157"/>
        <item x="283"/>
        <item x="287"/>
        <item x="328"/>
        <item x="130"/>
        <item x="70"/>
        <item x="337"/>
        <item x="252"/>
        <item x="355"/>
        <item x="188"/>
        <item x="343"/>
        <item x="330"/>
        <item x="104"/>
        <item x="215"/>
        <item x="24"/>
        <item x="275"/>
        <item x="196"/>
        <item x="179"/>
        <item x="345"/>
        <item x="230"/>
        <item x="53"/>
        <item x="356"/>
        <item x="1"/>
        <item x="128"/>
        <item x="136"/>
        <item x="193"/>
        <item x="108"/>
        <item x="176"/>
        <item x="98"/>
        <item x="350"/>
        <item x="186"/>
        <item x="89"/>
        <item x="238"/>
        <item x="149"/>
        <item x="166"/>
        <item x="140"/>
        <item x="146"/>
        <item x="165"/>
        <item x="228"/>
        <item x="209"/>
        <item x="5"/>
        <item x="111"/>
        <item x="284"/>
        <item x="42"/>
        <item x="31"/>
        <item x="12"/>
        <item x="75"/>
        <item x="336"/>
        <item x="322"/>
        <item x="263"/>
        <item x="116"/>
        <item x="362"/>
        <item x="344"/>
        <item x="234"/>
        <item x="105"/>
        <item x="72"/>
        <item x="197"/>
        <item x="348"/>
        <item x="181"/>
        <item x="257"/>
        <item x="82"/>
        <item x="109"/>
        <item x="117"/>
        <item x="216"/>
        <item x="137"/>
        <item x="292"/>
        <item x="335"/>
        <item x="56"/>
        <item x="338"/>
        <item x="71"/>
        <item x="232"/>
        <item x="351"/>
        <item x="211"/>
        <item x="205"/>
        <item x="139"/>
        <item x="303"/>
        <item x="97"/>
        <item x="80"/>
        <item x="315"/>
        <item x="248"/>
        <item x="173"/>
        <item x="223"/>
        <item x="241"/>
        <item x="120"/>
        <item x="148"/>
        <item x="84"/>
        <item x="180"/>
        <item x="17"/>
        <item x="273"/>
        <item x="162"/>
        <item x="220"/>
        <item x="267"/>
        <item x="213"/>
        <item x="340"/>
        <item x="311"/>
        <item x="13"/>
        <item x="250"/>
        <item x="9"/>
        <item x="219"/>
        <item x="189"/>
        <item x="20"/>
        <item x="28"/>
        <item x="218"/>
        <item x="305"/>
        <item x="262"/>
        <item x="121"/>
        <item x="357"/>
        <item x="64"/>
        <item x="92"/>
        <item x="126"/>
        <item x="95"/>
        <item x="342"/>
        <item x="326"/>
        <item x="8"/>
        <item x="142"/>
        <item x="312"/>
        <item x="30"/>
        <item x="208"/>
        <item x="268"/>
        <item x="132"/>
        <item x="277"/>
        <item x="367"/>
        <item t="default"/>
      </items>
    </pivotField>
  </pivotFields>
  <rowFields count="1">
    <field x="4"/>
  </rowFields>
  <rowItems count="9">
    <i>
      <x/>
    </i>
    <i>
      <x v="1"/>
    </i>
    <i>
      <x v="2"/>
    </i>
    <i>
      <x v="3"/>
    </i>
    <i>
      <x v="4"/>
    </i>
    <i>
      <x v="5"/>
    </i>
    <i>
      <x v="6"/>
    </i>
    <i>
      <x v="7"/>
    </i>
    <i t="grand">
      <x/>
    </i>
  </rowItems>
  <colItems count="1">
    <i/>
  </colItems>
  <dataFields count="1">
    <dataField name="Count of Employee ID" fld="0" subtotal="count" baseField="4"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3A7C8F-B3BD-4811-B572-F4CD47F903F1}" name="PivotTable4"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Job Title">
  <location ref="H3:I27" firstHeaderRow="1" firstDataRow="1" firstDataCol="1"/>
  <pivotFields count="17">
    <pivotField showAll="0"/>
    <pivotField showAll="0"/>
    <pivotField showAll="0">
      <items count="3">
        <item x="0"/>
        <item x="1"/>
        <item t="default"/>
      </items>
    </pivotField>
    <pivotField showAll="0"/>
    <pivotField showAll="0">
      <items count="9">
        <item x="6"/>
        <item x="2"/>
        <item x="5"/>
        <item x="1"/>
        <item x="3"/>
        <item x="4"/>
        <item x="7"/>
        <item x="0"/>
        <item t="default"/>
      </items>
    </pivotField>
    <pivotField axis="axisRow" showAll="0">
      <items count="24">
        <item x="10"/>
        <item x="8"/>
        <item x="15"/>
        <item x="7"/>
        <item x="19"/>
        <item x="22"/>
        <item x="21"/>
        <item x="2"/>
        <item x="5"/>
        <item x="16"/>
        <item x="13"/>
        <item x="6"/>
        <item x="18"/>
        <item x="14"/>
        <item x="17"/>
        <item x="1"/>
        <item x="0"/>
        <item x="20"/>
        <item x="3"/>
        <item x="11"/>
        <item x="12"/>
        <item x="9"/>
        <item x="4"/>
        <item t="default"/>
      </items>
    </pivotField>
    <pivotField showAll="0"/>
    <pivotField showAll="0"/>
    <pivotField showAll="0">
      <items count="735">
        <item m="1" x="426"/>
        <item m="1" x="637"/>
        <item m="1" x="523"/>
        <item m="1" x="658"/>
        <item m="1" x="461"/>
        <item m="1" x="656"/>
        <item m="1" x="468"/>
        <item m="1" x="708"/>
        <item m="1" x="400"/>
        <item m="1" x="445"/>
        <item m="1" x="620"/>
        <item m="1" x="550"/>
        <item m="1" x="511"/>
        <item m="1" x="621"/>
        <item m="1" x="714"/>
        <item m="1" x="369"/>
        <item m="1" x="591"/>
        <item m="1" x="432"/>
        <item m="1" x="552"/>
        <item m="1" x="639"/>
        <item m="1" x="699"/>
        <item m="1" x="700"/>
        <item m="1" x="713"/>
        <item m="1" x="567"/>
        <item m="1" x="485"/>
        <item m="1" x="457"/>
        <item m="1" x="544"/>
        <item m="1" x="435"/>
        <item m="1" x="579"/>
        <item m="1" x="598"/>
        <item m="1" x="716"/>
        <item m="1" x="458"/>
        <item m="1" x="428"/>
        <item m="1" x="611"/>
        <item m="1" x="403"/>
        <item m="1" x="688"/>
        <item m="1" x="596"/>
        <item m="1" x="416"/>
        <item m="1" x="561"/>
        <item m="1" x="427"/>
        <item m="1" x="489"/>
        <item m="1" x="413"/>
        <item m="1" x="631"/>
        <item m="1" x="565"/>
        <item m="1" x="440"/>
        <item m="1" x="657"/>
        <item m="1" x="625"/>
        <item m="1" x="570"/>
        <item m="1" x="680"/>
        <item m="1" x="371"/>
        <item m="1" x="618"/>
        <item m="1" x="719"/>
        <item m="1" x="404"/>
        <item m="1" x="433"/>
        <item m="1" x="593"/>
        <item m="1" x="690"/>
        <item m="1" x="402"/>
        <item m="1" x="648"/>
        <item m="1" x="399"/>
        <item m="1" x="594"/>
        <item m="1" x="691"/>
        <item m="1" x="408"/>
        <item m="1" x="733"/>
        <item m="1" x="469"/>
        <item m="1" x="481"/>
        <item m="1" x="730"/>
        <item m="1" x="528"/>
        <item m="1" x="589"/>
        <item m="1" x="666"/>
        <item m="1" x="441"/>
        <item m="1" x="521"/>
        <item m="1" x="514"/>
        <item m="1" x="696"/>
        <item m="1" x="390"/>
        <item m="1" x="660"/>
        <item m="1" x="573"/>
        <item m="1" x="674"/>
        <item m="1" x="448"/>
        <item m="1" x="652"/>
        <item m="1" x="467"/>
        <item m="1" x="453"/>
        <item m="1" x="649"/>
        <item m="1" x="727"/>
        <item m="1" x="518"/>
        <item m="1" x="374"/>
        <item m="1" x="434"/>
        <item m="1" x="525"/>
        <item m="1" x="698"/>
        <item m="1" x="446"/>
        <item m="1" x="542"/>
        <item m="1" x="681"/>
        <item m="1" x="534"/>
        <item m="1" x="430"/>
        <item m="1" x="568"/>
        <item m="1" x="647"/>
        <item m="1" x="574"/>
        <item m="1" x="424"/>
        <item m="1" x="392"/>
        <item m="1" x="406"/>
        <item m="1" x="671"/>
        <item m="1" x="554"/>
        <item m="1" x="517"/>
        <item m="1" x="610"/>
        <item m="1" x="668"/>
        <item m="1" x="675"/>
        <item m="1" x="407"/>
        <item m="1" x="706"/>
        <item m="1" x="492"/>
        <item m="1" x="531"/>
        <item m="1" x="429"/>
        <item m="1" x="417"/>
        <item m="1" x="367"/>
        <item m="1" x="622"/>
        <item m="1" x="662"/>
        <item m="1" x="396"/>
        <item m="1" x="732"/>
        <item m="1" x="566"/>
        <item m="1" x="677"/>
        <item m="1" x="653"/>
        <item m="1" x="692"/>
        <item m="1" x="673"/>
        <item m="1" x="454"/>
        <item m="1" x="577"/>
        <item m="1" x="393"/>
        <item m="1" x="581"/>
        <item m="1" x="486"/>
        <item m="1" x="569"/>
        <item m="1" x="527"/>
        <item m="1" x="443"/>
        <item m="1" x="494"/>
        <item m="1" x="411"/>
        <item m="1" x="510"/>
        <item m="1" x="455"/>
        <item m="1" x="645"/>
        <item m="1" x="609"/>
        <item m="1" x="685"/>
        <item m="1" x="463"/>
        <item m="1" x="628"/>
        <item m="1" x="632"/>
        <item m="1" x="450"/>
        <item m="1" x="496"/>
        <item m="1" x="480"/>
        <item m="1" x="498"/>
        <item m="1" x="584"/>
        <item m="1" x="536"/>
        <item m="1" x="382"/>
        <item m="1" x="669"/>
        <item m="1" x="663"/>
        <item m="1" x="530"/>
        <item m="1" x="452"/>
        <item m="1" x="501"/>
        <item m="1" x="512"/>
        <item m="1" x="505"/>
        <item m="1" x="373"/>
        <item m="1" x="683"/>
        <item m="1" x="551"/>
        <item m="1" x="502"/>
        <item m="1" x="421"/>
        <item m="1" x="385"/>
        <item m="1" x="667"/>
        <item m="1" x="603"/>
        <item m="1" x="401"/>
        <item m="1" x="466"/>
        <item m="1" x="386"/>
        <item m="1" x="519"/>
        <item m="1" x="508"/>
        <item m="1" x="377"/>
        <item m="1" x="520"/>
        <item m="1" x="558"/>
        <item m="1" x="720"/>
        <item m="1" x="412"/>
        <item m="1" x="728"/>
        <item m="1" x="422"/>
        <item m="1" x="592"/>
        <item m="1" x="418"/>
        <item m="1" x="479"/>
        <item m="1" x="613"/>
        <item m="1" x="731"/>
        <item m="1" x="381"/>
        <item m="1" x="500"/>
        <item m="1" x="522"/>
        <item m="1" x="535"/>
        <item m="1" x="687"/>
        <item m="1" x="661"/>
        <item m="1" x="545"/>
        <item m="1" x="388"/>
        <item m="1" x="686"/>
        <item m="1" x="539"/>
        <item m="1" x="526"/>
        <item m="1" x="646"/>
        <item m="1" x="726"/>
        <item m="1" x="676"/>
        <item m="1" x="537"/>
        <item m="1" x="482"/>
        <item m="1" x="394"/>
        <item m="1" x="436"/>
        <item m="1" x="460"/>
        <item m="1" x="410"/>
        <item m="1" x="614"/>
        <item m="1" x="643"/>
        <item m="1" x="541"/>
        <item m="1" x="607"/>
        <item m="1" x="627"/>
        <item m="1" x="655"/>
        <item m="1" x="378"/>
        <item m="1" x="694"/>
        <item m="1" x="419"/>
        <item m="1" x="474"/>
        <item m="1" x="600"/>
        <item m="1" x="721"/>
        <item m="1" x="414"/>
        <item m="1" x="490"/>
        <item m="1" x="415"/>
        <item m="1" x="664"/>
        <item m="1" x="604"/>
        <item m="1" x="477"/>
        <item m="1" x="470"/>
        <item m="1" x="641"/>
        <item m="1" x="473"/>
        <item m="1" x="562"/>
        <item m="1" x="665"/>
        <item m="1" x="538"/>
        <item m="1" x="549"/>
        <item m="1" x="633"/>
        <item m="1" x="606"/>
        <item m="1" x="559"/>
        <item m="1" x="389"/>
        <item m="1" x="612"/>
        <item m="1" x="444"/>
        <item m="1" x="684"/>
        <item m="1" x="405"/>
        <item m="1" x="725"/>
        <item m="1" x="370"/>
        <item m="1" x="638"/>
        <item m="1" x="425"/>
        <item m="1" x="557"/>
        <item m="1" x="602"/>
        <item m="1" x="623"/>
        <item m="1" x="588"/>
        <item m="1" x="616"/>
        <item m="1" x="491"/>
        <item m="1" x="383"/>
        <item m="1" x="626"/>
        <item m="1" x="571"/>
        <item m="1" x="701"/>
        <item m="1" x="636"/>
        <item m="1" x="524"/>
        <item m="1" x="650"/>
        <item m="1" x="654"/>
        <item m="1" x="695"/>
        <item m="1" x="497"/>
        <item m="1" x="437"/>
        <item m="1" x="704"/>
        <item m="1" x="619"/>
        <item m="1" x="722"/>
        <item m="1" x="555"/>
        <item m="1" x="710"/>
        <item m="1" x="697"/>
        <item m="1" x="471"/>
        <item m="1" x="582"/>
        <item m="1" x="391"/>
        <item m="1" x="642"/>
        <item m="1" x="563"/>
        <item m="1" x="546"/>
        <item m="1" x="712"/>
        <item m="1" x="597"/>
        <item m="1" x="420"/>
        <item m="1" x="723"/>
        <item m="1" x="368"/>
        <item m="1" x="495"/>
        <item m="1" x="503"/>
        <item m="1" x="560"/>
        <item m="1" x="475"/>
        <item m="1" x="543"/>
        <item m="1" x="465"/>
        <item m="1" x="717"/>
        <item m="1" x="553"/>
        <item m="1" x="456"/>
        <item m="1" x="605"/>
        <item m="1" x="516"/>
        <item m="1" x="533"/>
        <item m="1" x="507"/>
        <item m="1" x="513"/>
        <item m="1" x="532"/>
        <item m="1" x="595"/>
        <item m="1" x="576"/>
        <item m="1" x="372"/>
        <item m="1" x="478"/>
        <item m="1" x="651"/>
        <item m="1" x="409"/>
        <item m="1" x="398"/>
        <item m="1" x="379"/>
        <item m="1" x="442"/>
        <item m="1" x="703"/>
        <item m="1" x="689"/>
        <item m="1" x="630"/>
        <item m="1" x="483"/>
        <item m="1" x="729"/>
        <item m="1" x="711"/>
        <item m="1" x="601"/>
        <item m="1" x="472"/>
        <item m="1" x="439"/>
        <item m="1" x="564"/>
        <item m="1" x="715"/>
        <item m="1" x="548"/>
        <item m="1" x="624"/>
        <item m="1" x="449"/>
        <item m="1" x="476"/>
        <item m="1" x="484"/>
        <item m="1" x="583"/>
        <item m="1" x="504"/>
        <item m="1" x="659"/>
        <item m="1" x="702"/>
        <item m="1" x="423"/>
        <item m="1" x="705"/>
        <item m="1" x="438"/>
        <item m="1" x="599"/>
        <item m="1" x="718"/>
        <item m="1" x="578"/>
        <item m="1" x="572"/>
        <item m="1" x="506"/>
        <item m="1" x="670"/>
        <item m="1" x="464"/>
        <item m="1" x="447"/>
        <item m="1" x="682"/>
        <item m="1" x="615"/>
        <item m="1" x="540"/>
        <item m="1" x="590"/>
        <item m="1" x="608"/>
        <item m="1" x="487"/>
        <item m="1" x="515"/>
        <item m="1" x="451"/>
        <item m="1" x="547"/>
        <item m="1" x="384"/>
        <item m="1" x="640"/>
        <item m="1" x="529"/>
        <item m="1" x="587"/>
        <item m="1" x="634"/>
        <item m="1" x="580"/>
        <item m="1" x="707"/>
        <item m="1" x="678"/>
        <item m="1" x="380"/>
        <item m="1" x="617"/>
        <item m="1" x="376"/>
        <item m="1" x="586"/>
        <item m="1" x="556"/>
        <item m="1" x="387"/>
        <item m="1" x="395"/>
        <item m="1" x="585"/>
        <item m="1" x="672"/>
        <item m="1" x="629"/>
        <item m="1" x="488"/>
        <item m="1" x="724"/>
        <item m="1" x="431"/>
        <item m="1" x="459"/>
        <item m="1" x="493"/>
        <item m="1" x="462"/>
        <item m="1" x="709"/>
        <item m="1" x="693"/>
        <item m="1" x="375"/>
        <item m="1" x="509"/>
        <item m="1" x="679"/>
        <item m="1" x="397"/>
        <item m="1" x="575"/>
        <item m="1" x="635"/>
        <item m="1" x="499"/>
        <item m="1" x="644"/>
        <item x="78"/>
        <item x="226"/>
        <item x="55"/>
        <item x="319"/>
        <item x="110"/>
        <item x="192"/>
        <item x="186"/>
        <item x="82"/>
        <item x="267"/>
        <item x="156"/>
        <item x="96"/>
        <item x="112"/>
        <item x="247"/>
        <item x="109"/>
        <item x="198"/>
        <item x="134"/>
        <item x="137"/>
        <item x="142"/>
        <item x="94"/>
        <item x="10"/>
        <item x="133"/>
        <item x="13"/>
        <item x="63"/>
        <item x="286"/>
        <item x="153"/>
        <item x="356"/>
        <item x="292"/>
        <item x="203"/>
        <item x="324"/>
        <item x="164"/>
        <item x="165"/>
        <item x="201"/>
        <item x="191"/>
        <item x="111"/>
        <item x="120"/>
        <item x="219"/>
        <item x="64"/>
        <item x="331"/>
        <item x="217"/>
        <item x="128"/>
        <item x="2"/>
        <item x="177"/>
        <item x="114"/>
        <item x="44"/>
        <item x="54"/>
        <item x="271"/>
        <item x="72"/>
        <item x="84"/>
        <item x="189"/>
        <item x="49"/>
        <item x="161"/>
        <item x="300"/>
        <item x="27"/>
        <item x="188"/>
        <item x="232"/>
        <item x="180"/>
        <item x="33"/>
        <item x="185"/>
        <item x="39"/>
        <item x="255"/>
        <item x="34"/>
        <item x="332"/>
        <item x="29"/>
        <item x="178"/>
        <item x="11"/>
        <item x="266"/>
        <item x="181"/>
        <item x="211"/>
        <item x="342"/>
        <item x="277"/>
        <item x="253"/>
        <item x="360"/>
        <item x="225"/>
        <item x="103"/>
        <item x="22"/>
        <item x="269"/>
        <item x="275"/>
        <item x="89"/>
        <item x="336"/>
        <item x="151"/>
        <item x="85"/>
        <item x="152"/>
        <item x="308"/>
        <item x="76"/>
        <item x="83"/>
        <item x="340"/>
        <item x="358"/>
        <item x="248"/>
        <item x="262"/>
        <item x="101"/>
        <item x="61"/>
        <item x="325"/>
        <item x="138"/>
        <item x="337"/>
        <item x="41"/>
        <item x="158"/>
        <item x="6"/>
        <item x="228"/>
        <item x="341"/>
        <item x="254"/>
        <item x="366"/>
        <item x="168"/>
        <item x="252"/>
        <item x="284"/>
        <item x="347"/>
        <item x="207"/>
        <item x="184"/>
        <item x="16"/>
        <item x="136"/>
        <item x="224"/>
        <item x="18"/>
        <item x="45"/>
        <item x="126"/>
        <item x="68"/>
        <item x="194"/>
        <item x="175"/>
        <item x="259"/>
        <item x="42"/>
        <item x="197"/>
        <item x="278"/>
        <item x="288"/>
        <item x="171"/>
        <item x="231"/>
        <item x="66"/>
        <item x="365"/>
        <item x="242"/>
        <item x="302"/>
        <item x="43"/>
        <item x="327"/>
        <item x="239"/>
        <item x="215"/>
        <item x="176"/>
        <item x="75"/>
        <item x="205"/>
        <item x="238"/>
        <item x="303"/>
        <item x="28"/>
        <item x="264"/>
        <item x="150"/>
        <item x="172"/>
        <item x="276"/>
        <item x="157"/>
        <item x="117"/>
        <item x="183"/>
        <item x="14"/>
        <item x="317"/>
        <item x="235"/>
        <item x="339"/>
        <item x="159"/>
        <item x="256"/>
        <item x="130"/>
        <item x="249"/>
        <item x="223"/>
        <item x="312"/>
        <item x="313"/>
        <item x="81"/>
        <item x="62"/>
        <item x="129"/>
        <item x="316"/>
        <item x="124"/>
        <item x="1"/>
        <item x="209"/>
        <item x="250"/>
        <item x="251"/>
        <item x="344"/>
        <item x="148"/>
        <item x="37"/>
        <item x="353"/>
        <item x="115"/>
        <item x="229"/>
        <item x="169"/>
        <item x="338"/>
        <item x="60"/>
        <item x="57"/>
        <item x="294"/>
        <item x="69"/>
        <item x="17"/>
        <item x="48"/>
        <item x="330"/>
        <item x="273"/>
        <item x="95"/>
        <item x="333"/>
        <item x="349"/>
        <item x="187"/>
        <item x="199"/>
        <item x="296"/>
        <item x="24"/>
        <item x="59"/>
        <item x="160"/>
        <item x="97"/>
        <item x="213"/>
        <item x="218"/>
        <item x="329"/>
        <item x="243"/>
        <item x="246"/>
        <item x="283"/>
        <item x="166"/>
        <item x="200"/>
        <item x="345"/>
        <item x="289"/>
        <item x="35"/>
        <item x="145"/>
        <item x="221"/>
        <item x="173"/>
        <item x="244"/>
        <item x="227"/>
        <item x="30"/>
        <item x="306"/>
        <item x="195"/>
        <item x="241"/>
        <item x="47"/>
        <item x="335"/>
        <item x="102"/>
        <item x="86"/>
        <item x="210"/>
        <item x="320"/>
        <item x="123"/>
        <item x="92"/>
        <item x="214"/>
        <item x="240"/>
        <item x="143"/>
        <item x="260"/>
        <item x="298"/>
        <item x="304"/>
        <item x="99"/>
        <item x="348"/>
        <item x="202"/>
        <item x="318"/>
        <item x="163"/>
        <item x="237"/>
        <item x="98"/>
        <item x="257"/>
        <item x="162"/>
        <item x="270"/>
        <item x="274"/>
        <item x="245"/>
        <item x="196"/>
        <item x="149"/>
        <item x="23"/>
        <item x="310"/>
        <item x="174"/>
        <item x="118"/>
        <item x="73"/>
        <item x="40"/>
        <item x="38"/>
        <item x="328"/>
        <item x="146"/>
        <item x="322"/>
        <item x="311"/>
        <item x="305"/>
        <item x="7"/>
        <item x="116"/>
        <item x="36"/>
        <item x="67"/>
        <item x="155"/>
        <item x="121"/>
        <item x="208"/>
        <item x="9"/>
        <item x="352"/>
        <item x="100"/>
        <item x="193"/>
        <item x="363"/>
        <item x="58"/>
        <item x="108"/>
        <item x="65"/>
        <item x="222"/>
        <item x="25"/>
        <item x="119"/>
        <item x="236"/>
        <item x="190"/>
        <item x="204"/>
        <item x="343"/>
        <item x="31"/>
        <item x="351"/>
        <item x="268"/>
        <item x="272"/>
        <item x="15"/>
        <item x="93"/>
        <item x="297"/>
        <item x="91"/>
        <item x="154"/>
        <item x="21"/>
        <item x="52"/>
        <item x="334"/>
        <item x="220"/>
        <item x="326"/>
        <item x="51"/>
        <item x="77"/>
        <item x="80"/>
        <item x="293"/>
        <item x="301"/>
        <item x="261"/>
        <item x="364"/>
        <item x="107"/>
        <item x="216"/>
        <item x="315"/>
        <item x="90"/>
        <item x="307"/>
        <item x="314"/>
        <item x="263"/>
        <item x="281"/>
        <item x="279"/>
        <item x="70"/>
        <item x="53"/>
        <item x="258"/>
        <item x="125"/>
        <item x="359"/>
        <item x="233"/>
        <item x="285"/>
        <item x="50"/>
        <item x="170"/>
        <item x="354"/>
        <item x="280"/>
        <item x="131"/>
        <item x="3"/>
        <item x="234"/>
        <item x="56"/>
        <item x="26"/>
        <item x="135"/>
        <item x="105"/>
        <item x="79"/>
        <item x="0"/>
        <item x="355"/>
        <item x="71"/>
        <item x="20"/>
        <item x="122"/>
        <item x="299"/>
        <item x="88"/>
        <item x="361"/>
        <item x="12"/>
        <item x="132"/>
        <item x="212"/>
        <item x="74"/>
        <item x="282"/>
        <item x="295"/>
        <item x="182"/>
        <item x="104"/>
        <item x="46"/>
        <item x="19"/>
        <item x="350"/>
        <item x="139"/>
        <item x="8"/>
        <item x="147"/>
        <item x="291"/>
        <item x="346"/>
        <item x="206"/>
        <item x="265"/>
        <item x="141"/>
        <item x="287"/>
        <item x="179"/>
        <item x="140"/>
        <item x="144"/>
        <item x="323"/>
        <item x="106"/>
        <item x="230"/>
        <item x="290"/>
        <item x="32"/>
        <item x="167"/>
        <item x="127"/>
        <item x="362"/>
        <item x="321"/>
        <item x="309"/>
        <item x="357"/>
        <item x="4"/>
        <item x="87"/>
        <item x="113"/>
        <item x="5"/>
        <item t="default"/>
      </items>
    </pivotField>
    <pivotField showAll="0">
      <items count="3">
        <item x="0"/>
        <item x="1"/>
        <item t="default"/>
      </items>
    </pivotField>
    <pivotField showAll="0"/>
    <pivotField dataField="1" numFmtId="4" showAll="0"/>
    <pivotField showAll="0"/>
    <pivotField showAll="0"/>
    <pivotField showAll="0"/>
    <pivotField showAll="0"/>
    <pivotField showAll="0">
      <items count="369">
        <item x="59"/>
        <item x="270"/>
        <item x="156"/>
        <item x="291"/>
        <item x="94"/>
        <item x="289"/>
        <item x="101"/>
        <item x="341"/>
        <item x="33"/>
        <item x="78"/>
        <item x="253"/>
        <item x="183"/>
        <item x="144"/>
        <item x="254"/>
        <item x="347"/>
        <item x="2"/>
        <item x="224"/>
        <item x="65"/>
        <item x="185"/>
        <item x="272"/>
        <item x="332"/>
        <item x="333"/>
        <item x="346"/>
        <item x="200"/>
        <item x="118"/>
        <item x="90"/>
        <item x="177"/>
        <item x="68"/>
        <item x="212"/>
        <item x="231"/>
        <item x="349"/>
        <item x="91"/>
        <item x="61"/>
        <item x="244"/>
        <item x="36"/>
        <item x="321"/>
        <item x="229"/>
        <item x="49"/>
        <item x="194"/>
        <item x="60"/>
        <item x="122"/>
        <item x="46"/>
        <item x="264"/>
        <item x="198"/>
        <item x="73"/>
        <item x="290"/>
        <item x="258"/>
        <item x="203"/>
        <item x="313"/>
        <item x="4"/>
        <item x="251"/>
        <item x="352"/>
        <item x="37"/>
        <item x="66"/>
        <item x="226"/>
        <item x="323"/>
        <item x="35"/>
        <item x="281"/>
        <item x="32"/>
        <item x="227"/>
        <item x="324"/>
        <item x="41"/>
        <item x="366"/>
        <item x="102"/>
        <item x="114"/>
        <item x="363"/>
        <item x="161"/>
        <item x="222"/>
        <item x="299"/>
        <item x="74"/>
        <item x="154"/>
        <item x="147"/>
        <item x="329"/>
        <item x="23"/>
        <item x="293"/>
        <item x="206"/>
        <item x="307"/>
        <item x="81"/>
        <item x="285"/>
        <item x="100"/>
        <item x="86"/>
        <item x="282"/>
        <item x="360"/>
        <item x="151"/>
        <item x="7"/>
        <item x="67"/>
        <item x="158"/>
        <item x="331"/>
        <item x="79"/>
        <item x="175"/>
        <item x="314"/>
        <item x="167"/>
        <item x="63"/>
        <item x="201"/>
        <item x="280"/>
        <item x="207"/>
        <item x="57"/>
        <item x="25"/>
        <item x="39"/>
        <item x="304"/>
        <item x="187"/>
        <item x="150"/>
        <item x="243"/>
        <item x="301"/>
        <item x="308"/>
        <item x="40"/>
        <item x="339"/>
        <item x="125"/>
        <item x="164"/>
        <item x="62"/>
        <item x="50"/>
        <item x="0"/>
        <item x="255"/>
        <item x="295"/>
        <item x="29"/>
        <item x="365"/>
        <item x="199"/>
        <item x="310"/>
        <item x="286"/>
        <item x="325"/>
        <item x="306"/>
        <item x="87"/>
        <item x="210"/>
        <item x="26"/>
        <item x="214"/>
        <item x="119"/>
        <item x="202"/>
        <item x="160"/>
        <item x="76"/>
        <item x="127"/>
        <item x="44"/>
        <item x="143"/>
        <item x="88"/>
        <item x="278"/>
        <item x="242"/>
        <item x="318"/>
        <item x="96"/>
        <item x="261"/>
        <item x="265"/>
        <item x="83"/>
        <item x="129"/>
        <item x="113"/>
        <item x="131"/>
        <item x="217"/>
        <item x="169"/>
        <item x="15"/>
        <item x="302"/>
        <item x="296"/>
        <item x="163"/>
        <item x="85"/>
        <item x="134"/>
        <item x="145"/>
        <item x="138"/>
        <item x="6"/>
        <item x="316"/>
        <item x="184"/>
        <item x="135"/>
        <item x="54"/>
        <item x="18"/>
        <item x="300"/>
        <item x="236"/>
        <item x="34"/>
        <item x="99"/>
        <item x="19"/>
        <item x="152"/>
        <item x="141"/>
        <item x="10"/>
        <item x="153"/>
        <item x="191"/>
        <item x="353"/>
        <item x="45"/>
        <item x="361"/>
        <item x="55"/>
        <item x="225"/>
        <item x="51"/>
        <item x="112"/>
        <item x="246"/>
        <item x="364"/>
        <item x="14"/>
        <item x="133"/>
        <item x="155"/>
        <item x="168"/>
        <item x="320"/>
        <item x="294"/>
        <item x="178"/>
        <item x="21"/>
        <item x="319"/>
        <item x="172"/>
        <item x="159"/>
        <item x="279"/>
        <item x="359"/>
        <item x="309"/>
        <item x="170"/>
        <item x="115"/>
        <item x="27"/>
        <item x="69"/>
        <item x="93"/>
        <item x="43"/>
        <item x="247"/>
        <item x="276"/>
        <item x="174"/>
        <item x="240"/>
        <item x="260"/>
        <item x="288"/>
        <item x="11"/>
        <item x="327"/>
        <item x="52"/>
        <item x="107"/>
        <item x="233"/>
        <item x="354"/>
        <item x="47"/>
        <item x="123"/>
        <item x="48"/>
        <item x="297"/>
        <item x="237"/>
        <item x="110"/>
        <item x="103"/>
        <item x="274"/>
        <item x="106"/>
        <item x="195"/>
        <item x="298"/>
        <item x="171"/>
        <item x="182"/>
        <item x="266"/>
        <item x="239"/>
        <item x="192"/>
        <item x="22"/>
        <item x="245"/>
        <item x="77"/>
        <item x="317"/>
        <item x="38"/>
        <item x="358"/>
        <item x="3"/>
        <item x="271"/>
        <item x="58"/>
        <item x="190"/>
        <item x="235"/>
        <item x="256"/>
        <item x="221"/>
        <item x="249"/>
        <item x="124"/>
        <item x="16"/>
        <item x="259"/>
        <item x="204"/>
        <item x="334"/>
        <item x="269"/>
        <item x="157"/>
        <item x="283"/>
        <item x="287"/>
        <item x="328"/>
        <item x="130"/>
        <item x="70"/>
        <item x="337"/>
        <item x="252"/>
        <item x="355"/>
        <item x="188"/>
        <item x="343"/>
        <item x="330"/>
        <item x="104"/>
        <item x="215"/>
        <item x="24"/>
        <item x="275"/>
        <item x="196"/>
        <item x="179"/>
        <item x="345"/>
        <item x="230"/>
        <item x="53"/>
        <item x="356"/>
        <item x="1"/>
        <item x="128"/>
        <item x="136"/>
        <item x="193"/>
        <item x="108"/>
        <item x="176"/>
        <item x="98"/>
        <item x="350"/>
        <item x="186"/>
        <item x="89"/>
        <item x="238"/>
        <item x="149"/>
        <item x="166"/>
        <item x="140"/>
        <item x="146"/>
        <item x="165"/>
        <item x="228"/>
        <item x="209"/>
        <item x="5"/>
        <item x="111"/>
        <item x="284"/>
        <item x="42"/>
        <item x="31"/>
        <item x="12"/>
        <item x="75"/>
        <item x="336"/>
        <item x="322"/>
        <item x="263"/>
        <item x="116"/>
        <item x="362"/>
        <item x="344"/>
        <item x="234"/>
        <item x="105"/>
        <item x="72"/>
        <item x="197"/>
        <item x="348"/>
        <item x="181"/>
        <item x="257"/>
        <item x="82"/>
        <item x="109"/>
        <item x="117"/>
        <item x="216"/>
        <item x="137"/>
        <item x="292"/>
        <item x="335"/>
        <item x="56"/>
        <item x="338"/>
        <item x="71"/>
        <item x="232"/>
        <item x="351"/>
        <item x="211"/>
        <item x="205"/>
        <item x="139"/>
        <item x="303"/>
        <item x="97"/>
        <item x="80"/>
        <item x="315"/>
        <item x="248"/>
        <item x="173"/>
        <item x="223"/>
        <item x="241"/>
        <item x="120"/>
        <item x="148"/>
        <item x="84"/>
        <item x="180"/>
        <item x="17"/>
        <item x="273"/>
        <item x="162"/>
        <item x="220"/>
        <item x="267"/>
        <item x="213"/>
        <item x="340"/>
        <item x="311"/>
        <item x="13"/>
        <item x="250"/>
        <item x="9"/>
        <item x="219"/>
        <item x="189"/>
        <item x="20"/>
        <item x="28"/>
        <item x="218"/>
        <item x="305"/>
        <item x="262"/>
        <item x="121"/>
        <item x="357"/>
        <item x="64"/>
        <item x="92"/>
        <item x="126"/>
        <item x="95"/>
        <item x="342"/>
        <item x="326"/>
        <item x="8"/>
        <item x="142"/>
        <item x="312"/>
        <item x="30"/>
        <item x="208"/>
        <item x="268"/>
        <item x="132"/>
        <item x="277"/>
        <item x="367"/>
        <item t="default"/>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Average of Salary" fld="11" subtotal="average" baseField="4" baseItem="0" numFmtId="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C1CD5A-19C4-455D-9E37-4867D654DC54}"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der">
  <location ref="E9:F12" firstHeaderRow="1" firstDataRow="1" firstDataCol="1"/>
  <pivotFields count="17">
    <pivotField dataField="1" showAll="0"/>
    <pivotField showAll="0"/>
    <pivotField axis="axisRow" showAll="0">
      <items count="3">
        <item x="0"/>
        <item x="1"/>
        <item t="default"/>
      </items>
    </pivotField>
    <pivotField showAll="0"/>
    <pivotField showAll="0">
      <items count="9">
        <item x="6"/>
        <item x="2"/>
        <item x="5"/>
        <item x="1"/>
        <item x="3"/>
        <item x="4"/>
        <item x="7"/>
        <item x="0"/>
        <item t="default"/>
      </items>
    </pivotField>
    <pivotField showAll="0"/>
    <pivotField showAll="0"/>
    <pivotField showAll="0"/>
    <pivotField showAll="0">
      <items count="735">
        <item m="1" x="426"/>
        <item m="1" x="637"/>
        <item m="1" x="523"/>
        <item m="1" x="658"/>
        <item m="1" x="461"/>
        <item m="1" x="656"/>
        <item m="1" x="468"/>
        <item m="1" x="708"/>
        <item m="1" x="400"/>
        <item m="1" x="445"/>
        <item m="1" x="620"/>
        <item m="1" x="550"/>
        <item m="1" x="511"/>
        <item m="1" x="621"/>
        <item m="1" x="714"/>
        <item m="1" x="369"/>
        <item m="1" x="591"/>
        <item m="1" x="432"/>
        <item m="1" x="552"/>
        <item m="1" x="639"/>
        <item m="1" x="699"/>
        <item m="1" x="700"/>
        <item m="1" x="713"/>
        <item m="1" x="567"/>
        <item m="1" x="485"/>
        <item m="1" x="457"/>
        <item m="1" x="544"/>
        <item m="1" x="435"/>
        <item m="1" x="579"/>
        <item m="1" x="598"/>
        <item m="1" x="716"/>
        <item m="1" x="458"/>
        <item m="1" x="428"/>
        <item m="1" x="611"/>
        <item m="1" x="403"/>
        <item m="1" x="688"/>
        <item m="1" x="596"/>
        <item m="1" x="416"/>
        <item m="1" x="561"/>
        <item m="1" x="427"/>
        <item m="1" x="489"/>
        <item m="1" x="413"/>
        <item m="1" x="631"/>
        <item m="1" x="565"/>
        <item m="1" x="440"/>
        <item m="1" x="657"/>
        <item m="1" x="625"/>
        <item m="1" x="570"/>
        <item m="1" x="680"/>
        <item m="1" x="371"/>
        <item m="1" x="618"/>
        <item m="1" x="719"/>
        <item m="1" x="404"/>
        <item m="1" x="433"/>
        <item m="1" x="593"/>
        <item m="1" x="690"/>
        <item m="1" x="402"/>
        <item m="1" x="648"/>
        <item m="1" x="399"/>
        <item m="1" x="594"/>
        <item m="1" x="691"/>
        <item m="1" x="408"/>
        <item m="1" x="733"/>
        <item m="1" x="469"/>
        <item m="1" x="481"/>
        <item m="1" x="730"/>
        <item m="1" x="528"/>
        <item m="1" x="589"/>
        <item m="1" x="666"/>
        <item m="1" x="441"/>
        <item m="1" x="521"/>
        <item m="1" x="514"/>
        <item m="1" x="696"/>
        <item m="1" x="390"/>
        <item m="1" x="660"/>
        <item m="1" x="573"/>
        <item m="1" x="674"/>
        <item m="1" x="448"/>
        <item m="1" x="652"/>
        <item m="1" x="467"/>
        <item m="1" x="453"/>
        <item m="1" x="649"/>
        <item m="1" x="727"/>
        <item m="1" x="518"/>
        <item m="1" x="374"/>
        <item m="1" x="434"/>
        <item m="1" x="525"/>
        <item m="1" x="698"/>
        <item m="1" x="446"/>
        <item m="1" x="542"/>
        <item m="1" x="681"/>
        <item m="1" x="534"/>
        <item m="1" x="430"/>
        <item m="1" x="568"/>
        <item m="1" x="647"/>
        <item m="1" x="574"/>
        <item m="1" x="424"/>
        <item m="1" x="392"/>
        <item m="1" x="406"/>
        <item m="1" x="671"/>
        <item m="1" x="554"/>
        <item m="1" x="517"/>
        <item m="1" x="610"/>
        <item m="1" x="668"/>
        <item m="1" x="675"/>
        <item m="1" x="407"/>
        <item m="1" x="706"/>
        <item m="1" x="492"/>
        <item m="1" x="531"/>
        <item m="1" x="429"/>
        <item m="1" x="417"/>
        <item m="1" x="367"/>
        <item m="1" x="622"/>
        <item m="1" x="662"/>
        <item m="1" x="396"/>
        <item m="1" x="732"/>
        <item m="1" x="566"/>
        <item m="1" x="677"/>
        <item m="1" x="653"/>
        <item m="1" x="692"/>
        <item m="1" x="673"/>
        <item m="1" x="454"/>
        <item m="1" x="577"/>
        <item m="1" x="393"/>
        <item m="1" x="581"/>
        <item m="1" x="486"/>
        <item m="1" x="569"/>
        <item m="1" x="527"/>
        <item m="1" x="443"/>
        <item m="1" x="494"/>
        <item m="1" x="411"/>
        <item m="1" x="510"/>
        <item m="1" x="455"/>
        <item m="1" x="645"/>
        <item m="1" x="609"/>
        <item m="1" x="685"/>
        <item m="1" x="463"/>
        <item m="1" x="628"/>
        <item m="1" x="632"/>
        <item m="1" x="450"/>
        <item m="1" x="496"/>
        <item m="1" x="480"/>
        <item m="1" x="498"/>
        <item m="1" x="584"/>
        <item m="1" x="536"/>
        <item m="1" x="382"/>
        <item m="1" x="669"/>
        <item m="1" x="663"/>
        <item m="1" x="530"/>
        <item m="1" x="452"/>
        <item m="1" x="501"/>
        <item m="1" x="512"/>
        <item m="1" x="505"/>
        <item m="1" x="373"/>
        <item m="1" x="683"/>
        <item m="1" x="551"/>
        <item m="1" x="502"/>
        <item m="1" x="421"/>
        <item m="1" x="385"/>
        <item m="1" x="667"/>
        <item m="1" x="603"/>
        <item m="1" x="401"/>
        <item m="1" x="466"/>
        <item m="1" x="386"/>
        <item m="1" x="519"/>
        <item m="1" x="508"/>
        <item m="1" x="377"/>
        <item m="1" x="520"/>
        <item m="1" x="558"/>
        <item m="1" x="720"/>
        <item m="1" x="412"/>
        <item m="1" x="728"/>
        <item m="1" x="422"/>
        <item m="1" x="592"/>
        <item m="1" x="418"/>
        <item m="1" x="479"/>
        <item m="1" x="613"/>
        <item m="1" x="731"/>
        <item m="1" x="381"/>
        <item m="1" x="500"/>
        <item m="1" x="522"/>
        <item m="1" x="535"/>
        <item m="1" x="687"/>
        <item m="1" x="661"/>
        <item m="1" x="545"/>
        <item m="1" x="388"/>
        <item m="1" x="686"/>
        <item m="1" x="539"/>
        <item m="1" x="526"/>
        <item m="1" x="646"/>
        <item m="1" x="726"/>
        <item m="1" x="676"/>
        <item m="1" x="537"/>
        <item m="1" x="482"/>
        <item m="1" x="394"/>
        <item m="1" x="436"/>
        <item m="1" x="460"/>
        <item m="1" x="410"/>
        <item m="1" x="614"/>
        <item m="1" x="643"/>
        <item m="1" x="541"/>
        <item m="1" x="607"/>
        <item m="1" x="627"/>
        <item m="1" x="655"/>
        <item m="1" x="378"/>
        <item m="1" x="694"/>
        <item m="1" x="419"/>
        <item m="1" x="474"/>
        <item m="1" x="600"/>
        <item m="1" x="721"/>
        <item m="1" x="414"/>
        <item m="1" x="490"/>
        <item m="1" x="415"/>
        <item m="1" x="664"/>
        <item m="1" x="604"/>
        <item m="1" x="477"/>
        <item m="1" x="470"/>
        <item m="1" x="641"/>
        <item m="1" x="473"/>
        <item m="1" x="562"/>
        <item m="1" x="665"/>
        <item m="1" x="538"/>
        <item m="1" x="549"/>
        <item m="1" x="633"/>
        <item m="1" x="606"/>
        <item m="1" x="559"/>
        <item m="1" x="389"/>
        <item m="1" x="612"/>
        <item m="1" x="444"/>
        <item m="1" x="684"/>
        <item m="1" x="405"/>
        <item m="1" x="725"/>
        <item m="1" x="370"/>
        <item m="1" x="638"/>
        <item m="1" x="425"/>
        <item m="1" x="557"/>
        <item m="1" x="602"/>
        <item m="1" x="623"/>
        <item m="1" x="588"/>
        <item m="1" x="616"/>
        <item m="1" x="491"/>
        <item m="1" x="383"/>
        <item m="1" x="626"/>
        <item m="1" x="571"/>
        <item m="1" x="701"/>
        <item m="1" x="636"/>
        <item m="1" x="524"/>
        <item m="1" x="650"/>
        <item m="1" x="654"/>
        <item m="1" x="695"/>
        <item m="1" x="497"/>
        <item m="1" x="437"/>
        <item m="1" x="704"/>
        <item m="1" x="619"/>
        <item m="1" x="722"/>
        <item m="1" x="555"/>
        <item m="1" x="710"/>
        <item m="1" x="697"/>
        <item m="1" x="471"/>
        <item m="1" x="582"/>
        <item m="1" x="391"/>
        <item m="1" x="642"/>
        <item m="1" x="563"/>
        <item m="1" x="546"/>
        <item m="1" x="712"/>
        <item m="1" x="597"/>
        <item m="1" x="420"/>
        <item m="1" x="723"/>
        <item m="1" x="368"/>
        <item m="1" x="495"/>
        <item m="1" x="503"/>
        <item m="1" x="560"/>
        <item m="1" x="475"/>
        <item m="1" x="543"/>
        <item m="1" x="465"/>
        <item m="1" x="717"/>
        <item m="1" x="553"/>
        <item m="1" x="456"/>
        <item m="1" x="605"/>
        <item m="1" x="516"/>
        <item m="1" x="533"/>
        <item m="1" x="507"/>
        <item m="1" x="513"/>
        <item m="1" x="532"/>
        <item m="1" x="595"/>
        <item m="1" x="576"/>
        <item m="1" x="372"/>
        <item m="1" x="478"/>
        <item m="1" x="651"/>
        <item m="1" x="409"/>
        <item m="1" x="398"/>
        <item m="1" x="379"/>
        <item m="1" x="442"/>
        <item m="1" x="703"/>
        <item m="1" x="689"/>
        <item m="1" x="630"/>
        <item m="1" x="483"/>
        <item m="1" x="729"/>
        <item m="1" x="711"/>
        <item m="1" x="601"/>
        <item m="1" x="472"/>
        <item m="1" x="439"/>
        <item m="1" x="564"/>
        <item m="1" x="715"/>
        <item m="1" x="548"/>
        <item m="1" x="624"/>
        <item m="1" x="449"/>
        <item m="1" x="476"/>
        <item m="1" x="484"/>
        <item m="1" x="583"/>
        <item m="1" x="504"/>
        <item m="1" x="659"/>
        <item m="1" x="702"/>
        <item m="1" x="423"/>
        <item m="1" x="705"/>
        <item m="1" x="438"/>
        <item m="1" x="599"/>
        <item m="1" x="718"/>
        <item m="1" x="578"/>
        <item m="1" x="572"/>
        <item m="1" x="506"/>
        <item m="1" x="670"/>
        <item m="1" x="464"/>
        <item m="1" x="447"/>
        <item m="1" x="682"/>
        <item m="1" x="615"/>
        <item m="1" x="540"/>
        <item m="1" x="590"/>
        <item m="1" x="608"/>
        <item m="1" x="487"/>
        <item m="1" x="515"/>
        <item m="1" x="451"/>
        <item m="1" x="547"/>
        <item m="1" x="384"/>
        <item m="1" x="640"/>
        <item m="1" x="529"/>
        <item m="1" x="587"/>
        <item m="1" x="634"/>
        <item m="1" x="580"/>
        <item m="1" x="707"/>
        <item m="1" x="678"/>
        <item m="1" x="380"/>
        <item m="1" x="617"/>
        <item m="1" x="376"/>
        <item m="1" x="586"/>
        <item m="1" x="556"/>
        <item m="1" x="387"/>
        <item m="1" x="395"/>
        <item m="1" x="585"/>
        <item m="1" x="672"/>
        <item m="1" x="629"/>
        <item m="1" x="488"/>
        <item m="1" x="724"/>
        <item m="1" x="431"/>
        <item m="1" x="459"/>
        <item m="1" x="493"/>
        <item m="1" x="462"/>
        <item m="1" x="709"/>
        <item m="1" x="693"/>
        <item m="1" x="375"/>
        <item m="1" x="509"/>
        <item m="1" x="679"/>
        <item m="1" x="397"/>
        <item m="1" x="575"/>
        <item m="1" x="635"/>
        <item m="1" x="499"/>
        <item m="1" x="644"/>
        <item x="78"/>
        <item x="226"/>
        <item x="55"/>
        <item x="319"/>
        <item x="110"/>
        <item x="192"/>
        <item x="186"/>
        <item x="82"/>
        <item x="267"/>
        <item x="156"/>
        <item x="96"/>
        <item x="112"/>
        <item x="247"/>
        <item x="109"/>
        <item x="198"/>
        <item x="134"/>
        <item x="137"/>
        <item x="142"/>
        <item x="94"/>
        <item x="10"/>
        <item x="133"/>
        <item x="13"/>
        <item x="63"/>
        <item x="286"/>
        <item x="153"/>
        <item x="356"/>
        <item x="292"/>
        <item x="203"/>
        <item x="324"/>
        <item x="164"/>
        <item x="165"/>
        <item x="201"/>
        <item x="191"/>
        <item x="111"/>
        <item x="120"/>
        <item x="219"/>
        <item x="64"/>
        <item x="331"/>
        <item x="217"/>
        <item x="128"/>
        <item x="2"/>
        <item x="177"/>
        <item x="114"/>
        <item x="44"/>
        <item x="54"/>
        <item x="271"/>
        <item x="72"/>
        <item x="84"/>
        <item x="189"/>
        <item x="49"/>
        <item x="161"/>
        <item x="300"/>
        <item x="27"/>
        <item x="188"/>
        <item x="232"/>
        <item x="180"/>
        <item x="33"/>
        <item x="185"/>
        <item x="39"/>
        <item x="255"/>
        <item x="34"/>
        <item x="332"/>
        <item x="29"/>
        <item x="178"/>
        <item x="11"/>
        <item x="266"/>
        <item x="181"/>
        <item x="211"/>
        <item x="342"/>
        <item x="277"/>
        <item x="253"/>
        <item x="360"/>
        <item x="225"/>
        <item x="103"/>
        <item x="22"/>
        <item x="269"/>
        <item x="275"/>
        <item x="89"/>
        <item x="336"/>
        <item x="151"/>
        <item x="85"/>
        <item x="152"/>
        <item x="308"/>
        <item x="76"/>
        <item x="83"/>
        <item x="340"/>
        <item x="358"/>
        <item x="248"/>
        <item x="262"/>
        <item x="101"/>
        <item x="61"/>
        <item x="325"/>
        <item x="138"/>
        <item x="337"/>
        <item x="41"/>
        <item x="158"/>
        <item x="6"/>
        <item x="228"/>
        <item x="341"/>
        <item x="254"/>
        <item x="366"/>
        <item x="168"/>
        <item x="252"/>
        <item x="284"/>
        <item x="347"/>
        <item x="207"/>
        <item x="184"/>
        <item x="16"/>
        <item x="136"/>
        <item x="224"/>
        <item x="18"/>
        <item x="45"/>
        <item x="126"/>
        <item x="68"/>
        <item x="194"/>
        <item x="175"/>
        <item x="259"/>
        <item x="42"/>
        <item x="197"/>
        <item x="278"/>
        <item x="288"/>
        <item x="171"/>
        <item x="231"/>
        <item x="66"/>
        <item x="365"/>
        <item x="242"/>
        <item x="302"/>
        <item x="43"/>
        <item x="327"/>
        <item x="239"/>
        <item x="215"/>
        <item x="176"/>
        <item x="75"/>
        <item x="205"/>
        <item x="238"/>
        <item x="303"/>
        <item x="28"/>
        <item x="264"/>
        <item x="150"/>
        <item x="172"/>
        <item x="276"/>
        <item x="157"/>
        <item x="117"/>
        <item x="183"/>
        <item x="14"/>
        <item x="317"/>
        <item x="235"/>
        <item x="339"/>
        <item x="159"/>
        <item x="256"/>
        <item x="130"/>
        <item x="249"/>
        <item x="223"/>
        <item x="312"/>
        <item x="313"/>
        <item x="81"/>
        <item x="62"/>
        <item x="129"/>
        <item x="316"/>
        <item x="124"/>
        <item x="1"/>
        <item x="209"/>
        <item x="250"/>
        <item x="251"/>
        <item x="344"/>
        <item x="148"/>
        <item x="37"/>
        <item x="353"/>
        <item x="115"/>
        <item x="229"/>
        <item x="169"/>
        <item x="338"/>
        <item x="60"/>
        <item x="57"/>
        <item x="294"/>
        <item x="69"/>
        <item x="17"/>
        <item x="48"/>
        <item x="330"/>
        <item x="273"/>
        <item x="95"/>
        <item x="333"/>
        <item x="349"/>
        <item x="187"/>
        <item x="199"/>
        <item x="296"/>
        <item x="24"/>
        <item x="59"/>
        <item x="160"/>
        <item x="97"/>
        <item x="213"/>
        <item x="218"/>
        <item x="329"/>
        <item x="243"/>
        <item x="246"/>
        <item x="283"/>
        <item x="166"/>
        <item x="200"/>
        <item x="345"/>
        <item x="289"/>
        <item x="35"/>
        <item x="145"/>
        <item x="221"/>
        <item x="173"/>
        <item x="244"/>
        <item x="227"/>
        <item x="30"/>
        <item x="306"/>
        <item x="195"/>
        <item x="241"/>
        <item x="47"/>
        <item x="335"/>
        <item x="102"/>
        <item x="86"/>
        <item x="210"/>
        <item x="320"/>
        <item x="123"/>
        <item x="92"/>
        <item x="214"/>
        <item x="240"/>
        <item x="143"/>
        <item x="260"/>
        <item x="298"/>
        <item x="304"/>
        <item x="99"/>
        <item x="348"/>
        <item x="202"/>
        <item x="318"/>
        <item x="163"/>
        <item x="237"/>
        <item x="98"/>
        <item x="257"/>
        <item x="162"/>
        <item x="270"/>
        <item x="274"/>
        <item x="245"/>
        <item x="196"/>
        <item x="149"/>
        <item x="23"/>
        <item x="310"/>
        <item x="174"/>
        <item x="118"/>
        <item x="73"/>
        <item x="40"/>
        <item x="38"/>
        <item x="328"/>
        <item x="146"/>
        <item x="322"/>
        <item x="311"/>
        <item x="305"/>
        <item x="7"/>
        <item x="116"/>
        <item x="36"/>
        <item x="67"/>
        <item x="155"/>
        <item x="121"/>
        <item x="208"/>
        <item x="9"/>
        <item x="352"/>
        <item x="100"/>
        <item x="193"/>
        <item x="363"/>
        <item x="58"/>
        <item x="108"/>
        <item x="65"/>
        <item x="222"/>
        <item x="25"/>
        <item x="119"/>
        <item x="236"/>
        <item x="190"/>
        <item x="204"/>
        <item x="343"/>
        <item x="31"/>
        <item x="351"/>
        <item x="268"/>
        <item x="272"/>
        <item x="15"/>
        <item x="93"/>
        <item x="297"/>
        <item x="91"/>
        <item x="154"/>
        <item x="21"/>
        <item x="52"/>
        <item x="334"/>
        <item x="220"/>
        <item x="326"/>
        <item x="51"/>
        <item x="77"/>
        <item x="80"/>
        <item x="293"/>
        <item x="301"/>
        <item x="261"/>
        <item x="364"/>
        <item x="107"/>
        <item x="216"/>
        <item x="315"/>
        <item x="90"/>
        <item x="307"/>
        <item x="314"/>
        <item x="263"/>
        <item x="281"/>
        <item x="279"/>
        <item x="70"/>
        <item x="53"/>
        <item x="258"/>
        <item x="125"/>
        <item x="359"/>
        <item x="233"/>
        <item x="285"/>
        <item x="50"/>
        <item x="170"/>
        <item x="354"/>
        <item x="280"/>
        <item x="131"/>
        <item x="3"/>
        <item x="234"/>
        <item x="56"/>
        <item x="26"/>
        <item x="135"/>
        <item x="105"/>
        <item x="79"/>
        <item x="0"/>
        <item x="355"/>
        <item x="71"/>
        <item x="20"/>
        <item x="122"/>
        <item x="299"/>
        <item x="88"/>
        <item x="361"/>
        <item x="12"/>
        <item x="132"/>
        <item x="212"/>
        <item x="74"/>
        <item x="282"/>
        <item x="295"/>
        <item x="182"/>
        <item x="104"/>
        <item x="46"/>
        <item x="19"/>
        <item x="350"/>
        <item x="139"/>
        <item x="8"/>
        <item x="147"/>
        <item x="291"/>
        <item x="346"/>
        <item x="206"/>
        <item x="265"/>
        <item x="141"/>
        <item x="287"/>
        <item x="179"/>
        <item x="140"/>
        <item x="144"/>
        <item x="323"/>
        <item x="106"/>
        <item x="230"/>
        <item x="290"/>
        <item x="32"/>
        <item x="167"/>
        <item x="127"/>
        <item x="362"/>
        <item x="321"/>
        <item x="309"/>
        <item x="357"/>
        <item x="4"/>
        <item x="87"/>
        <item x="113"/>
        <item x="5"/>
        <item t="default"/>
      </items>
    </pivotField>
    <pivotField showAll="0">
      <items count="3">
        <item x="0"/>
        <item x="1"/>
        <item t="default"/>
      </items>
    </pivotField>
    <pivotField showAll="0"/>
    <pivotField numFmtId="4" showAll="0"/>
    <pivotField showAll="0"/>
    <pivotField showAll="0"/>
    <pivotField showAll="0"/>
    <pivotField showAll="0"/>
    <pivotField showAll="0">
      <items count="369">
        <item x="59"/>
        <item x="270"/>
        <item x="156"/>
        <item x="291"/>
        <item x="94"/>
        <item x="289"/>
        <item x="101"/>
        <item x="341"/>
        <item x="33"/>
        <item x="78"/>
        <item x="253"/>
        <item x="183"/>
        <item x="144"/>
        <item x="254"/>
        <item x="347"/>
        <item x="2"/>
        <item x="224"/>
        <item x="65"/>
        <item x="185"/>
        <item x="272"/>
        <item x="332"/>
        <item x="333"/>
        <item x="346"/>
        <item x="200"/>
        <item x="118"/>
        <item x="90"/>
        <item x="177"/>
        <item x="68"/>
        <item x="212"/>
        <item x="231"/>
        <item x="349"/>
        <item x="91"/>
        <item x="61"/>
        <item x="244"/>
        <item x="36"/>
        <item x="321"/>
        <item x="229"/>
        <item x="49"/>
        <item x="194"/>
        <item x="60"/>
        <item x="122"/>
        <item x="46"/>
        <item x="264"/>
        <item x="198"/>
        <item x="73"/>
        <item x="290"/>
        <item x="258"/>
        <item x="203"/>
        <item x="313"/>
        <item x="4"/>
        <item x="251"/>
        <item x="352"/>
        <item x="37"/>
        <item x="66"/>
        <item x="226"/>
        <item x="323"/>
        <item x="35"/>
        <item x="281"/>
        <item x="32"/>
        <item x="227"/>
        <item x="324"/>
        <item x="41"/>
        <item x="366"/>
        <item x="102"/>
        <item x="114"/>
        <item x="363"/>
        <item x="161"/>
        <item x="222"/>
        <item x="299"/>
        <item x="74"/>
        <item x="154"/>
        <item x="147"/>
        <item x="329"/>
        <item x="23"/>
        <item x="293"/>
        <item x="206"/>
        <item x="307"/>
        <item x="81"/>
        <item x="285"/>
        <item x="100"/>
        <item x="86"/>
        <item x="282"/>
        <item x="360"/>
        <item x="151"/>
        <item x="7"/>
        <item x="67"/>
        <item x="158"/>
        <item x="331"/>
        <item x="79"/>
        <item x="175"/>
        <item x="314"/>
        <item x="167"/>
        <item x="63"/>
        <item x="201"/>
        <item x="280"/>
        <item x="207"/>
        <item x="57"/>
        <item x="25"/>
        <item x="39"/>
        <item x="304"/>
        <item x="187"/>
        <item x="150"/>
        <item x="243"/>
        <item x="301"/>
        <item x="308"/>
        <item x="40"/>
        <item x="339"/>
        <item x="125"/>
        <item x="164"/>
        <item x="62"/>
        <item x="50"/>
        <item x="0"/>
        <item x="255"/>
        <item x="295"/>
        <item x="29"/>
        <item x="365"/>
        <item x="199"/>
        <item x="310"/>
        <item x="286"/>
        <item x="325"/>
        <item x="306"/>
        <item x="87"/>
        <item x="210"/>
        <item x="26"/>
        <item x="214"/>
        <item x="119"/>
        <item x="202"/>
        <item x="160"/>
        <item x="76"/>
        <item x="127"/>
        <item x="44"/>
        <item x="143"/>
        <item x="88"/>
        <item x="278"/>
        <item x="242"/>
        <item x="318"/>
        <item x="96"/>
        <item x="261"/>
        <item x="265"/>
        <item x="83"/>
        <item x="129"/>
        <item x="113"/>
        <item x="131"/>
        <item x="217"/>
        <item x="169"/>
        <item x="15"/>
        <item x="302"/>
        <item x="296"/>
        <item x="163"/>
        <item x="85"/>
        <item x="134"/>
        <item x="145"/>
        <item x="138"/>
        <item x="6"/>
        <item x="316"/>
        <item x="184"/>
        <item x="135"/>
        <item x="54"/>
        <item x="18"/>
        <item x="300"/>
        <item x="236"/>
        <item x="34"/>
        <item x="99"/>
        <item x="19"/>
        <item x="152"/>
        <item x="141"/>
        <item x="10"/>
        <item x="153"/>
        <item x="191"/>
        <item x="353"/>
        <item x="45"/>
        <item x="361"/>
        <item x="55"/>
        <item x="225"/>
        <item x="51"/>
        <item x="112"/>
        <item x="246"/>
        <item x="364"/>
        <item x="14"/>
        <item x="133"/>
        <item x="155"/>
        <item x="168"/>
        <item x="320"/>
        <item x="294"/>
        <item x="178"/>
        <item x="21"/>
        <item x="319"/>
        <item x="172"/>
        <item x="159"/>
        <item x="279"/>
        <item x="359"/>
        <item x="309"/>
        <item x="170"/>
        <item x="115"/>
        <item x="27"/>
        <item x="69"/>
        <item x="93"/>
        <item x="43"/>
        <item x="247"/>
        <item x="276"/>
        <item x="174"/>
        <item x="240"/>
        <item x="260"/>
        <item x="288"/>
        <item x="11"/>
        <item x="327"/>
        <item x="52"/>
        <item x="107"/>
        <item x="233"/>
        <item x="354"/>
        <item x="47"/>
        <item x="123"/>
        <item x="48"/>
        <item x="297"/>
        <item x="237"/>
        <item x="110"/>
        <item x="103"/>
        <item x="274"/>
        <item x="106"/>
        <item x="195"/>
        <item x="298"/>
        <item x="171"/>
        <item x="182"/>
        <item x="266"/>
        <item x="239"/>
        <item x="192"/>
        <item x="22"/>
        <item x="245"/>
        <item x="77"/>
        <item x="317"/>
        <item x="38"/>
        <item x="358"/>
        <item x="3"/>
        <item x="271"/>
        <item x="58"/>
        <item x="190"/>
        <item x="235"/>
        <item x="256"/>
        <item x="221"/>
        <item x="249"/>
        <item x="124"/>
        <item x="16"/>
        <item x="259"/>
        <item x="204"/>
        <item x="334"/>
        <item x="269"/>
        <item x="157"/>
        <item x="283"/>
        <item x="287"/>
        <item x="328"/>
        <item x="130"/>
        <item x="70"/>
        <item x="337"/>
        <item x="252"/>
        <item x="355"/>
        <item x="188"/>
        <item x="343"/>
        <item x="330"/>
        <item x="104"/>
        <item x="215"/>
        <item x="24"/>
        <item x="275"/>
        <item x="196"/>
        <item x="179"/>
        <item x="345"/>
        <item x="230"/>
        <item x="53"/>
        <item x="356"/>
        <item x="1"/>
        <item x="128"/>
        <item x="136"/>
        <item x="193"/>
        <item x="108"/>
        <item x="176"/>
        <item x="98"/>
        <item x="350"/>
        <item x="186"/>
        <item x="89"/>
        <item x="238"/>
        <item x="149"/>
        <item x="166"/>
        <item x="140"/>
        <item x="146"/>
        <item x="165"/>
        <item x="228"/>
        <item x="209"/>
        <item x="5"/>
        <item x="111"/>
        <item x="284"/>
        <item x="42"/>
        <item x="31"/>
        <item x="12"/>
        <item x="75"/>
        <item x="336"/>
        <item x="322"/>
        <item x="263"/>
        <item x="116"/>
        <item x="362"/>
        <item x="344"/>
        <item x="234"/>
        <item x="105"/>
        <item x="72"/>
        <item x="197"/>
        <item x="348"/>
        <item x="181"/>
        <item x="257"/>
        <item x="82"/>
        <item x="109"/>
        <item x="117"/>
        <item x="216"/>
        <item x="137"/>
        <item x="292"/>
        <item x="335"/>
        <item x="56"/>
        <item x="338"/>
        <item x="71"/>
        <item x="232"/>
        <item x="351"/>
        <item x="211"/>
        <item x="205"/>
        <item x="139"/>
        <item x="303"/>
        <item x="97"/>
        <item x="80"/>
        <item x="315"/>
        <item x="248"/>
        <item x="173"/>
        <item x="223"/>
        <item x="241"/>
        <item x="120"/>
        <item x="148"/>
        <item x="84"/>
        <item x="180"/>
        <item x="17"/>
        <item x="273"/>
        <item x="162"/>
        <item x="220"/>
        <item x="267"/>
        <item x="213"/>
        <item x="340"/>
        <item x="311"/>
        <item x="13"/>
        <item x="250"/>
        <item x="9"/>
        <item x="219"/>
        <item x="189"/>
        <item x="20"/>
        <item x="28"/>
        <item x="218"/>
        <item x="305"/>
        <item x="262"/>
        <item x="121"/>
        <item x="357"/>
        <item x="64"/>
        <item x="92"/>
        <item x="126"/>
        <item x="95"/>
        <item x="342"/>
        <item x="326"/>
        <item x="8"/>
        <item x="142"/>
        <item x="312"/>
        <item x="30"/>
        <item x="208"/>
        <item x="268"/>
        <item x="132"/>
        <item x="277"/>
        <item x="367"/>
        <item t="default"/>
      </items>
    </pivotField>
  </pivotFields>
  <rowFields count="1">
    <field x="2"/>
  </rowFields>
  <rowItems count="3">
    <i>
      <x/>
    </i>
    <i>
      <x v="1"/>
    </i>
    <i t="grand">
      <x/>
    </i>
  </rowItems>
  <colItems count="1">
    <i/>
  </colItems>
  <dataFields count="1">
    <dataField name="Count of Employee ID" fld="0" subtotal="count" baseField="2"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2B0474-3D15-4036-9EEF-888D53737566}"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K16:L25" firstHeaderRow="1" firstDataRow="1" firstDataCol="1"/>
  <pivotFields count="17">
    <pivotField dataField="1" showAll="0"/>
    <pivotField showAll="0"/>
    <pivotField showAll="0">
      <items count="3">
        <item x="0"/>
        <item x="1"/>
        <item t="default"/>
      </items>
    </pivotField>
    <pivotField showAll="0"/>
    <pivotField showAll="0">
      <items count="9">
        <item x="6"/>
        <item x="2"/>
        <item x="5"/>
        <item x="1"/>
        <item x="3"/>
        <item x="4"/>
        <item x="7"/>
        <item x="0"/>
        <item t="default"/>
      </items>
    </pivotField>
    <pivotField showAll="0"/>
    <pivotField axis="axisRow" showAll="0">
      <items count="9">
        <item x="5"/>
        <item x="4"/>
        <item x="7"/>
        <item x="0"/>
        <item x="2"/>
        <item x="3"/>
        <item x="1"/>
        <item x="6"/>
        <item t="default"/>
      </items>
    </pivotField>
    <pivotField showAll="0"/>
    <pivotField showAll="0">
      <items count="735">
        <item m="1" x="426"/>
        <item m="1" x="637"/>
        <item m="1" x="523"/>
        <item m="1" x="658"/>
        <item m="1" x="461"/>
        <item m="1" x="656"/>
        <item m="1" x="468"/>
        <item m="1" x="708"/>
        <item m="1" x="400"/>
        <item m="1" x="445"/>
        <item m="1" x="620"/>
        <item m="1" x="550"/>
        <item m="1" x="511"/>
        <item m="1" x="621"/>
        <item m="1" x="714"/>
        <item m="1" x="369"/>
        <item m="1" x="591"/>
        <item m="1" x="432"/>
        <item m="1" x="552"/>
        <item m="1" x="639"/>
        <item m="1" x="699"/>
        <item m="1" x="700"/>
        <item m="1" x="713"/>
        <item m="1" x="567"/>
        <item m="1" x="485"/>
        <item m="1" x="457"/>
        <item m="1" x="544"/>
        <item m="1" x="435"/>
        <item m="1" x="579"/>
        <item m="1" x="598"/>
        <item m="1" x="716"/>
        <item m="1" x="458"/>
        <item m="1" x="428"/>
        <item m="1" x="611"/>
        <item m="1" x="403"/>
        <item m="1" x="688"/>
        <item m="1" x="596"/>
        <item m="1" x="416"/>
        <item m="1" x="561"/>
        <item m="1" x="427"/>
        <item m="1" x="489"/>
        <item m="1" x="413"/>
        <item m="1" x="631"/>
        <item m="1" x="565"/>
        <item m="1" x="440"/>
        <item m="1" x="657"/>
        <item m="1" x="625"/>
        <item m="1" x="570"/>
        <item m="1" x="680"/>
        <item m="1" x="371"/>
        <item m="1" x="618"/>
        <item m="1" x="719"/>
        <item m="1" x="404"/>
        <item m="1" x="433"/>
        <item m="1" x="593"/>
        <item m="1" x="690"/>
        <item m="1" x="402"/>
        <item m="1" x="648"/>
        <item m="1" x="399"/>
        <item m="1" x="594"/>
        <item m="1" x="691"/>
        <item m="1" x="408"/>
        <item m="1" x="733"/>
        <item m="1" x="469"/>
        <item m="1" x="481"/>
        <item m="1" x="730"/>
        <item m="1" x="528"/>
        <item m="1" x="589"/>
        <item m="1" x="666"/>
        <item m="1" x="441"/>
        <item m="1" x="521"/>
        <item m="1" x="514"/>
        <item m="1" x="696"/>
        <item m="1" x="390"/>
        <item m="1" x="660"/>
        <item m="1" x="573"/>
        <item m="1" x="674"/>
        <item m="1" x="448"/>
        <item m="1" x="652"/>
        <item m="1" x="467"/>
        <item m="1" x="453"/>
        <item m="1" x="649"/>
        <item m="1" x="727"/>
        <item m="1" x="518"/>
        <item m="1" x="374"/>
        <item m="1" x="434"/>
        <item m="1" x="525"/>
        <item m="1" x="698"/>
        <item m="1" x="446"/>
        <item m="1" x="542"/>
        <item m="1" x="681"/>
        <item m="1" x="534"/>
        <item m="1" x="430"/>
        <item m="1" x="568"/>
        <item m="1" x="647"/>
        <item m="1" x="574"/>
        <item m="1" x="424"/>
        <item m="1" x="392"/>
        <item m="1" x="406"/>
        <item m="1" x="671"/>
        <item m="1" x="554"/>
        <item m="1" x="517"/>
        <item m="1" x="610"/>
        <item m="1" x="668"/>
        <item m="1" x="675"/>
        <item m="1" x="407"/>
        <item m="1" x="706"/>
        <item m="1" x="492"/>
        <item m="1" x="531"/>
        <item m="1" x="429"/>
        <item m="1" x="417"/>
        <item m="1" x="367"/>
        <item m="1" x="622"/>
        <item m="1" x="662"/>
        <item m="1" x="396"/>
        <item m="1" x="732"/>
        <item m="1" x="566"/>
        <item m="1" x="677"/>
        <item m="1" x="653"/>
        <item m="1" x="692"/>
        <item m="1" x="673"/>
        <item m="1" x="454"/>
        <item m="1" x="577"/>
        <item m="1" x="393"/>
        <item m="1" x="581"/>
        <item m="1" x="486"/>
        <item m="1" x="569"/>
        <item m="1" x="527"/>
        <item m="1" x="443"/>
        <item m="1" x="494"/>
        <item m="1" x="411"/>
        <item m="1" x="510"/>
        <item m="1" x="455"/>
        <item m="1" x="645"/>
        <item m="1" x="609"/>
        <item m="1" x="685"/>
        <item m="1" x="463"/>
        <item m="1" x="628"/>
        <item m="1" x="632"/>
        <item m="1" x="450"/>
        <item m="1" x="496"/>
        <item m="1" x="480"/>
        <item m="1" x="498"/>
        <item m="1" x="584"/>
        <item m="1" x="536"/>
        <item m="1" x="382"/>
        <item m="1" x="669"/>
        <item m="1" x="663"/>
        <item m="1" x="530"/>
        <item m="1" x="452"/>
        <item m="1" x="501"/>
        <item m="1" x="512"/>
        <item m="1" x="505"/>
        <item m="1" x="373"/>
        <item m="1" x="683"/>
        <item m="1" x="551"/>
        <item m="1" x="502"/>
        <item m="1" x="421"/>
        <item m="1" x="385"/>
        <item m="1" x="667"/>
        <item m="1" x="603"/>
        <item m="1" x="401"/>
        <item m="1" x="466"/>
        <item m="1" x="386"/>
        <item m="1" x="519"/>
        <item m="1" x="508"/>
        <item m="1" x="377"/>
        <item m="1" x="520"/>
        <item m="1" x="558"/>
        <item m="1" x="720"/>
        <item m="1" x="412"/>
        <item m="1" x="728"/>
        <item m="1" x="422"/>
        <item m="1" x="592"/>
        <item m="1" x="418"/>
        <item m="1" x="479"/>
        <item m="1" x="613"/>
        <item m="1" x="731"/>
        <item m="1" x="381"/>
        <item m="1" x="500"/>
        <item m="1" x="522"/>
        <item m="1" x="535"/>
        <item m="1" x="687"/>
        <item m="1" x="661"/>
        <item m="1" x="545"/>
        <item m="1" x="388"/>
        <item m="1" x="686"/>
        <item m="1" x="539"/>
        <item m="1" x="526"/>
        <item m="1" x="646"/>
        <item m="1" x="726"/>
        <item m="1" x="676"/>
        <item m="1" x="537"/>
        <item m="1" x="482"/>
        <item m="1" x="394"/>
        <item m="1" x="436"/>
        <item m="1" x="460"/>
        <item m="1" x="410"/>
        <item m="1" x="614"/>
        <item m="1" x="643"/>
        <item m="1" x="541"/>
        <item m="1" x="607"/>
        <item m="1" x="627"/>
        <item m="1" x="655"/>
        <item m="1" x="378"/>
        <item m="1" x="694"/>
        <item m="1" x="419"/>
        <item m="1" x="474"/>
        <item m="1" x="600"/>
        <item m="1" x="721"/>
        <item m="1" x="414"/>
        <item m="1" x="490"/>
        <item m="1" x="415"/>
        <item m="1" x="664"/>
        <item m="1" x="604"/>
        <item m="1" x="477"/>
        <item m="1" x="470"/>
        <item m="1" x="641"/>
        <item m="1" x="473"/>
        <item m="1" x="562"/>
        <item m="1" x="665"/>
        <item m="1" x="538"/>
        <item m="1" x="549"/>
        <item m="1" x="633"/>
        <item m="1" x="606"/>
        <item m="1" x="559"/>
        <item m="1" x="389"/>
        <item m="1" x="612"/>
        <item m="1" x="444"/>
        <item m="1" x="684"/>
        <item m="1" x="405"/>
        <item m="1" x="725"/>
        <item m="1" x="370"/>
        <item m="1" x="638"/>
        <item m="1" x="425"/>
        <item m="1" x="557"/>
        <item m="1" x="602"/>
        <item m="1" x="623"/>
        <item m="1" x="588"/>
        <item m="1" x="616"/>
        <item m="1" x="491"/>
        <item m="1" x="383"/>
        <item m="1" x="626"/>
        <item m="1" x="571"/>
        <item m="1" x="701"/>
        <item m="1" x="636"/>
        <item m="1" x="524"/>
        <item m="1" x="650"/>
        <item m="1" x="654"/>
        <item m="1" x="695"/>
        <item m="1" x="497"/>
        <item m="1" x="437"/>
        <item m="1" x="704"/>
        <item m="1" x="619"/>
        <item m="1" x="722"/>
        <item m="1" x="555"/>
        <item m="1" x="710"/>
        <item m="1" x="697"/>
        <item m="1" x="471"/>
        <item m="1" x="582"/>
        <item m="1" x="391"/>
        <item m="1" x="642"/>
        <item m="1" x="563"/>
        <item m="1" x="546"/>
        <item m="1" x="712"/>
        <item m="1" x="597"/>
        <item m="1" x="420"/>
        <item m="1" x="723"/>
        <item m="1" x="368"/>
        <item m="1" x="495"/>
        <item m="1" x="503"/>
        <item m="1" x="560"/>
        <item m="1" x="475"/>
        <item m="1" x="543"/>
        <item m="1" x="465"/>
        <item m="1" x="717"/>
        <item m="1" x="553"/>
        <item m="1" x="456"/>
        <item m="1" x="605"/>
        <item m="1" x="516"/>
        <item m="1" x="533"/>
        <item m="1" x="507"/>
        <item m="1" x="513"/>
        <item m="1" x="532"/>
        <item m="1" x="595"/>
        <item m="1" x="576"/>
        <item m="1" x="372"/>
        <item m="1" x="478"/>
        <item m="1" x="651"/>
        <item m="1" x="409"/>
        <item m="1" x="398"/>
        <item m="1" x="379"/>
        <item m="1" x="442"/>
        <item m="1" x="703"/>
        <item m="1" x="689"/>
        <item m="1" x="630"/>
        <item m="1" x="483"/>
        <item m="1" x="729"/>
        <item m="1" x="711"/>
        <item m="1" x="601"/>
        <item m="1" x="472"/>
        <item m="1" x="439"/>
        <item m="1" x="564"/>
        <item m="1" x="715"/>
        <item m="1" x="548"/>
        <item m="1" x="624"/>
        <item m="1" x="449"/>
        <item m="1" x="476"/>
        <item m="1" x="484"/>
        <item m="1" x="583"/>
        <item m="1" x="504"/>
        <item m="1" x="659"/>
        <item m="1" x="702"/>
        <item m="1" x="423"/>
        <item m="1" x="705"/>
        <item m="1" x="438"/>
        <item m="1" x="599"/>
        <item m="1" x="718"/>
        <item m="1" x="578"/>
        <item m="1" x="572"/>
        <item m="1" x="506"/>
        <item m="1" x="670"/>
        <item m="1" x="464"/>
        <item m="1" x="447"/>
        <item m="1" x="682"/>
        <item m="1" x="615"/>
        <item m="1" x="540"/>
        <item m="1" x="590"/>
        <item m="1" x="608"/>
        <item m="1" x="487"/>
        <item m="1" x="515"/>
        <item m="1" x="451"/>
        <item m="1" x="547"/>
        <item m="1" x="384"/>
        <item m="1" x="640"/>
        <item m="1" x="529"/>
        <item m="1" x="587"/>
        <item m="1" x="634"/>
        <item m="1" x="580"/>
        <item m="1" x="707"/>
        <item m="1" x="678"/>
        <item m="1" x="380"/>
        <item m="1" x="617"/>
        <item m="1" x="376"/>
        <item m="1" x="586"/>
        <item m="1" x="556"/>
        <item m="1" x="387"/>
        <item m="1" x="395"/>
        <item m="1" x="585"/>
        <item m="1" x="672"/>
        <item m="1" x="629"/>
        <item m="1" x="488"/>
        <item m="1" x="724"/>
        <item m="1" x="431"/>
        <item m="1" x="459"/>
        <item m="1" x="493"/>
        <item m="1" x="462"/>
        <item m="1" x="709"/>
        <item m="1" x="693"/>
        <item m="1" x="375"/>
        <item m="1" x="509"/>
        <item m="1" x="679"/>
        <item m="1" x="397"/>
        <item m="1" x="575"/>
        <item m="1" x="635"/>
        <item m="1" x="499"/>
        <item m="1" x="644"/>
        <item x="78"/>
        <item x="226"/>
        <item x="55"/>
        <item x="319"/>
        <item x="110"/>
        <item x="192"/>
        <item x="186"/>
        <item x="82"/>
        <item x="267"/>
        <item x="156"/>
        <item x="96"/>
        <item x="112"/>
        <item x="247"/>
        <item x="109"/>
        <item x="198"/>
        <item x="134"/>
        <item x="137"/>
        <item x="142"/>
        <item x="94"/>
        <item x="10"/>
        <item x="133"/>
        <item x="13"/>
        <item x="63"/>
        <item x="286"/>
        <item x="153"/>
        <item x="356"/>
        <item x="292"/>
        <item x="203"/>
        <item x="324"/>
        <item x="164"/>
        <item x="165"/>
        <item x="201"/>
        <item x="191"/>
        <item x="111"/>
        <item x="120"/>
        <item x="219"/>
        <item x="64"/>
        <item x="331"/>
        <item x="217"/>
        <item x="128"/>
        <item x="2"/>
        <item x="177"/>
        <item x="114"/>
        <item x="44"/>
        <item x="54"/>
        <item x="271"/>
        <item x="72"/>
        <item x="84"/>
        <item x="189"/>
        <item x="49"/>
        <item x="161"/>
        <item x="300"/>
        <item x="27"/>
        <item x="188"/>
        <item x="232"/>
        <item x="180"/>
        <item x="33"/>
        <item x="185"/>
        <item x="39"/>
        <item x="255"/>
        <item x="34"/>
        <item x="332"/>
        <item x="29"/>
        <item x="178"/>
        <item x="11"/>
        <item x="266"/>
        <item x="181"/>
        <item x="211"/>
        <item x="342"/>
        <item x="277"/>
        <item x="253"/>
        <item x="360"/>
        <item x="225"/>
        <item x="103"/>
        <item x="22"/>
        <item x="269"/>
        <item x="275"/>
        <item x="89"/>
        <item x="336"/>
        <item x="151"/>
        <item x="85"/>
        <item x="152"/>
        <item x="308"/>
        <item x="76"/>
        <item x="83"/>
        <item x="340"/>
        <item x="358"/>
        <item x="248"/>
        <item x="262"/>
        <item x="101"/>
        <item x="61"/>
        <item x="325"/>
        <item x="138"/>
        <item x="337"/>
        <item x="41"/>
        <item x="158"/>
        <item x="6"/>
        <item x="228"/>
        <item x="341"/>
        <item x="254"/>
        <item x="366"/>
        <item x="168"/>
        <item x="252"/>
        <item x="284"/>
        <item x="347"/>
        <item x="207"/>
        <item x="184"/>
        <item x="16"/>
        <item x="136"/>
        <item x="224"/>
        <item x="18"/>
        <item x="45"/>
        <item x="126"/>
        <item x="68"/>
        <item x="194"/>
        <item x="175"/>
        <item x="259"/>
        <item x="42"/>
        <item x="197"/>
        <item x="278"/>
        <item x="288"/>
        <item x="171"/>
        <item x="231"/>
        <item x="66"/>
        <item x="365"/>
        <item x="242"/>
        <item x="302"/>
        <item x="43"/>
        <item x="327"/>
        <item x="239"/>
        <item x="215"/>
        <item x="176"/>
        <item x="75"/>
        <item x="205"/>
        <item x="238"/>
        <item x="303"/>
        <item x="28"/>
        <item x="264"/>
        <item x="150"/>
        <item x="172"/>
        <item x="276"/>
        <item x="157"/>
        <item x="117"/>
        <item x="183"/>
        <item x="14"/>
        <item x="317"/>
        <item x="235"/>
        <item x="339"/>
        <item x="159"/>
        <item x="256"/>
        <item x="130"/>
        <item x="249"/>
        <item x="223"/>
        <item x="312"/>
        <item x="313"/>
        <item x="81"/>
        <item x="62"/>
        <item x="129"/>
        <item x="316"/>
        <item x="124"/>
        <item x="1"/>
        <item x="209"/>
        <item x="250"/>
        <item x="251"/>
        <item x="344"/>
        <item x="148"/>
        <item x="37"/>
        <item x="353"/>
        <item x="115"/>
        <item x="229"/>
        <item x="169"/>
        <item x="338"/>
        <item x="60"/>
        <item x="57"/>
        <item x="294"/>
        <item x="69"/>
        <item x="17"/>
        <item x="48"/>
        <item x="330"/>
        <item x="273"/>
        <item x="95"/>
        <item x="333"/>
        <item x="349"/>
        <item x="187"/>
        <item x="199"/>
        <item x="296"/>
        <item x="24"/>
        <item x="59"/>
        <item x="160"/>
        <item x="97"/>
        <item x="213"/>
        <item x="218"/>
        <item x="329"/>
        <item x="243"/>
        <item x="246"/>
        <item x="283"/>
        <item x="166"/>
        <item x="200"/>
        <item x="345"/>
        <item x="289"/>
        <item x="35"/>
        <item x="145"/>
        <item x="221"/>
        <item x="173"/>
        <item x="244"/>
        <item x="227"/>
        <item x="30"/>
        <item x="306"/>
        <item x="195"/>
        <item x="241"/>
        <item x="47"/>
        <item x="335"/>
        <item x="102"/>
        <item x="86"/>
        <item x="210"/>
        <item x="320"/>
        <item x="123"/>
        <item x="92"/>
        <item x="214"/>
        <item x="240"/>
        <item x="143"/>
        <item x="260"/>
        <item x="298"/>
        <item x="304"/>
        <item x="99"/>
        <item x="348"/>
        <item x="202"/>
        <item x="318"/>
        <item x="163"/>
        <item x="237"/>
        <item x="98"/>
        <item x="257"/>
        <item x="162"/>
        <item x="270"/>
        <item x="274"/>
        <item x="245"/>
        <item x="196"/>
        <item x="149"/>
        <item x="23"/>
        <item x="310"/>
        <item x="174"/>
        <item x="118"/>
        <item x="73"/>
        <item x="40"/>
        <item x="38"/>
        <item x="328"/>
        <item x="146"/>
        <item x="322"/>
        <item x="311"/>
        <item x="305"/>
        <item x="7"/>
        <item x="116"/>
        <item x="36"/>
        <item x="67"/>
        <item x="155"/>
        <item x="121"/>
        <item x="208"/>
        <item x="9"/>
        <item x="352"/>
        <item x="100"/>
        <item x="193"/>
        <item x="363"/>
        <item x="58"/>
        <item x="108"/>
        <item x="65"/>
        <item x="222"/>
        <item x="25"/>
        <item x="119"/>
        <item x="236"/>
        <item x="190"/>
        <item x="204"/>
        <item x="343"/>
        <item x="31"/>
        <item x="351"/>
        <item x="268"/>
        <item x="272"/>
        <item x="15"/>
        <item x="93"/>
        <item x="297"/>
        <item x="91"/>
        <item x="154"/>
        <item x="21"/>
        <item x="52"/>
        <item x="334"/>
        <item x="220"/>
        <item x="326"/>
        <item x="51"/>
        <item x="77"/>
        <item x="80"/>
        <item x="293"/>
        <item x="301"/>
        <item x="261"/>
        <item x="364"/>
        <item x="107"/>
        <item x="216"/>
        <item x="315"/>
        <item x="90"/>
        <item x="307"/>
        <item x="314"/>
        <item x="263"/>
        <item x="281"/>
        <item x="279"/>
        <item x="70"/>
        <item x="53"/>
        <item x="258"/>
        <item x="125"/>
        <item x="359"/>
        <item x="233"/>
        <item x="285"/>
        <item x="50"/>
        <item x="170"/>
        <item x="354"/>
        <item x="280"/>
        <item x="131"/>
        <item x="3"/>
        <item x="234"/>
        <item x="56"/>
        <item x="26"/>
        <item x="135"/>
        <item x="105"/>
        <item x="79"/>
        <item x="0"/>
        <item x="355"/>
        <item x="71"/>
        <item x="20"/>
        <item x="122"/>
        <item x="299"/>
        <item x="88"/>
        <item x="361"/>
        <item x="12"/>
        <item x="132"/>
        <item x="212"/>
        <item x="74"/>
        <item x="282"/>
        <item x="295"/>
        <item x="182"/>
        <item x="104"/>
        <item x="46"/>
        <item x="19"/>
        <item x="350"/>
        <item x="139"/>
        <item x="8"/>
        <item x="147"/>
        <item x="291"/>
        <item x="346"/>
        <item x="206"/>
        <item x="265"/>
        <item x="141"/>
        <item x="287"/>
        <item x="179"/>
        <item x="140"/>
        <item x="144"/>
        <item x="323"/>
        <item x="106"/>
        <item x="230"/>
        <item x="290"/>
        <item x="32"/>
        <item x="167"/>
        <item x="127"/>
        <item x="362"/>
        <item x="321"/>
        <item x="309"/>
        <item x="357"/>
        <item x="4"/>
        <item x="87"/>
        <item x="113"/>
        <item x="5"/>
        <item t="default"/>
      </items>
    </pivotField>
    <pivotField showAll="0">
      <items count="3">
        <item x="0"/>
        <item x="1"/>
        <item t="default"/>
      </items>
    </pivotField>
    <pivotField showAll="0"/>
    <pivotField numFmtId="4" showAll="0"/>
    <pivotField showAll="0"/>
    <pivotField showAll="0"/>
    <pivotField showAll="0"/>
    <pivotField showAll="0"/>
    <pivotField showAll="0">
      <items count="369">
        <item x="59"/>
        <item x="270"/>
        <item x="156"/>
        <item x="291"/>
        <item x="94"/>
        <item x="289"/>
        <item x="101"/>
        <item x="341"/>
        <item x="33"/>
        <item x="78"/>
        <item x="253"/>
        <item x="183"/>
        <item x="144"/>
        <item x="254"/>
        <item x="347"/>
        <item x="2"/>
        <item x="224"/>
        <item x="65"/>
        <item x="185"/>
        <item x="272"/>
        <item x="332"/>
        <item x="333"/>
        <item x="346"/>
        <item x="200"/>
        <item x="118"/>
        <item x="90"/>
        <item x="177"/>
        <item x="68"/>
        <item x="212"/>
        <item x="231"/>
        <item x="349"/>
        <item x="91"/>
        <item x="61"/>
        <item x="244"/>
        <item x="36"/>
        <item x="321"/>
        <item x="229"/>
        <item x="49"/>
        <item x="194"/>
        <item x="60"/>
        <item x="122"/>
        <item x="46"/>
        <item x="264"/>
        <item x="198"/>
        <item x="73"/>
        <item x="290"/>
        <item x="258"/>
        <item x="203"/>
        <item x="313"/>
        <item x="4"/>
        <item x="251"/>
        <item x="352"/>
        <item x="37"/>
        <item x="66"/>
        <item x="226"/>
        <item x="323"/>
        <item x="35"/>
        <item x="281"/>
        <item x="32"/>
        <item x="227"/>
        <item x="324"/>
        <item x="41"/>
        <item x="366"/>
        <item x="102"/>
        <item x="114"/>
        <item x="363"/>
        <item x="161"/>
        <item x="222"/>
        <item x="299"/>
        <item x="74"/>
        <item x="154"/>
        <item x="147"/>
        <item x="329"/>
        <item x="23"/>
        <item x="293"/>
        <item x="206"/>
        <item x="307"/>
        <item x="81"/>
        <item x="285"/>
        <item x="100"/>
        <item x="86"/>
        <item x="282"/>
        <item x="360"/>
        <item x="151"/>
        <item x="7"/>
        <item x="67"/>
        <item x="158"/>
        <item x="331"/>
        <item x="79"/>
        <item x="175"/>
        <item x="314"/>
        <item x="167"/>
        <item x="63"/>
        <item x="201"/>
        <item x="280"/>
        <item x="207"/>
        <item x="57"/>
        <item x="25"/>
        <item x="39"/>
        <item x="304"/>
        <item x="187"/>
        <item x="150"/>
        <item x="243"/>
        <item x="301"/>
        <item x="308"/>
        <item x="40"/>
        <item x="339"/>
        <item x="125"/>
        <item x="164"/>
        <item x="62"/>
        <item x="50"/>
        <item x="0"/>
        <item x="255"/>
        <item x="295"/>
        <item x="29"/>
        <item x="365"/>
        <item x="199"/>
        <item x="310"/>
        <item x="286"/>
        <item x="325"/>
        <item x="306"/>
        <item x="87"/>
        <item x="210"/>
        <item x="26"/>
        <item x="214"/>
        <item x="119"/>
        <item x="202"/>
        <item x="160"/>
        <item x="76"/>
        <item x="127"/>
        <item x="44"/>
        <item x="143"/>
        <item x="88"/>
        <item x="278"/>
        <item x="242"/>
        <item x="318"/>
        <item x="96"/>
        <item x="261"/>
        <item x="265"/>
        <item x="83"/>
        <item x="129"/>
        <item x="113"/>
        <item x="131"/>
        <item x="217"/>
        <item x="169"/>
        <item x="15"/>
        <item x="302"/>
        <item x="296"/>
        <item x="163"/>
        <item x="85"/>
        <item x="134"/>
        <item x="145"/>
        <item x="138"/>
        <item x="6"/>
        <item x="316"/>
        <item x="184"/>
        <item x="135"/>
        <item x="54"/>
        <item x="18"/>
        <item x="300"/>
        <item x="236"/>
        <item x="34"/>
        <item x="99"/>
        <item x="19"/>
        <item x="152"/>
        <item x="141"/>
        <item x="10"/>
        <item x="153"/>
        <item x="191"/>
        <item x="353"/>
        <item x="45"/>
        <item x="361"/>
        <item x="55"/>
        <item x="225"/>
        <item x="51"/>
        <item x="112"/>
        <item x="246"/>
        <item x="364"/>
        <item x="14"/>
        <item x="133"/>
        <item x="155"/>
        <item x="168"/>
        <item x="320"/>
        <item x="294"/>
        <item x="178"/>
        <item x="21"/>
        <item x="319"/>
        <item x="172"/>
        <item x="159"/>
        <item x="279"/>
        <item x="359"/>
        <item x="309"/>
        <item x="170"/>
        <item x="115"/>
        <item x="27"/>
        <item x="69"/>
        <item x="93"/>
        <item x="43"/>
        <item x="247"/>
        <item x="276"/>
        <item x="174"/>
        <item x="240"/>
        <item x="260"/>
        <item x="288"/>
        <item x="11"/>
        <item x="327"/>
        <item x="52"/>
        <item x="107"/>
        <item x="233"/>
        <item x="354"/>
        <item x="47"/>
        <item x="123"/>
        <item x="48"/>
        <item x="297"/>
        <item x="237"/>
        <item x="110"/>
        <item x="103"/>
        <item x="274"/>
        <item x="106"/>
        <item x="195"/>
        <item x="298"/>
        <item x="171"/>
        <item x="182"/>
        <item x="266"/>
        <item x="239"/>
        <item x="192"/>
        <item x="22"/>
        <item x="245"/>
        <item x="77"/>
        <item x="317"/>
        <item x="38"/>
        <item x="358"/>
        <item x="3"/>
        <item x="271"/>
        <item x="58"/>
        <item x="190"/>
        <item x="235"/>
        <item x="256"/>
        <item x="221"/>
        <item x="249"/>
        <item x="124"/>
        <item x="16"/>
        <item x="259"/>
        <item x="204"/>
        <item x="334"/>
        <item x="269"/>
        <item x="157"/>
        <item x="283"/>
        <item x="287"/>
        <item x="328"/>
        <item x="130"/>
        <item x="70"/>
        <item x="337"/>
        <item x="252"/>
        <item x="355"/>
        <item x="188"/>
        <item x="343"/>
        <item x="330"/>
        <item x="104"/>
        <item x="215"/>
        <item x="24"/>
        <item x="275"/>
        <item x="196"/>
        <item x="179"/>
        <item x="345"/>
        <item x="230"/>
        <item x="53"/>
        <item x="356"/>
        <item x="1"/>
        <item x="128"/>
        <item x="136"/>
        <item x="193"/>
        <item x="108"/>
        <item x="176"/>
        <item x="98"/>
        <item x="350"/>
        <item x="186"/>
        <item x="89"/>
        <item x="238"/>
        <item x="149"/>
        <item x="166"/>
        <item x="140"/>
        <item x="146"/>
        <item x="165"/>
        <item x="228"/>
        <item x="209"/>
        <item x="5"/>
        <item x="111"/>
        <item x="284"/>
        <item x="42"/>
        <item x="31"/>
        <item x="12"/>
        <item x="75"/>
        <item x="336"/>
        <item x="322"/>
        <item x="263"/>
        <item x="116"/>
        <item x="362"/>
        <item x="344"/>
        <item x="234"/>
        <item x="105"/>
        <item x="72"/>
        <item x="197"/>
        <item x="348"/>
        <item x="181"/>
        <item x="257"/>
        <item x="82"/>
        <item x="109"/>
        <item x="117"/>
        <item x="216"/>
        <item x="137"/>
        <item x="292"/>
        <item x="335"/>
        <item x="56"/>
        <item x="338"/>
        <item x="71"/>
        <item x="232"/>
        <item x="351"/>
        <item x="211"/>
        <item x="205"/>
        <item x="139"/>
        <item x="303"/>
        <item x="97"/>
        <item x="80"/>
        <item x="315"/>
        <item x="248"/>
        <item x="173"/>
        <item x="223"/>
        <item x="241"/>
        <item x="120"/>
        <item x="148"/>
        <item x="84"/>
        <item x="180"/>
        <item x="17"/>
        <item x="273"/>
        <item x="162"/>
        <item x="220"/>
        <item x="267"/>
        <item x="213"/>
        <item x="340"/>
        <item x="311"/>
        <item x="13"/>
        <item x="250"/>
        <item x="9"/>
        <item x="219"/>
        <item x="189"/>
        <item x="20"/>
        <item x="28"/>
        <item x="218"/>
        <item x="305"/>
        <item x="262"/>
        <item x="121"/>
        <item x="357"/>
        <item x="64"/>
        <item x="92"/>
        <item x="126"/>
        <item x="95"/>
        <item x="342"/>
        <item x="326"/>
        <item x="8"/>
        <item x="142"/>
        <item x="312"/>
        <item x="30"/>
        <item x="208"/>
        <item x="268"/>
        <item x="132"/>
        <item x="277"/>
        <item x="367"/>
        <item t="default"/>
      </items>
    </pivotField>
  </pivotFields>
  <rowFields count="1">
    <field x="6"/>
  </rowFields>
  <rowItems count="9">
    <i>
      <x/>
    </i>
    <i>
      <x v="1"/>
    </i>
    <i>
      <x v="2"/>
    </i>
    <i>
      <x v="3"/>
    </i>
    <i>
      <x v="4"/>
    </i>
    <i>
      <x v="5"/>
    </i>
    <i>
      <x v="6"/>
    </i>
    <i>
      <x v="7"/>
    </i>
    <i t="grand">
      <x/>
    </i>
  </rowItems>
  <colItems count="1">
    <i/>
  </colItems>
  <dataFields count="1">
    <dataField name="Count of Employee ID"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B2DE23-1E9E-47A9-ADD9-4C36A2FF0BC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ttrition">
  <location ref="E3:F6" firstHeaderRow="1" firstDataRow="1" firstDataCol="1"/>
  <pivotFields count="17">
    <pivotField dataField="1" showAll="0"/>
    <pivotField showAll="0"/>
    <pivotField showAll="0">
      <items count="3">
        <item x="0"/>
        <item x="1"/>
        <item t="default"/>
      </items>
    </pivotField>
    <pivotField showAll="0"/>
    <pivotField showAll="0">
      <items count="9">
        <item x="6"/>
        <item x="2"/>
        <item x="5"/>
        <item x="1"/>
        <item x="3"/>
        <item x="4"/>
        <item x="7"/>
        <item x="0"/>
        <item t="default"/>
      </items>
    </pivotField>
    <pivotField showAll="0"/>
    <pivotField showAll="0"/>
    <pivotField showAll="0"/>
    <pivotField showAll="0">
      <items count="735">
        <item m="1" x="426"/>
        <item m="1" x="637"/>
        <item m="1" x="523"/>
        <item m="1" x="658"/>
        <item m="1" x="461"/>
        <item m="1" x="656"/>
        <item m="1" x="468"/>
        <item m="1" x="708"/>
        <item m="1" x="400"/>
        <item m="1" x="445"/>
        <item m="1" x="620"/>
        <item m="1" x="550"/>
        <item m="1" x="511"/>
        <item m="1" x="621"/>
        <item m="1" x="714"/>
        <item m="1" x="369"/>
        <item m="1" x="591"/>
        <item m="1" x="432"/>
        <item m="1" x="552"/>
        <item m="1" x="639"/>
        <item m="1" x="699"/>
        <item m="1" x="700"/>
        <item m="1" x="713"/>
        <item m="1" x="567"/>
        <item m="1" x="485"/>
        <item m="1" x="457"/>
        <item m="1" x="544"/>
        <item m="1" x="435"/>
        <item m="1" x="579"/>
        <item m="1" x="598"/>
        <item m="1" x="716"/>
        <item m="1" x="458"/>
        <item m="1" x="428"/>
        <item m="1" x="611"/>
        <item m="1" x="403"/>
        <item m="1" x="688"/>
        <item m="1" x="596"/>
        <item m="1" x="416"/>
        <item m="1" x="561"/>
        <item m="1" x="427"/>
        <item m="1" x="489"/>
        <item m="1" x="413"/>
        <item m="1" x="631"/>
        <item m="1" x="565"/>
        <item m="1" x="440"/>
        <item m="1" x="657"/>
        <item m="1" x="625"/>
        <item m="1" x="570"/>
        <item m="1" x="680"/>
        <item m="1" x="371"/>
        <item m="1" x="618"/>
        <item m="1" x="719"/>
        <item m="1" x="404"/>
        <item m="1" x="433"/>
        <item m="1" x="593"/>
        <item m="1" x="690"/>
        <item m="1" x="402"/>
        <item m="1" x="648"/>
        <item m="1" x="399"/>
        <item m="1" x="594"/>
        <item m="1" x="691"/>
        <item m="1" x="408"/>
        <item m="1" x="733"/>
        <item m="1" x="469"/>
        <item m="1" x="481"/>
        <item m="1" x="730"/>
        <item m="1" x="528"/>
        <item m="1" x="589"/>
        <item m="1" x="666"/>
        <item m="1" x="441"/>
        <item m="1" x="521"/>
        <item m="1" x="514"/>
        <item m="1" x="696"/>
        <item m="1" x="390"/>
        <item m="1" x="660"/>
        <item m="1" x="573"/>
        <item m="1" x="674"/>
        <item m="1" x="448"/>
        <item m="1" x="652"/>
        <item m="1" x="467"/>
        <item m="1" x="453"/>
        <item m="1" x="649"/>
        <item m="1" x="727"/>
        <item m="1" x="518"/>
        <item m="1" x="374"/>
        <item m="1" x="434"/>
        <item m="1" x="525"/>
        <item m="1" x="698"/>
        <item m="1" x="446"/>
        <item m="1" x="542"/>
        <item m="1" x="681"/>
        <item m="1" x="534"/>
        <item m="1" x="430"/>
        <item m="1" x="568"/>
        <item m="1" x="647"/>
        <item m="1" x="574"/>
        <item m="1" x="424"/>
        <item m="1" x="392"/>
        <item m="1" x="406"/>
        <item m="1" x="671"/>
        <item m="1" x="554"/>
        <item m="1" x="517"/>
        <item m="1" x="610"/>
        <item m="1" x="668"/>
        <item m="1" x="675"/>
        <item m="1" x="407"/>
        <item m="1" x="706"/>
        <item m="1" x="492"/>
        <item m="1" x="531"/>
        <item m="1" x="429"/>
        <item m="1" x="417"/>
        <item m="1" x="367"/>
        <item m="1" x="622"/>
        <item m="1" x="662"/>
        <item m="1" x="396"/>
        <item m="1" x="732"/>
        <item m="1" x="566"/>
        <item m="1" x="677"/>
        <item m="1" x="653"/>
        <item m="1" x="692"/>
        <item m="1" x="673"/>
        <item m="1" x="454"/>
        <item m="1" x="577"/>
        <item m="1" x="393"/>
        <item m="1" x="581"/>
        <item m="1" x="486"/>
        <item m="1" x="569"/>
        <item m="1" x="527"/>
        <item m="1" x="443"/>
        <item m="1" x="494"/>
        <item m="1" x="411"/>
        <item m="1" x="510"/>
        <item m="1" x="455"/>
        <item m="1" x="645"/>
        <item m="1" x="609"/>
        <item m="1" x="685"/>
        <item m="1" x="463"/>
        <item m="1" x="628"/>
        <item m="1" x="632"/>
        <item m="1" x="450"/>
        <item m="1" x="496"/>
        <item m="1" x="480"/>
        <item m="1" x="498"/>
        <item m="1" x="584"/>
        <item m="1" x="536"/>
        <item m="1" x="382"/>
        <item m="1" x="669"/>
        <item m="1" x="663"/>
        <item m="1" x="530"/>
        <item m="1" x="452"/>
        <item m="1" x="501"/>
        <item m="1" x="512"/>
        <item m="1" x="505"/>
        <item m="1" x="373"/>
        <item m="1" x="683"/>
        <item m="1" x="551"/>
        <item m="1" x="502"/>
        <item m="1" x="421"/>
        <item m="1" x="385"/>
        <item m="1" x="667"/>
        <item m="1" x="603"/>
        <item m="1" x="401"/>
        <item m="1" x="466"/>
        <item m="1" x="386"/>
        <item m="1" x="519"/>
        <item m="1" x="508"/>
        <item m="1" x="377"/>
        <item m="1" x="520"/>
        <item m="1" x="558"/>
        <item m="1" x="720"/>
        <item m="1" x="412"/>
        <item m="1" x="728"/>
        <item m="1" x="422"/>
        <item m="1" x="592"/>
        <item m="1" x="418"/>
        <item m="1" x="479"/>
        <item m="1" x="613"/>
        <item m="1" x="731"/>
        <item m="1" x="381"/>
        <item m="1" x="500"/>
        <item m="1" x="522"/>
        <item m="1" x="535"/>
        <item m="1" x="687"/>
        <item m="1" x="661"/>
        <item m="1" x="545"/>
        <item m="1" x="388"/>
        <item m="1" x="686"/>
        <item m="1" x="539"/>
        <item m="1" x="526"/>
        <item m="1" x="646"/>
        <item m="1" x="726"/>
        <item m="1" x="676"/>
        <item m="1" x="537"/>
        <item m="1" x="482"/>
        <item m="1" x="394"/>
        <item m="1" x="436"/>
        <item m="1" x="460"/>
        <item m="1" x="410"/>
        <item m="1" x="614"/>
        <item m="1" x="643"/>
        <item m="1" x="541"/>
        <item m="1" x="607"/>
        <item m="1" x="627"/>
        <item m="1" x="655"/>
        <item m="1" x="378"/>
        <item m="1" x="694"/>
        <item m="1" x="419"/>
        <item m="1" x="474"/>
        <item m="1" x="600"/>
        <item m="1" x="721"/>
        <item m="1" x="414"/>
        <item m="1" x="490"/>
        <item m="1" x="415"/>
        <item m="1" x="664"/>
        <item m="1" x="604"/>
        <item m="1" x="477"/>
        <item m="1" x="470"/>
        <item m="1" x="641"/>
        <item m="1" x="473"/>
        <item m="1" x="562"/>
        <item m="1" x="665"/>
        <item m="1" x="538"/>
        <item m="1" x="549"/>
        <item m="1" x="633"/>
        <item m="1" x="606"/>
        <item m="1" x="559"/>
        <item m="1" x="389"/>
        <item m="1" x="612"/>
        <item m="1" x="444"/>
        <item m="1" x="684"/>
        <item m="1" x="405"/>
        <item m="1" x="725"/>
        <item m="1" x="370"/>
        <item m="1" x="638"/>
        <item m="1" x="425"/>
        <item m="1" x="557"/>
        <item m="1" x="602"/>
        <item m="1" x="623"/>
        <item m="1" x="588"/>
        <item m="1" x="616"/>
        <item m="1" x="491"/>
        <item m="1" x="383"/>
        <item m="1" x="626"/>
        <item m="1" x="571"/>
        <item m="1" x="701"/>
        <item m="1" x="636"/>
        <item m="1" x="524"/>
        <item m="1" x="650"/>
        <item m="1" x="654"/>
        <item m="1" x="695"/>
        <item m="1" x="497"/>
        <item m="1" x="437"/>
        <item m="1" x="704"/>
        <item m="1" x="619"/>
        <item m="1" x="722"/>
        <item m="1" x="555"/>
        <item m="1" x="710"/>
        <item m="1" x="697"/>
        <item m="1" x="471"/>
        <item m="1" x="582"/>
        <item m="1" x="391"/>
        <item m="1" x="642"/>
        <item m="1" x="563"/>
        <item m="1" x="546"/>
        <item m="1" x="712"/>
        <item m="1" x="597"/>
        <item m="1" x="420"/>
        <item m="1" x="723"/>
        <item m="1" x="368"/>
        <item m="1" x="495"/>
        <item m="1" x="503"/>
        <item m="1" x="560"/>
        <item m="1" x="475"/>
        <item m="1" x="543"/>
        <item m="1" x="465"/>
        <item m="1" x="717"/>
        <item m="1" x="553"/>
        <item m="1" x="456"/>
        <item m="1" x="605"/>
        <item m="1" x="516"/>
        <item m="1" x="533"/>
        <item m="1" x="507"/>
        <item m="1" x="513"/>
        <item m="1" x="532"/>
        <item m="1" x="595"/>
        <item m="1" x="576"/>
        <item m="1" x="372"/>
        <item m="1" x="478"/>
        <item m="1" x="651"/>
        <item m="1" x="409"/>
        <item m="1" x="398"/>
        <item m="1" x="379"/>
        <item m="1" x="442"/>
        <item m="1" x="703"/>
        <item m="1" x="689"/>
        <item m="1" x="630"/>
        <item m="1" x="483"/>
        <item m="1" x="729"/>
        <item m="1" x="711"/>
        <item m="1" x="601"/>
        <item m="1" x="472"/>
        <item m="1" x="439"/>
        <item m="1" x="564"/>
        <item m="1" x="715"/>
        <item m="1" x="548"/>
        <item m="1" x="624"/>
        <item m="1" x="449"/>
        <item m="1" x="476"/>
        <item m="1" x="484"/>
        <item m="1" x="583"/>
        <item m="1" x="504"/>
        <item m="1" x="659"/>
        <item m="1" x="702"/>
        <item m="1" x="423"/>
        <item m="1" x="705"/>
        <item m="1" x="438"/>
        <item m="1" x="599"/>
        <item m="1" x="718"/>
        <item m="1" x="578"/>
        <item m="1" x="572"/>
        <item m="1" x="506"/>
        <item m="1" x="670"/>
        <item m="1" x="464"/>
        <item m="1" x="447"/>
        <item m="1" x="682"/>
        <item m="1" x="615"/>
        <item m="1" x="540"/>
        <item m="1" x="590"/>
        <item m="1" x="608"/>
        <item m="1" x="487"/>
        <item m="1" x="515"/>
        <item m="1" x="451"/>
        <item m="1" x="547"/>
        <item m="1" x="384"/>
        <item m="1" x="640"/>
        <item m="1" x="529"/>
        <item m="1" x="587"/>
        <item m="1" x="634"/>
        <item m="1" x="580"/>
        <item m="1" x="707"/>
        <item m="1" x="678"/>
        <item m="1" x="380"/>
        <item m="1" x="617"/>
        <item m="1" x="376"/>
        <item m="1" x="586"/>
        <item m="1" x="556"/>
        <item m="1" x="387"/>
        <item m="1" x="395"/>
        <item m="1" x="585"/>
        <item m="1" x="672"/>
        <item m="1" x="629"/>
        <item m="1" x="488"/>
        <item m="1" x="724"/>
        <item m="1" x="431"/>
        <item m="1" x="459"/>
        <item m="1" x="493"/>
        <item m="1" x="462"/>
        <item m="1" x="709"/>
        <item m="1" x="693"/>
        <item m="1" x="375"/>
        <item m="1" x="509"/>
        <item m="1" x="679"/>
        <item m="1" x="397"/>
        <item m="1" x="575"/>
        <item m="1" x="635"/>
        <item m="1" x="499"/>
        <item m="1" x="644"/>
        <item x="78"/>
        <item x="226"/>
        <item x="55"/>
        <item x="319"/>
        <item x="110"/>
        <item x="192"/>
        <item x="186"/>
        <item x="82"/>
        <item x="267"/>
        <item x="156"/>
        <item x="96"/>
        <item x="112"/>
        <item x="247"/>
        <item x="109"/>
        <item x="198"/>
        <item x="134"/>
        <item x="137"/>
        <item x="142"/>
        <item x="94"/>
        <item x="10"/>
        <item x="133"/>
        <item x="13"/>
        <item x="63"/>
        <item x="286"/>
        <item x="153"/>
        <item x="356"/>
        <item x="292"/>
        <item x="203"/>
        <item x="324"/>
        <item x="164"/>
        <item x="165"/>
        <item x="201"/>
        <item x="191"/>
        <item x="111"/>
        <item x="120"/>
        <item x="219"/>
        <item x="64"/>
        <item x="331"/>
        <item x="217"/>
        <item x="128"/>
        <item x="2"/>
        <item x="177"/>
        <item x="114"/>
        <item x="44"/>
        <item x="54"/>
        <item x="271"/>
        <item x="72"/>
        <item x="84"/>
        <item x="189"/>
        <item x="49"/>
        <item x="161"/>
        <item x="300"/>
        <item x="27"/>
        <item x="188"/>
        <item x="232"/>
        <item x="180"/>
        <item x="33"/>
        <item x="185"/>
        <item x="39"/>
        <item x="255"/>
        <item x="34"/>
        <item x="332"/>
        <item x="29"/>
        <item x="178"/>
        <item x="11"/>
        <item x="266"/>
        <item x="181"/>
        <item x="211"/>
        <item x="342"/>
        <item x="277"/>
        <item x="253"/>
        <item x="360"/>
        <item x="225"/>
        <item x="103"/>
        <item x="22"/>
        <item x="269"/>
        <item x="275"/>
        <item x="89"/>
        <item x="336"/>
        <item x="151"/>
        <item x="85"/>
        <item x="152"/>
        <item x="308"/>
        <item x="76"/>
        <item x="83"/>
        <item x="340"/>
        <item x="358"/>
        <item x="248"/>
        <item x="262"/>
        <item x="101"/>
        <item x="61"/>
        <item x="325"/>
        <item x="138"/>
        <item x="337"/>
        <item x="41"/>
        <item x="158"/>
        <item x="6"/>
        <item x="228"/>
        <item x="341"/>
        <item x="254"/>
        <item x="366"/>
        <item x="168"/>
        <item x="252"/>
        <item x="284"/>
        <item x="347"/>
        <item x="207"/>
        <item x="184"/>
        <item x="16"/>
        <item x="136"/>
        <item x="224"/>
        <item x="18"/>
        <item x="45"/>
        <item x="126"/>
        <item x="68"/>
        <item x="194"/>
        <item x="175"/>
        <item x="259"/>
        <item x="42"/>
        <item x="197"/>
        <item x="278"/>
        <item x="288"/>
        <item x="171"/>
        <item x="231"/>
        <item x="66"/>
        <item x="365"/>
        <item x="242"/>
        <item x="302"/>
        <item x="43"/>
        <item x="327"/>
        <item x="239"/>
        <item x="215"/>
        <item x="176"/>
        <item x="75"/>
        <item x="205"/>
        <item x="238"/>
        <item x="303"/>
        <item x="28"/>
        <item x="264"/>
        <item x="150"/>
        <item x="172"/>
        <item x="276"/>
        <item x="157"/>
        <item x="117"/>
        <item x="183"/>
        <item x="14"/>
        <item x="317"/>
        <item x="235"/>
        <item x="339"/>
        <item x="159"/>
        <item x="256"/>
        <item x="130"/>
        <item x="249"/>
        <item x="223"/>
        <item x="312"/>
        <item x="313"/>
        <item x="81"/>
        <item x="62"/>
        <item x="129"/>
        <item x="316"/>
        <item x="124"/>
        <item x="1"/>
        <item x="209"/>
        <item x="250"/>
        <item x="251"/>
        <item x="344"/>
        <item x="148"/>
        <item x="37"/>
        <item x="353"/>
        <item x="115"/>
        <item x="229"/>
        <item x="169"/>
        <item x="338"/>
        <item x="60"/>
        <item x="57"/>
        <item x="294"/>
        <item x="69"/>
        <item x="17"/>
        <item x="48"/>
        <item x="330"/>
        <item x="273"/>
        <item x="95"/>
        <item x="333"/>
        <item x="349"/>
        <item x="187"/>
        <item x="199"/>
        <item x="296"/>
        <item x="24"/>
        <item x="59"/>
        <item x="160"/>
        <item x="97"/>
        <item x="213"/>
        <item x="218"/>
        <item x="329"/>
        <item x="243"/>
        <item x="246"/>
        <item x="283"/>
        <item x="166"/>
        <item x="200"/>
        <item x="345"/>
        <item x="289"/>
        <item x="35"/>
        <item x="145"/>
        <item x="221"/>
        <item x="173"/>
        <item x="244"/>
        <item x="227"/>
        <item x="30"/>
        <item x="306"/>
        <item x="195"/>
        <item x="241"/>
        <item x="47"/>
        <item x="335"/>
        <item x="102"/>
        <item x="86"/>
        <item x="210"/>
        <item x="320"/>
        <item x="123"/>
        <item x="92"/>
        <item x="214"/>
        <item x="240"/>
        <item x="143"/>
        <item x="260"/>
        <item x="298"/>
        <item x="304"/>
        <item x="99"/>
        <item x="348"/>
        <item x="202"/>
        <item x="318"/>
        <item x="163"/>
        <item x="237"/>
        <item x="98"/>
        <item x="257"/>
        <item x="162"/>
        <item x="270"/>
        <item x="274"/>
        <item x="245"/>
        <item x="196"/>
        <item x="149"/>
        <item x="23"/>
        <item x="310"/>
        <item x="174"/>
        <item x="118"/>
        <item x="73"/>
        <item x="40"/>
        <item x="38"/>
        <item x="328"/>
        <item x="146"/>
        <item x="322"/>
        <item x="311"/>
        <item x="305"/>
        <item x="7"/>
        <item x="116"/>
        <item x="36"/>
        <item x="67"/>
        <item x="155"/>
        <item x="121"/>
        <item x="208"/>
        <item x="9"/>
        <item x="352"/>
        <item x="100"/>
        <item x="193"/>
        <item x="363"/>
        <item x="58"/>
        <item x="108"/>
        <item x="65"/>
        <item x="222"/>
        <item x="25"/>
        <item x="119"/>
        <item x="236"/>
        <item x="190"/>
        <item x="204"/>
        <item x="343"/>
        <item x="31"/>
        <item x="351"/>
        <item x="268"/>
        <item x="272"/>
        <item x="15"/>
        <item x="93"/>
        <item x="297"/>
        <item x="91"/>
        <item x="154"/>
        <item x="21"/>
        <item x="52"/>
        <item x="334"/>
        <item x="220"/>
        <item x="326"/>
        <item x="51"/>
        <item x="77"/>
        <item x="80"/>
        <item x="293"/>
        <item x="301"/>
        <item x="261"/>
        <item x="364"/>
        <item x="107"/>
        <item x="216"/>
        <item x="315"/>
        <item x="90"/>
        <item x="307"/>
        <item x="314"/>
        <item x="263"/>
        <item x="281"/>
        <item x="279"/>
        <item x="70"/>
        <item x="53"/>
        <item x="258"/>
        <item x="125"/>
        <item x="359"/>
        <item x="233"/>
        <item x="285"/>
        <item x="50"/>
        <item x="170"/>
        <item x="354"/>
        <item x="280"/>
        <item x="131"/>
        <item x="3"/>
        <item x="234"/>
        <item x="56"/>
        <item x="26"/>
        <item x="135"/>
        <item x="105"/>
        <item x="79"/>
        <item x="0"/>
        <item x="355"/>
        <item x="71"/>
        <item x="20"/>
        <item x="122"/>
        <item x="299"/>
        <item x="88"/>
        <item x="361"/>
        <item x="12"/>
        <item x="132"/>
        <item x="212"/>
        <item x="74"/>
        <item x="282"/>
        <item x="295"/>
        <item x="182"/>
        <item x="104"/>
        <item x="46"/>
        <item x="19"/>
        <item x="350"/>
        <item x="139"/>
        <item x="8"/>
        <item x="147"/>
        <item x="291"/>
        <item x="346"/>
        <item x="206"/>
        <item x="265"/>
        <item x="141"/>
        <item x="287"/>
        <item x="179"/>
        <item x="140"/>
        <item x="144"/>
        <item x="323"/>
        <item x="106"/>
        <item x="230"/>
        <item x="290"/>
        <item x="32"/>
        <item x="167"/>
        <item x="127"/>
        <item x="362"/>
        <item x="321"/>
        <item x="309"/>
        <item x="357"/>
        <item x="4"/>
        <item x="87"/>
        <item x="113"/>
        <item x="5"/>
        <item t="default"/>
      </items>
    </pivotField>
    <pivotField axis="axisRow" showAll="0">
      <items count="3">
        <item x="0"/>
        <item x="1"/>
        <item t="default"/>
      </items>
    </pivotField>
    <pivotField showAll="0"/>
    <pivotField numFmtId="4" showAll="0"/>
    <pivotField showAll="0"/>
    <pivotField showAll="0"/>
    <pivotField showAll="0"/>
    <pivotField showAll="0"/>
    <pivotField showAll="0">
      <items count="369">
        <item x="59"/>
        <item x="270"/>
        <item x="156"/>
        <item x="291"/>
        <item x="94"/>
        <item x="289"/>
        <item x="101"/>
        <item x="341"/>
        <item x="33"/>
        <item x="78"/>
        <item x="253"/>
        <item x="183"/>
        <item x="144"/>
        <item x="254"/>
        <item x="347"/>
        <item x="2"/>
        <item x="224"/>
        <item x="65"/>
        <item x="185"/>
        <item x="272"/>
        <item x="332"/>
        <item x="333"/>
        <item x="346"/>
        <item x="200"/>
        <item x="118"/>
        <item x="90"/>
        <item x="177"/>
        <item x="68"/>
        <item x="212"/>
        <item x="231"/>
        <item x="349"/>
        <item x="91"/>
        <item x="61"/>
        <item x="244"/>
        <item x="36"/>
        <item x="321"/>
        <item x="229"/>
        <item x="49"/>
        <item x="194"/>
        <item x="60"/>
        <item x="122"/>
        <item x="46"/>
        <item x="264"/>
        <item x="198"/>
        <item x="73"/>
        <item x="290"/>
        <item x="258"/>
        <item x="203"/>
        <item x="313"/>
        <item x="4"/>
        <item x="251"/>
        <item x="352"/>
        <item x="37"/>
        <item x="66"/>
        <item x="226"/>
        <item x="323"/>
        <item x="35"/>
        <item x="281"/>
        <item x="32"/>
        <item x="227"/>
        <item x="324"/>
        <item x="41"/>
        <item x="366"/>
        <item x="102"/>
        <item x="114"/>
        <item x="363"/>
        <item x="161"/>
        <item x="222"/>
        <item x="299"/>
        <item x="74"/>
        <item x="154"/>
        <item x="147"/>
        <item x="329"/>
        <item x="23"/>
        <item x="293"/>
        <item x="206"/>
        <item x="307"/>
        <item x="81"/>
        <item x="285"/>
        <item x="100"/>
        <item x="86"/>
        <item x="282"/>
        <item x="360"/>
        <item x="151"/>
        <item x="7"/>
        <item x="67"/>
        <item x="158"/>
        <item x="331"/>
        <item x="79"/>
        <item x="175"/>
        <item x="314"/>
        <item x="167"/>
        <item x="63"/>
        <item x="201"/>
        <item x="280"/>
        <item x="207"/>
        <item x="57"/>
        <item x="25"/>
        <item x="39"/>
        <item x="304"/>
        <item x="187"/>
        <item x="150"/>
        <item x="243"/>
        <item x="301"/>
        <item x="308"/>
        <item x="40"/>
        <item x="339"/>
        <item x="125"/>
        <item x="164"/>
        <item x="62"/>
        <item x="50"/>
        <item x="0"/>
        <item x="255"/>
        <item x="295"/>
        <item x="29"/>
        <item x="365"/>
        <item x="199"/>
        <item x="310"/>
        <item x="286"/>
        <item x="325"/>
        <item x="306"/>
        <item x="87"/>
        <item x="210"/>
        <item x="26"/>
        <item x="214"/>
        <item x="119"/>
        <item x="202"/>
        <item x="160"/>
        <item x="76"/>
        <item x="127"/>
        <item x="44"/>
        <item x="143"/>
        <item x="88"/>
        <item x="278"/>
        <item x="242"/>
        <item x="318"/>
        <item x="96"/>
        <item x="261"/>
        <item x="265"/>
        <item x="83"/>
        <item x="129"/>
        <item x="113"/>
        <item x="131"/>
        <item x="217"/>
        <item x="169"/>
        <item x="15"/>
        <item x="302"/>
        <item x="296"/>
        <item x="163"/>
        <item x="85"/>
        <item x="134"/>
        <item x="145"/>
        <item x="138"/>
        <item x="6"/>
        <item x="316"/>
        <item x="184"/>
        <item x="135"/>
        <item x="54"/>
        <item x="18"/>
        <item x="300"/>
        <item x="236"/>
        <item x="34"/>
        <item x="99"/>
        <item x="19"/>
        <item x="152"/>
        <item x="141"/>
        <item x="10"/>
        <item x="153"/>
        <item x="191"/>
        <item x="353"/>
        <item x="45"/>
        <item x="361"/>
        <item x="55"/>
        <item x="225"/>
        <item x="51"/>
        <item x="112"/>
        <item x="246"/>
        <item x="364"/>
        <item x="14"/>
        <item x="133"/>
        <item x="155"/>
        <item x="168"/>
        <item x="320"/>
        <item x="294"/>
        <item x="178"/>
        <item x="21"/>
        <item x="319"/>
        <item x="172"/>
        <item x="159"/>
        <item x="279"/>
        <item x="359"/>
        <item x="309"/>
        <item x="170"/>
        <item x="115"/>
        <item x="27"/>
        <item x="69"/>
        <item x="93"/>
        <item x="43"/>
        <item x="247"/>
        <item x="276"/>
        <item x="174"/>
        <item x="240"/>
        <item x="260"/>
        <item x="288"/>
        <item x="11"/>
        <item x="327"/>
        <item x="52"/>
        <item x="107"/>
        <item x="233"/>
        <item x="354"/>
        <item x="47"/>
        <item x="123"/>
        <item x="48"/>
        <item x="297"/>
        <item x="237"/>
        <item x="110"/>
        <item x="103"/>
        <item x="274"/>
        <item x="106"/>
        <item x="195"/>
        <item x="298"/>
        <item x="171"/>
        <item x="182"/>
        <item x="266"/>
        <item x="239"/>
        <item x="192"/>
        <item x="22"/>
        <item x="245"/>
        <item x="77"/>
        <item x="317"/>
        <item x="38"/>
        <item x="358"/>
        <item x="3"/>
        <item x="271"/>
        <item x="58"/>
        <item x="190"/>
        <item x="235"/>
        <item x="256"/>
        <item x="221"/>
        <item x="249"/>
        <item x="124"/>
        <item x="16"/>
        <item x="259"/>
        <item x="204"/>
        <item x="334"/>
        <item x="269"/>
        <item x="157"/>
        <item x="283"/>
        <item x="287"/>
        <item x="328"/>
        <item x="130"/>
        <item x="70"/>
        <item x="337"/>
        <item x="252"/>
        <item x="355"/>
        <item x="188"/>
        <item x="343"/>
        <item x="330"/>
        <item x="104"/>
        <item x="215"/>
        <item x="24"/>
        <item x="275"/>
        <item x="196"/>
        <item x="179"/>
        <item x="345"/>
        <item x="230"/>
        <item x="53"/>
        <item x="356"/>
        <item x="1"/>
        <item x="128"/>
        <item x="136"/>
        <item x="193"/>
        <item x="108"/>
        <item x="176"/>
        <item x="98"/>
        <item x="350"/>
        <item x="186"/>
        <item x="89"/>
        <item x="238"/>
        <item x="149"/>
        <item x="166"/>
        <item x="140"/>
        <item x="146"/>
        <item x="165"/>
        <item x="228"/>
        <item x="209"/>
        <item x="5"/>
        <item x="111"/>
        <item x="284"/>
        <item x="42"/>
        <item x="31"/>
        <item x="12"/>
        <item x="75"/>
        <item x="336"/>
        <item x="322"/>
        <item x="263"/>
        <item x="116"/>
        <item x="362"/>
        <item x="344"/>
        <item x="234"/>
        <item x="105"/>
        <item x="72"/>
        <item x="197"/>
        <item x="348"/>
        <item x="181"/>
        <item x="257"/>
        <item x="82"/>
        <item x="109"/>
        <item x="117"/>
        <item x="216"/>
        <item x="137"/>
        <item x="292"/>
        <item x="335"/>
        <item x="56"/>
        <item x="338"/>
        <item x="71"/>
        <item x="232"/>
        <item x="351"/>
        <item x="211"/>
        <item x="205"/>
        <item x="139"/>
        <item x="303"/>
        <item x="97"/>
        <item x="80"/>
        <item x="315"/>
        <item x="248"/>
        <item x="173"/>
        <item x="223"/>
        <item x="241"/>
        <item x="120"/>
        <item x="148"/>
        <item x="84"/>
        <item x="180"/>
        <item x="17"/>
        <item x="273"/>
        <item x="162"/>
        <item x="220"/>
        <item x="267"/>
        <item x="213"/>
        <item x="340"/>
        <item x="311"/>
        <item x="13"/>
        <item x="250"/>
        <item x="9"/>
        <item x="219"/>
        <item x="189"/>
        <item x="20"/>
        <item x="28"/>
        <item x="218"/>
        <item x="305"/>
        <item x="262"/>
        <item x="121"/>
        <item x="357"/>
        <item x="64"/>
        <item x="92"/>
        <item x="126"/>
        <item x="95"/>
        <item x="342"/>
        <item x="326"/>
        <item x="8"/>
        <item x="142"/>
        <item x="312"/>
        <item x="30"/>
        <item x="208"/>
        <item x="268"/>
        <item x="132"/>
        <item x="277"/>
        <item x="367"/>
        <item t="default"/>
      </items>
    </pivotField>
  </pivotFields>
  <rowFields count="1">
    <field x="9"/>
  </rowFields>
  <rowItems count="3">
    <i>
      <x/>
    </i>
    <i>
      <x v="1"/>
    </i>
    <i t="grand">
      <x/>
    </i>
  </rowItems>
  <colItems count="1">
    <i/>
  </colItems>
  <dataFields count="1">
    <dataField name="Count of Employee ID" fld="0" subtotal="count" baseField="9"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8A05FC-61AB-4AAE-A299-C591827B1E67}" name="PivotTable11" cacheId="6"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rowHeaderCaption="Hire Year">
  <location ref="K3:L12" firstHeaderRow="1" firstDataRow="1" firstDataCol="1"/>
  <pivotFields count="19">
    <pivotField dataField="1" showAll="0"/>
    <pivotField showAll="0"/>
    <pivotField showAll="0"/>
    <pivotField showAll="0"/>
    <pivotField showAll="0"/>
    <pivotField showAll="0"/>
    <pivotField showAll="0"/>
    <pivotField showAll="0"/>
    <pivotField axis="axisRow" showAll="0">
      <items count="369">
        <item x="78"/>
        <item x="226"/>
        <item x="55"/>
        <item x="319"/>
        <item x="110"/>
        <item x="192"/>
        <item x="186"/>
        <item x="82"/>
        <item x="267"/>
        <item x="156"/>
        <item x="96"/>
        <item x="112"/>
        <item x="247"/>
        <item x="109"/>
        <item x="198"/>
        <item x="134"/>
        <item x="137"/>
        <item x="142"/>
        <item x="94"/>
        <item x="10"/>
        <item x="133"/>
        <item x="13"/>
        <item x="63"/>
        <item x="286"/>
        <item x="153"/>
        <item x="356"/>
        <item x="292"/>
        <item x="203"/>
        <item x="324"/>
        <item x="164"/>
        <item x="165"/>
        <item x="201"/>
        <item x="191"/>
        <item x="111"/>
        <item x="120"/>
        <item x="219"/>
        <item x="64"/>
        <item x="331"/>
        <item x="217"/>
        <item x="128"/>
        <item x="2"/>
        <item x="177"/>
        <item x="114"/>
        <item x="44"/>
        <item x="54"/>
        <item x="271"/>
        <item x="72"/>
        <item x="84"/>
        <item x="189"/>
        <item x="49"/>
        <item x="161"/>
        <item x="300"/>
        <item x="27"/>
        <item x="188"/>
        <item x="232"/>
        <item x="180"/>
        <item x="33"/>
        <item x="185"/>
        <item x="39"/>
        <item x="255"/>
        <item x="34"/>
        <item x="332"/>
        <item x="29"/>
        <item x="178"/>
        <item x="11"/>
        <item x="266"/>
        <item x="181"/>
        <item x="211"/>
        <item x="342"/>
        <item x="277"/>
        <item x="253"/>
        <item x="360"/>
        <item x="225"/>
        <item x="103"/>
        <item x="22"/>
        <item x="269"/>
        <item x="275"/>
        <item x="89"/>
        <item x="336"/>
        <item x="151"/>
        <item x="85"/>
        <item x="152"/>
        <item x="308"/>
        <item x="76"/>
        <item x="83"/>
        <item x="340"/>
        <item x="358"/>
        <item x="248"/>
        <item x="262"/>
        <item x="101"/>
        <item x="61"/>
        <item x="325"/>
        <item x="138"/>
        <item x="337"/>
        <item x="41"/>
        <item x="158"/>
        <item x="6"/>
        <item x="228"/>
        <item x="341"/>
        <item x="254"/>
        <item x="366"/>
        <item x="168"/>
        <item x="252"/>
        <item x="284"/>
        <item x="347"/>
        <item x="207"/>
        <item x="184"/>
        <item x="16"/>
        <item x="136"/>
        <item x="224"/>
        <item x="18"/>
        <item x="45"/>
        <item x="126"/>
        <item x="68"/>
        <item x="194"/>
        <item x="175"/>
        <item x="259"/>
        <item x="42"/>
        <item x="197"/>
        <item x="278"/>
        <item x="288"/>
        <item x="171"/>
        <item x="231"/>
        <item x="66"/>
        <item x="365"/>
        <item x="242"/>
        <item x="302"/>
        <item x="43"/>
        <item x="327"/>
        <item x="239"/>
        <item x="215"/>
        <item x="176"/>
        <item x="75"/>
        <item x="205"/>
        <item x="238"/>
        <item x="303"/>
        <item x="28"/>
        <item x="264"/>
        <item x="150"/>
        <item x="172"/>
        <item x="276"/>
        <item x="157"/>
        <item x="117"/>
        <item x="183"/>
        <item x="14"/>
        <item x="317"/>
        <item x="235"/>
        <item x="339"/>
        <item x="159"/>
        <item x="256"/>
        <item x="130"/>
        <item x="249"/>
        <item x="223"/>
        <item x="312"/>
        <item x="313"/>
        <item x="81"/>
        <item x="62"/>
        <item x="129"/>
        <item x="316"/>
        <item x="124"/>
        <item x="1"/>
        <item x="209"/>
        <item x="250"/>
        <item x="251"/>
        <item x="344"/>
        <item x="148"/>
        <item x="37"/>
        <item x="353"/>
        <item x="115"/>
        <item x="229"/>
        <item x="169"/>
        <item x="338"/>
        <item x="60"/>
        <item x="57"/>
        <item x="294"/>
        <item x="69"/>
        <item x="17"/>
        <item x="48"/>
        <item x="330"/>
        <item x="273"/>
        <item x="95"/>
        <item x="333"/>
        <item x="349"/>
        <item x="187"/>
        <item x="199"/>
        <item x="296"/>
        <item x="24"/>
        <item x="59"/>
        <item x="160"/>
        <item x="97"/>
        <item x="213"/>
        <item x="218"/>
        <item x="329"/>
        <item x="243"/>
        <item x="246"/>
        <item x="283"/>
        <item x="166"/>
        <item x="200"/>
        <item x="345"/>
        <item x="289"/>
        <item x="35"/>
        <item x="145"/>
        <item x="221"/>
        <item x="173"/>
        <item x="244"/>
        <item x="227"/>
        <item x="30"/>
        <item x="306"/>
        <item x="195"/>
        <item x="241"/>
        <item x="47"/>
        <item x="335"/>
        <item x="102"/>
        <item x="86"/>
        <item x="210"/>
        <item x="320"/>
        <item x="123"/>
        <item x="92"/>
        <item x="214"/>
        <item x="240"/>
        <item x="143"/>
        <item x="260"/>
        <item x="298"/>
        <item x="304"/>
        <item x="99"/>
        <item x="348"/>
        <item x="202"/>
        <item x="318"/>
        <item x="163"/>
        <item x="237"/>
        <item x="98"/>
        <item x="257"/>
        <item x="162"/>
        <item x="270"/>
        <item x="274"/>
        <item x="245"/>
        <item x="196"/>
        <item x="149"/>
        <item x="23"/>
        <item x="310"/>
        <item x="174"/>
        <item x="118"/>
        <item x="73"/>
        <item x="40"/>
        <item x="38"/>
        <item x="328"/>
        <item x="146"/>
        <item x="322"/>
        <item x="311"/>
        <item x="305"/>
        <item x="7"/>
        <item x="116"/>
        <item x="36"/>
        <item x="67"/>
        <item x="155"/>
        <item x="121"/>
        <item x="208"/>
        <item x="9"/>
        <item x="352"/>
        <item x="100"/>
        <item x="193"/>
        <item x="363"/>
        <item x="58"/>
        <item x="108"/>
        <item x="65"/>
        <item x="222"/>
        <item x="25"/>
        <item x="119"/>
        <item x="236"/>
        <item x="190"/>
        <item x="204"/>
        <item x="343"/>
        <item x="31"/>
        <item x="351"/>
        <item x="268"/>
        <item x="272"/>
        <item x="15"/>
        <item x="93"/>
        <item x="297"/>
        <item x="91"/>
        <item x="154"/>
        <item x="21"/>
        <item x="52"/>
        <item x="334"/>
        <item x="220"/>
        <item x="326"/>
        <item x="51"/>
        <item x="77"/>
        <item x="80"/>
        <item x="293"/>
        <item x="301"/>
        <item x="261"/>
        <item x="364"/>
        <item x="107"/>
        <item x="216"/>
        <item x="315"/>
        <item x="90"/>
        <item x="307"/>
        <item x="314"/>
        <item x="263"/>
        <item x="281"/>
        <item x="279"/>
        <item x="70"/>
        <item x="53"/>
        <item x="258"/>
        <item x="125"/>
        <item x="359"/>
        <item x="233"/>
        <item x="285"/>
        <item x="50"/>
        <item x="170"/>
        <item x="354"/>
        <item x="280"/>
        <item x="131"/>
        <item x="3"/>
        <item x="234"/>
        <item x="56"/>
        <item x="26"/>
        <item x="135"/>
        <item x="105"/>
        <item x="79"/>
        <item x="0"/>
        <item x="355"/>
        <item x="71"/>
        <item x="20"/>
        <item x="122"/>
        <item x="299"/>
        <item x="88"/>
        <item x="361"/>
        <item x="12"/>
        <item x="132"/>
        <item x="212"/>
        <item x="74"/>
        <item x="282"/>
        <item x="295"/>
        <item x="182"/>
        <item x="104"/>
        <item x="46"/>
        <item x="19"/>
        <item x="350"/>
        <item x="139"/>
        <item x="8"/>
        <item x="147"/>
        <item x="291"/>
        <item x="346"/>
        <item x="206"/>
        <item x="265"/>
        <item x="141"/>
        <item x="287"/>
        <item x="179"/>
        <item x="140"/>
        <item x="144"/>
        <item x="323"/>
        <item x="106"/>
        <item x="230"/>
        <item x="290"/>
        <item x="32"/>
        <item x="167"/>
        <item x="127"/>
        <item x="362"/>
        <item x="321"/>
        <item x="309"/>
        <item x="357"/>
        <item x="4"/>
        <item x="87"/>
        <item x="113"/>
        <item x="5"/>
        <item x="367"/>
        <item t="default"/>
      </items>
    </pivotField>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10">
        <item sd="0" x="0"/>
        <item sd="0" x="1"/>
        <item sd="0" x="2"/>
        <item sd="0" x="3"/>
        <item sd="0" x="4"/>
        <item sd="0" x="5"/>
        <item sd="0" x="6"/>
        <item sd="0" x="7"/>
        <item sd="0" x="8"/>
        <item t="default" sd="0"/>
      </items>
    </pivotField>
  </pivotFields>
  <rowFields count="4">
    <field x="18"/>
    <field x="17"/>
    <field x="16"/>
    <field x="8"/>
  </rowFields>
  <rowItems count="9">
    <i>
      <x/>
    </i>
    <i>
      <x v="1"/>
    </i>
    <i>
      <x v="2"/>
    </i>
    <i>
      <x v="3"/>
    </i>
    <i>
      <x v="4"/>
    </i>
    <i>
      <x v="5"/>
    </i>
    <i>
      <x v="6"/>
    </i>
    <i>
      <x v="7"/>
    </i>
    <i t="grand">
      <x/>
    </i>
  </rowItems>
  <colItems count="1">
    <i/>
  </colItems>
  <dataFields count="1">
    <dataField name="Count of Employee ID" fld="0" subtotal="count" baseField="18"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0987C4-1C94-473F-B255-620D2999A87C}" sourceName="Department">
  <pivotTables>
    <pivotTable tabId="3" name="PivotTable1"/>
    <pivotTable tabId="3" name="PivotTable2"/>
    <pivotTable tabId="3" name="PivotTable3"/>
    <pivotTable tabId="3" name="PivotTable4"/>
    <pivotTable tabId="3" name="PivotTable5"/>
    <pivotTable tabId="3" name="PivotTable6"/>
  </pivotTables>
  <data>
    <tabular pivotCacheId="164921692">
      <items count="8">
        <i x="6" s="1"/>
        <i x="2" s="1"/>
        <i x="5" s="1"/>
        <i x="1" s="1"/>
        <i x="3" s="1"/>
        <i x="4"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27586E0-2DCB-47E0-8CE9-066E890FDAB5}" sourceName="Gender">
  <pivotTables>
    <pivotTable tabId="3" name="PivotTable3"/>
    <pivotTable tabId="3" name="PivotTable1"/>
    <pivotTable tabId="3" name="PivotTable2"/>
    <pivotTable tabId="3" name="PivotTable4"/>
    <pivotTable tabId="3" name="PivotTable5"/>
    <pivotTable tabId="3" name="PivotTable6"/>
  </pivotTables>
  <data>
    <tabular pivotCacheId="16492169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2A616D75-53A2-4B96-ABC9-E2EC2B3AF85C}" sourceName="Attrition">
  <pivotTables>
    <pivotTable tabId="3" name="PivotTable3"/>
    <pivotTable tabId="3" name="PivotTable1"/>
    <pivotTable tabId="3" name="PivotTable2"/>
    <pivotTable tabId="3" name="PivotTable4"/>
    <pivotTable tabId="3" name="PivotTable5"/>
    <pivotTable tabId="3" name="PivotTable6"/>
  </pivotTables>
  <data>
    <tabular pivotCacheId="16492169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9404B0B-A74E-4904-93A9-3095723F9FB3}" cache="Slicer_Department" caption="Department" rowHeight="234950"/>
  <slicer name="Gender" xr10:uid="{C64711EB-7C78-44A6-A839-48D4F3436767}" cache="Slicer_Gender" caption="Gender" rowHeight="234950"/>
  <slicer name="Attrition" xr10:uid="{23638E29-0690-45A8-8CB5-9B7D24B403FE}" cache="Slicer_Attrition" caption="Attri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90CA7-B70F-40AF-BF76-AEA2B1362709}" name="Table1" displayName="Table1" ref="A1:P401" totalsRowShown="0" headerRowDxfId="20" headerRowBorderDxfId="19" tableBorderDxfId="18" totalsRowBorderDxfId="17">
  <autoFilter ref="A1:P401" xr:uid="{21D90CA7-B70F-40AF-BF76-AEA2B1362709}"/>
  <tableColumns count="16">
    <tableColumn id="1" xr3:uid="{68D47BB1-6B70-40CC-B20E-A34C9B403D64}" name="Employee ID" dataDxfId="16"/>
    <tableColumn id="2" xr3:uid="{0EE52197-B429-44B9-94B3-D66D1C0D0555}" name="Employee Name" dataDxfId="15"/>
    <tableColumn id="3" xr3:uid="{4902EC70-7304-4D91-9CB7-2BA7A18CD197}" name="Gender" dataDxfId="14"/>
    <tableColumn id="4" xr3:uid="{27E39422-5C95-4076-B39D-96554D279459}" name="Age" dataDxfId="13"/>
    <tableColumn id="5" xr3:uid="{19E13755-1253-4924-B988-83FEBFBCE2D8}" name="Department" dataDxfId="12"/>
    <tableColumn id="6" xr3:uid="{FFECA43E-E902-489F-8737-7F4093419A80}" name="Job Title" dataDxfId="11"/>
    <tableColumn id="7" xr3:uid="{F851330F-F81D-4150-A50A-E15E2195FE33}" name="City" dataDxfId="10"/>
    <tableColumn id="8" xr3:uid="{2F5B4537-1350-4627-9928-E08E3C569C20}" name="Education" dataDxfId="9"/>
    <tableColumn id="9" xr3:uid="{FB1EF7C8-2D4A-4632-90A0-9564FB12984D}" name="Hire Date" dataDxfId="8"/>
    <tableColumn id="10" xr3:uid="{0B73648D-611A-42BA-AACE-70DE5FE14CDD}" name="Attrition" dataDxfId="7"/>
    <tableColumn id="11" xr3:uid="{A2EDD715-922B-46E6-881B-1704E0141F93}" name="Exit Date" dataDxfId="6"/>
    <tableColumn id="12" xr3:uid="{07DF48F0-DA1B-4C32-BFF5-CAA648C41D12}" name="Salary" dataDxfId="5"/>
    <tableColumn id="13" xr3:uid="{9E868177-7194-4950-8379-630AFADC1B9A}" name="Performance Rating" dataDxfId="4"/>
    <tableColumn id="14" xr3:uid="{F8491FB3-364A-4463-A6E5-838C1164F238}" name="Satisfaction Score" dataDxfId="3"/>
    <tableColumn id="15" xr3:uid="{8E206ED6-D247-4C32-8B62-D73876C2863A}" name="Overtime" dataDxfId="2"/>
    <tableColumn id="16" xr3:uid="{0DB0757B-55BC-4AF1-8974-80844AEFF51A}" name="Marital Status"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Hire_Date" xr10:uid="{EC395296-8549-48C5-8E83-77B422AE4992}" sourceName="Hire Date">
  <pivotTables>
    <pivotTable tabId="3" name="PivotTable11"/>
  </pivotTables>
  <state minimalRefreshVersion="6" lastRefreshVersion="6" pivotCacheId="875221441" filterType="unknown">
    <bounds startDate="2018-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 Date" xr10:uid="{7E77ED25-0181-405F-9BF5-27F75F99C8C6}" cache="NativeTimeline_Hire_Date" caption="Hire Date" level="0" selectionLevel="0" scrollPosition="2018-10-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01"/>
  <sheetViews>
    <sheetView zoomScale="69" workbookViewId="0">
      <selection activeCell="R18" sqref="R18"/>
    </sheetView>
  </sheetViews>
  <sheetFormatPr defaultRowHeight="14.4" x14ac:dyDescent="0.3"/>
  <cols>
    <col min="1" max="1" width="15.88671875" customWidth="1"/>
    <col min="2" max="2" width="20" customWidth="1"/>
    <col min="3" max="3" width="10.6640625" customWidth="1"/>
    <col min="4" max="4" width="8" customWidth="1"/>
    <col min="5" max="5" width="16" customWidth="1"/>
    <col min="6" max="6" width="20" customWidth="1"/>
    <col min="7" max="7" width="14" customWidth="1"/>
    <col min="8" max="8" width="13.21875" customWidth="1"/>
    <col min="9" max="9" width="14" style="2" customWidth="1"/>
    <col min="10" max="10" width="12.33203125" bestFit="1" customWidth="1"/>
    <col min="11" max="11" width="14" style="2" customWidth="1"/>
    <col min="12" max="12" width="12" customWidth="1"/>
    <col min="13" max="13" width="23.5546875" customWidth="1"/>
    <col min="14" max="14" width="21.5546875" customWidth="1"/>
    <col min="15" max="15" width="12.44140625" customWidth="1"/>
    <col min="16" max="16" width="17.109375" customWidth="1"/>
    <col min="18" max="18" width="24.88671875" bestFit="1" customWidth="1"/>
    <col min="19" max="19" width="19.88671875" customWidth="1"/>
  </cols>
  <sheetData>
    <row r="1" spans="1:19" x14ac:dyDescent="0.3">
      <c r="A1" s="10" t="s">
        <v>0</v>
      </c>
      <c r="B1" s="11" t="s">
        <v>1</v>
      </c>
      <c r="C1" s="11" t="s">
        <v>2</v>
      </c>
      <c r="D1" s="11" t="s">
        <v>3</v>
      </c>
      <c r="E1" s="11" t="s">
        <v>4</v>
      </c>
      <c r="F1" s="11" t="s">
        <v>5</v>
      </c>
      <c r="G1" s="11" t="s">
        <v>6</v>
      </c>
      <c r="H1" s="11" t="s">
        <v>7</v>
      </c>
      <c r="I1" s="12" t="s">
        <v>8</v>
      </c>
      <c r="J1" s="11" t="s">
        <v>9</v>
      </c>
      <c r="K1" s="12" t="s">
        <v>10</v>
      </c>
      <c r="L1" s="11" t="s">
        <v>11</v>
      </c>
      <c r="M1" s="11" t="s">
        <v>12</v>
      </c>
      <c r="N1" s="11" t="s">
        <v>13</v>
      </c>
      <c r="O1" s="11" t="s">
        <v>14</v>
      </c>
      <c r="P1" s="13" t="s">
        <v>15</v>
      </c>
    </row>
    <row r="2" spans="1:19" x14ac:dyDescent="0.3">
      <c r="A2" s="14">
        <v>1001</v>
      </c>
      <c r="B2" s="3" t="s">
        <v>16</v>
      </c>
      <c r="C2" s="3" t="s">
        <v>17</v>
      </c>
      <c r="D2" s="3">
        <v>25</v>
      </c>
      <c r="E2" s="3" t="s">
        <v>18</v>
      </c>
      <c r="F2" s="3" t="s">
        <v>19</v>
      </c>
      <c r="G2" s="3" t="s">
        <v>20</v>
      </c>
      <c r="H2" s="3" t="s">
        <v>21</v>
      </c>
      <c r="I2" s="15">
        <v>45179</v>
      </c>
      <c r="J2" s="3" t="s">
        <v>22</v>
      </c>
      <c r="K2" s="15"/>
      <c r="L2" s="16">
        <v>42100</v>
      </c>
      <c r="M2" s="3">
        <v>2</v>
      </c>
      <c r="N2" s="3">
        <v>2</v>
      </c>
      <c r="O2" s="3" t="s">
        <v>23</v>
      </c>
      <c r="P2" s="17" t="s">
        <v>24</v>
      </c>
    </row>
    <row r="3" spans="1:19" x14ac:dyDescent="0.3">
      <c r="A3" s="14">
        <v>1002</v>
      </c>
      <c r="B3" s="3" t="s">
        <v>25</v>
      </c>
      <c r="C3" s="3" t="s">
        <v>26</v>
      </c>
      <c r="D3" s="3">
        <v>25</v>
      </c>
      <c r="E3" s="3" t="s">
        <v>27</v>
      </c>
      <c r="F3" s="3" t="s">
        <v>28</v>
      </c>
      <c r="G3" s="3" t="s">
        <v>29</v>
      </c>
      <c r="H3" s="3" t="s">
        <v>30</v>
      </c>
      <c r="I3" s="15">
        <v>44006</v>
      </c>
      <c r="J3" s="3" t="s">
        <v>22</v>
      </c>
      <c r="K3" s="15"/>
      <c r="L3" s="16">
        <v>34700</v>
      </c>
      <c r="M3" s="3">
        <v>5</v>
      </c>
      <c r="N3" s="3">
        <v>2</v>
      </c>
      <c r="O3" s="3" t="s">
        <v>23</v>
      </c>
      <c r="P3" s="17" t="s">
        <v>24</v>
      </c>
      <c r="R3" s="3"/>
      <c r="S3" s="3"/>
    </row>
    <row r="4" spans="1:19" x14ac:dyDescent="0.3">
      <c r="A4" s="14">
        <v>1003</v>
      </c>
      <c r="B4" s="3" t="s">
        <v>31</v>
      </c>
      <c r="C4" s="3" t="s">
        <v>26</v>
      </c>
      <c r="D4" s="3">
        <v>58</v>
      </c>
      <c r="E4" s="3" t="s">
        <v>27</v>
      </c>
      <c r="F4" s="3" t="s">
        <v>32</v>
      </c>
      <c r="G4" s="3" t="s">
        <v>20</v>
      </c>
      <c r="H4" s="3" t="s">
        <v>33</v>
      </c>
      <c r="I4" s="15">
        <v>43345</v>
      </c>
      <c r="J4" s="3" t="s">
        <v>22</v>
      </c>
      <c r="K4" s="15"/>
      <c r="L4" s="16">
        <v>79000</v>
      </c>
      <c r="M4" s="3">
        <v>3</v>
      </c>
      <c r="N4" s="3">
        <v>3</v>
      </c>
      <c r="O4" s="3" t="s">
        <v>22</v>
      </c>
      <c r="P4" s="17" t="s">
        <v>24</v>
      </c>
      <c r="R4" s="3"/>
      <c r="S4" s="4"/>
    </row>
    <row r="5" spans="1:19" x14ac:dyDescent="0.3">
      <c r="A5" s="14">
        <v>1004</v>
      </c>
      <c r="B5" s="3" t="s">
        <v>34</v>
      </c>
      <c r="C5" s="3" t="s">
        <v>26</v>
      </c>
      <c r="D5" s="3">
        <v>55</v>
      </c>
      <c r="E5" s="3" t="s">
        <v>35</v>
      </c>
      <c r="F5" s="3" t="s">
        <v>36</v>
      </c>
      <c r="G5" s="3" t="s">
        <v>20</v>
      </c>
      <c r="H5" s="3" t="s">
        <v>21</v>
      </c>
      <c r="I5" s="15">
        <v>45128</v>
      </c>
      <c r="J5" s="3" t="s">
        <v>22</v>
      </c>
      <c r="K5" s="15"/>
      <c r="L5" s="16">
        <v>109200</v>
      </c>
      <c r="M5" s="3">
        <v>4</v>
      </c>
      <c r="N5" s="3">
        <v>1</v>
      </c>
      <c r="O5" s="3" t="s">
        <v>23</v>
      </c>
      <c r="P5" s="17" t="s">
        <v>24</v>
      </c>
      <c r="R5" s="3"/>
      <c r="S5" s="3"/>
    </row>
    <row r="6" spans="1:19" x14ac:dyDescent="0.3">
      <c r="A6" s="14">
        <v>1005</v>
      </c>
      <c r="B6" s="3" t="s">
        <v>37</v>
      </c>
      <c r="C6" s="3" t="s">
        <v>26</v>
      </c>
      <c r="D6" s="3">
        <v>57</v>
      </c>
      <c r="E6" s="3" t="s">
        <v>38</v>
      </c>
      <c r="F6" s="3" t="s">
        <v>39</v>
      </c>
      <c r="G6" s="3" t="s">
        <v>29</v>
      </c>
      <c r="H6" s="3" t="s">
        <v>33</v>
      </c>
      <c r="I6" s="15">
        <v>45448</v>
      </c>
      <c r="J6" s="3" t="s">
        <v>22</v>
      </c>
      <c r="K6" s="15"/>
      <c r="L6" s="16">
        <v>56000</v>
      </c>
      <c r="M6" s="3">
        <v>4</v>
      </c>
      <c r="N6" s="3">
        <v>3</v>
      </c>
      <c r="O6" s="3" t="s">
        <v>22</v>
      </c>
      <c r="P6" s="17" t="s">
        <v>24</v>
      </c>
      <c r="R6" s="3"/>
      <c r="S6" s="3"/>
    </row>
    <row r="7" spans="1:19" x14ac:dyDescent="0.3">
      <c r="A7" s="14">
        <v>1006</v>
      </c>
      <c r="B7" s="3" t="s">
        <v>40</v>
      </c>
      <c r="C7" s="3" t="s">
        <v>17</v>
      </c>
      <c r="D7" s="3">
        <v>41</v>
      </c>
      <c r="E7" s="3" t="s">
        <v>38</v>
      </c>
      <c r="F7" s="3" t="s">
        <v>41</v>
      </c>
      <c r="G7" s="3" t="s">
        <v>20</v>
      </c>
      <c r="H7" s="3" t="s">
        <v>33</v>
      </c>
      <c r="I7" s="15">
        <v>45468</v>
      </c>
      <c r="J7" s="3" t="s">
        <v>22</v>
      </c>
      <c r="K7" s="15"/>
      <c r="L7" s="16">
        <v>107800</v>
      </c>
      <c r="M7" s="3">
        <v>4</v>
      </c>
      <c r="N7" s="3">
        <v>4</v>
      </c>
      <c r="O7" s="3" t="s">
        <v>22</v>
      </c>
      <c r="P7" s="17" t="s">
        <v>42</v>
      </c>
      <c r="R7" s="3"/>
      <c r="S7" s="4"/>
    </row>
    <row r="8" spans="1:19" x14ac:dyDescent="0.3">
      <c r="A8" s="14">
        <v>1007</v>
      </c>
      <c r="B8" s="3" t="s">
        <v>43</v>
      </c>
      <c r="C8" s="3" t="s">
        <v>26</v>
      </c>
      <c r="D8" s="3">
        <v>40</v>
      </c>
      <c r="E8" s="3" t="s">
        <v>44</v>
      </c>
      <c r="F8" s="3" t="s">
        <v>45</v>
      </c>
      <c r="G8" s="3" t="s">
        <v>29</v>
      </c>
      <c r="H8" s="3" t="s">
        <v>46</v>
      </c>
      <c r="I8" s="15">
        <v>43630</v>
      </c>
      <c r="J8" s="3" t="s">
        <v>22</v>
      </c>
      <c r="K8" s="15"/>
      <c r="L8" s="16">
        <v>86600</v>
      </c>
      <c r="M8" s="3">
        <v>3</v>
      </c>
      <c r="N8" s="3">
        <v>4</v>
      </c>
      <c r="O8" s="3" t="s">
        <v>23</v>
      </c>
      <c r="P8" s="17" t="s">
        <v>42</v>
      </c>
    </row>
    <row r="9" spans="1:19" x14ac:dyDescent="0.3">
      <c r="A9" s="14">
        <v>1008</v>
      </c>
      <c r="B9" s="3" t="s">
        <v>47</v>
      </c>
      <c r="C9" s="3" t="s">
        <v>17</v>
      </c>
      <c r="D9" s="3">
        <v>44</v>
      </c>
      <c r="E9" s="3" t="s">
        <v>35</v>
      </c>
      <c r="F9" s="3" t="s">
        <v>48</v>
      </c>
      <c r="G9" s="3" t="s">
        <v>49</v>
      </c>
      <c r="H9" s="3" t="s">
        <v>30</v>
      </c>
      <c r="I9" s="15">
        <v>44659</v>
      </c>
      <c r="J9" s="3" t="s">
        <v>23</v>
      </c>
      <c r="K9" s="15" t="s">
        <v>50</v>
      </c>
      <c r="L9" s="16">
        <v>144300</v>
      </c>
      <c r="M9" s="3">
        <v>3</v>
      </c>
      <c r="N9" s="3">
        <v>2</v>
      </c>
      <c r="O9" s="3" t="s">
        <v>23</v>
      </c>
      <c r="P9" s="17" t="s">
        <v>24</v>
      </c>
    </row>
    <row r="10" spans="1:19" x14ac:dyDescent="0.3">
      <c r="A10" s="14">
        <v>1009</v>
      </c>
      <c r="B10" s="3" t="s">
        <v>51</v>
      </c>
      <c r="C10" s="3" t="s">
        <v>26</v>
      </c>
      <c r="D10" s="3">
        <v>48</v>
      </c>
      <c r="E10" s="3" t="s">
        <v>52</v>
      </c>
      <c r="F10" s="3" t="s">
        <v>53</v>
      </c>
      <c r="G10" s="3" t="s">
        <v>29</v>
      </c>
      <c r="H10" s="3" t="s">
        <v>46</v>
      </c>
      <c r="I10" s="15">
        <v>45290</v>
      </c>
      <c r="J10" s="3" t="s">
        <v>22</v>
      </c>
      <c r="K10" s="15"/>
      <c r="L10" s="16">
        <v>49900</v>
      </c>
      <c r="M10" s="3">
        <v>4</v>
      </c>
      <c r="N10" s="3">
        <v>5</v>
      </c>
      <c r="O10" s="3" t="s">
        <v>23</v>
      </c>
      <c r="P10" s="17" t="s">
        <v>24</v>
      </c>
    </row>
    <row r="11" spans="1:19" x14ac:dyDescent="0.3">
      <c r="A11" s="14">
        <v>1010</v>
      </c>
      <c r="B11" s="3" t="s">
        <v>54</v>
      </c>
      <c r="C11" s="3" t="s">
        <v>17</v>
      </c>
      <c r="D11" s="3">
        <v>52</v>
      </c>
      <c r="E11" s="3" t="s">
        <v>55</v>
      </c>
      <c r="F11" s="3" t="s">
        <v>56</v>
      </c>
      <c r="G11" s="3" t="s">
        <v>57</v>
      </c>
      <c r="H11" s="3" t="s">
        <v>33</v>
      </c>
      <c r="I11" s="15">
        <v>44741</v>
      </c>
      <c r="J11" s="3" t="s">
        <v>22</v>
      </c>
      <c r="K11" s="15"/>
      <c r="L11" s="16">
        <v>50400</v>
      </c>
      <c r="M11" s="3">
        <v>2</v>
      </c>
      <c r="N11" s="3">
        <v>2</v>
      </c>
      <c r="O11" s="3" t="s">
        <v>23</v>
      </c>
      <c r="P11" s="17" t="s">
        <v>24</v>
      </c>
    </row>
    <row r="12" spans="1:19" x14ac:dyDescent="0.3">
      <c r="A12" s="14">
        <v>1011</v>
      </c>
      <c r="B12" s="3" t="s">
        <v>58</v>
      </c>
      <c r="C12" s="3" t="s">
        <v>26</v>
      </c>
      <c r="D12" s="3">
        <v>45</v>
      </c>
      <c r="E12" s="3" t="s">
        <v>18</v>
      </c>
      <c r="F12" s="3" t="s">
        <v>59</v>
      </c>
      <c r="G12" s="3" t="s">
        <v>60</v>
      </c>
      <c r="H12" s="3" t="s">
        <v>33</v>
      </c>
      <c r="I12" s="15">
        <v>43205</v>
      </c>
      <c r="J12" s="3" t="s">
        <v>22</v>
      </c>
      <c r="K12" s="15"/>
      <c r="L12" s="16">
        <v>71100</v>
      </c>
      <c r="M12" s="3">
        <v>3</v>
      </c>
      <c r="N12" s="3">
        <v>3</v>
      </c>
      <c r="O12" s="3" t="s">
        <v>22</v>
      </c>
      <c r="P12" s="17" t="s">
        <v>24</v>
      </c>
    </row>
    <row r="13" spans="1:19" x14ac:dyDescent="0.3">
      <c r="A13" s="14">
        <v>1012</v>
      </c>
      <c r="B13" s="3" t="s">
        <v>61</v>
      </c>
      <c r="C13" s="3" t="s">
        <v>26</v>
      </c>
      <c r="D13" s="3">
        <v>41</v>
      </c>
      <c r="E13" s="3" t="s">
        <v>38</v>
      </c>
      <c r="F13" s="3" t="s">
        <v>39</v>
      </c>
      <c r="G13" s="3" t="s">
        <v>62</v>
      </c>
      <c r="H13" s="3" t="s">
        <v>30</v>
      </c>
      <c r="I13" s="15">
        <v>43452</v>
      </c>
      <c r="J13" s="3" t="s">
        <v>22</v>
      </c>
      <c r="K13" s="15"/>
      <c r="L13" s="16">
        <v>43600</v>
      </c>
      <c r="M13" s="3">
        <v>4</v>
      </c>
      <c r="N13" s="3">
        <v>4</v>
      </c>
      <c r="O13" s="3" t="s">
        <v>23</v>
      </c>
      <c r="P13" s="17" t="s">
        <v>42</v>
      </c>
      <c r="R13">
        <f>COUNTIFS(E:E,E3,O:O,O3)</f>
        <v>22</v>
      </c>
    </row>
    <row r="14" spans="1:19" x14ac:dyDescent="0.3">
      <c r="A14" s="14">
        <v>1013</v>
      </c>
      <c r="B14" s="3" t="s">
        <v>63</v>
      </c>
      <c r="C14" s="3" t="s">
        <v>17</v>
      </c>
      <c r="D14" s="3">
        <v>38</v>
      </c>
      <c r="E14" s="3" t="s">
        <v>35</v>
      </c>
      <c r="F14" s="3" t="s">
        <v>64</v>
      </c>
      <c r="G14" s="3" t="s">
        <v>49</v>
      </c>
      <c r="H14" s="3" t="s">
        <v>33</v>
      </c>
      <c r="I14" s="15">
        <v>45224</v>
      </c>
      <c r="J14" s="3" t="s">
        <v>22</v>
      </c>
      <c r="K14" s="15"/>
      <c r="L14" s="16">
        <v>64800</v>
      </c>
      <c r="M14" s="3">
        <v>3</v>
      </c>
      <c r="N14" s="3">
        <v>5</v>
      </c>
      <c r="O14" s="3" t="s">
        <v>22</v>
      </c>
      <c r="P14" s="17" t="s">
        <v>42</v>
      </c>
      <c r="R14">
        <f>COUNTIF(E:E,E3)</f>
        <v>44</v>
      </c>
    </row>
    <row r="15" spans="1:19" x14ac:dyDescent="0.3">
      <c r="A15" s="14">
        <v>1014</v>
      </c>
      <c r="B15" s="3" t="s">
        <v>66</v>
      </c>
      <c r="C15" s="3" t="s">
        <v>26</v>
      </c>
      <c r="D15" s="3">
        <v>44</v>
      </c>
      <c r="E15" s="3" t="s">
        <v>55</v>
      </c>
      <c r="F15" s="3" t="s">
        <v>67</v>
      </c>
      <c r="G15" s="3" t="s">
        <v>68</v>
      </c>
      <c r="H15" s="3" t="s">
        <v>30</v>
      </c>
      <c r="I15" s="15">
        <v>43219</v>
      </c>
      <c r="J15" s="3" t="s">
        <v>22</v>
      </c>
      <c r="K15" s="15"/>
      <c r="L15" s="16">
        <v>39900</v>
      </c>
      <c r="M15" s="3">
        <v>4</v>
      </c>
      <c r="N15" s="3">
        <v>2</v>
      </c>
      <c r="O15" s="3" t="s">
        <v>22</v>
      </c>
      <c r="P15" s="17" t="s">
        <v>24</v>
      </c>
    </row>
    <row r="16" spans="1:19" x14ac:dyDescent="0.3">
      <c r="A16" s="14">
        <v>1015</v>
      </c>
      <c r="B16" s="3" t="s">
        <v>69</v>
      </c>
      <c r="C16" s="3" t="s">
        <v>17</v>
      </c>
      <c r="D16" s="3">
        <v>52</v>
      </c>
      <c r="E16" s="3" t="s">
        <v>44</v>
      </c>
      <c r="F16" s="3" t="s">
        <v>70</v>
      </c>
      <c r="G16" s="3" t="s">
        <v>20</v>
      </c>
      <c r="H16" s="3" t="s">
        <v>46</v>
      </c>
      <c r="I16" s="15">
        <v>43906</v>
      </c>
      <c r="J16" s="3" t="s">
        <v>22</v>
      </c>
      <c r="K16" s="15"/>
      <c r="L16" s="16">
        <v>41400</v>
      </c>
      <c r="M16" s="3">
        <v>3</v>
      </c>
      <c r="N16" s="3">
        <v>5</v>
      </c>
      <c r="O16" s="3" t="s">
        <v>23</v>
      </c>
      <c r="P16" s="17" t="s">
        <v>24</v>
      </c>
      <c r="R16">
        <f>COUNTIF(O:O,O2)</f>
        <v>228</v>
      </c>
    </row>
    <row r="17" spans="1:18" x14ac:dyDescent="0.3">
      <c r="A17" s="14">
        <v>1016</v>
      </c>
      <c r="B17" s="3" t="s">
        <v>71</v>
      </c>
      <c r="C17" s="3" t="s">
        <v>26</v>
      </c>
      <c r="D17" s="3">
        <v>33</v>
      </c>
      <c r="E17" s="3" t="s">
        <v>44</v>
      </c>
      <c r="F17" s="3" t="s">
        <v>45</v>
      </c>
      <c r="G17" s="3" t="s">
        <v>68</v>
      </c>
      <c r="H17" s="3" t="s">
        <v>30</v>
      </c>
      <c r="I17" s="15">
        <v>44878</v>
      </c>
      <c r="J17" s="3" t="s">
        <v>22</v>
      </c>
      <c r="K17" s="15"/>
      <c r="L17" s="16">
        <v>88100</v>
      </c>
      <c r="M17" s="3">
        <v>3</v>
      </c>
      <c r="N17" s="3">
        <v>4</v>
      </c>
      <c r="O17" s="3" t="s">
        <v>22</v>
      </c>
      <c r="P17" s="17" t="s">
        <v>24</v>
      </c>
      <c r="R17">
        <f>COUNTIFS(E:E,E3,J:J,J9)</f>
        <v>13</v>
      </c>
    </row>
    <row r="18" spans="1:18" x14ac:dyDescent="0.3">
      <c r="A18" s="14">
        <v>1017</v>
      </c>
      <c r="B18" s="3" t="s">
        <v>72</v>
      </c>
      <c r="C18" s="3" t="s">
        <v>26</v>
      </c>
      <c r="D18" s="3">
        <v>51</v>
      </c>
      <c r="E18" s="3" t="s">
        <v>35</v>
      </c>
      <c r="F18" s="3" t="s">
        <v>36</v>
      </c>
      <c r="G18" s="3" t="s">
        <v>29</v>
      </c>
      <c r="H18" s="3" t="s">
        <v>46</v>
      </c>
      <c r="I18" s="15">
        <v>43699</v>
      </c>
      <c r="J18" s="3" t="s">
        <v>22</v>
      </c>
      <c r="K18" s="15"/>
      <c r="L18" s="16">
        <v>99600</v>
      </c>
      <c r="M18" s="3">
        <v>4</v>
      </c>
      <c r="N18" s="3">
        <v>3</v>
      </c>
      <c r="O18" s="3" t="s">
        <v>23</v>
      </c>
      <c r="P18" s="17" t="s">
        <v>42</v>
      </c>
    </row>
    <row r="19" spans="1:18" x14ac:dyDescent="0.3">
      <c r="A19" s="14">
        <v>1018</v>
      </c>
      <c r="B19" s="3" t="s">
        <v>73</v>
      </c>
      <c r="C19" s="3" t="s">
        <v>26</v>
      </c>
      <c r="D19" s="3">
        <v>23</v>
      </c>
      <c r="E19" s="3" t="s">
        <v>35</v>
      </c>
      <c r="F19" s="3" t="s">
        <v>48</v>
      </c>
      <c r="G19" s="3" t="s">
        <v>68</v>
      </c>
      <c r="H19" s="3" t="s">
        <v>46</v>
      </c>
      <c r="I19" s="15">
        <v>44132</v>
      </c>
      <c r="J19" s="3" t="s">
        <v>22</v>
      </c>
      <c r="K19" s="15"/>
      <c r="L19" s="16">
        <v>109400</v>
      </c>
      <c r="M19" s="3">
        <v>4</v>
      </c>
      <c r="N19" s="3">
        <v>3</v>
      </c>
      <c r="O19" s="3" t="s">
        <v>22</v>
      </c>
      <c r="P19" s="17" t="s">
        <v>24</v>
      </c>
    </row>
    <row r="20" spans="1:18" x14ac:dyDescent="0.3">
      <c r="A20" s="14">
        <v>1019</v>
      </c>
      <c r="B20" s="3" t="s">
        <v>74</v>
      </c>
      <c r="C20" s="3" t="s">
        <v>26</v>
      </c>
      <c r="D20" s="3">
        <v>56</v>
      </c>
      <c r="E20" s="3" t="s">
        <v>75</v>
      </c>
      <c r="F20" s="3" t="s">
        <v>76</v>
      </c>
      <c r="G20" s="3" t="s">
        <v>57</v>
      </c>
      <c r="H20" s="3" t="s">
        <v>46</v>
      </c>
      <c r="I20" s="15">
        <v>43722</v>
      </c>
      <c r="J20" s="3" t="s">
        <v>22</v>
      </c>
      <c r="K20" s="15"/>
      <c r="L20" s="16">
        <v>72500</v>
      </c>
      <c r="M20" s="3">
        <v>1</v>
      </c>
      <c r="N20" s="3">
        <v>2</v>
      </c>
      <c r="O20" s="3" t="s">
        <v>23</v>
      </c>
      <c r="P20" s="17" t="s">
        <v>42</v>
      </c>
    </row>
    <row r="21" spans="1:18" x14ac:dyDescent="0.3">
      <c r="A21" s="14">
        <v>1020</v>
      </c>
      <c r="B21" s="3" t="s">
        <v>77</v>
      </c>
      <c r="C21" s="3" t="s">
        <v>17</v>
      </c>
      <c r="D21" s="3">
        <v>55</v>
      </c>
      <c r="E21" s="3" t="s">
        <v>44</v>
      </c>
      <c r="F21" s="3" t="s">
        <v>78</v>
      </c>
      <c r="G21" s="3" t="s">
        <v>29</v>
      </c>
      <c r="H21" s="3" t="s">
        <v>21</v>
      </c>
      <c r="I21" s="15">
        <v>45274</v>
      </c>
      <c r="J21" s="3" t="s">
        <v>23</v>
      </c>
      <c r="K21" s="15" t="s">
        <v>79</v>
      </c>
      <c r="L21" s="16">
        <v>45000</v>
      </c>
      <c r="M21" s="3">
        <v>4</v>
      </c>
      <c r="N21" s="3">
        <v>2</v>
      </c>
      <c r="O21" s="3" t="s">
        <v>23</v>
      </c>
      <c r="P21" s="17" t="s">
        <v>24</v>
      </c>
    </row>
    <row r="22" spans="1:18" x14ac:dyDescent="0.3">
      <c r="A22" s="14">
        <v>1021</v>
      </c>
      <c r="B22" s="3" t="s">
        <v>80</v>
      </c>
      <c r="C22" s="3" t="s">
        <v>17</v>
      </c>
      <c r="D22" s="3">
        <v>54</v>
      </c>
      <c r="E22" s="3" t="s">
        <v>18</v>
      </c>
      <c r="F22" s="3" t="s">
        <v>19</v>
      </c>
      <c r="G22" s="3" t="s">
        <v>62</v>
      </c>
      <c r="H22" s="3" t="s">
        <v>21</v>
      </c>
      <c r="I22" s="15">
        <v>45198</v>
      </c>
      <c r="J22" s="3" t="s">
        <v>22</v>
      </c>
      <c r="K22" s="15"/>
      <c r="L22" s="16">
        <v>41800</v>
      </c>
      <c r="M22" s="3">
        <v>3</v>
      </c>
      <c r="N22" s="3">
        <v>4</v>
      </c>
      <c r="O22" s="3" t="s">
        <v>23</v>
      </c>
      <c r="P22" s="17" t="s">
        <v>24</v>
      </c>
    </row>
    <row r="23" spans="1:18" x14ac:dyDescent="0.3">
      <c r="A23" s="14">
        <v>1022</v>
      </c>
      <c r="B23" s="3" t="s">
        <v>81</v>
      </c>
      <c r="C23" s="3" t="s">
        <v>26</v>
      </c>
      <c r="D23" s="3">
        <v>47</v>
      </c>
      <c r="E23" s="3" t="s">
        <v>38</v>
      </c>
      <c r="F23" s="3" t="s">
        <v>82</v>
      </c>
      <c r="G23" s="3" t="s">
        <v>57</v>
      </c>
      <c r="H23" s="3" t="s">
        <v>33</v>
      </c>
      <c r="I23" s="15">
        <v>44911</v>
      </c>
      <c r="J23" s="3" t="s">
        <v>22</v>
      </c>
      <c r="K23" s="15"/>
      <c r="L23" s="16">
        <v>46900</v>
      </c>
      <c r="M23" s="3">
        <v>4</v>
      </c>
      <c r="N23" s="3">
        <v>2</v>
      </c>
      <c r="O23" s="3" t="s">
        <v>22</v>
      </c>
      <c r="P23" s="17" t="s">
        <v>42</v>
      </c>
    </row>
    <row r="24" spans="1:18" x14ac:dyDescent="0.3">
      <c r="A24" s="14">
        <v>1023</v>
      </c>
      <c r="B24" s="3" t="s">
        <v>83</v>
      </c>
      <c r="C24" s="3" t="s">
        <v>17</v>
      </c>
      <c r="D24" s="3">
        <v>36</v>
      </c>
      <c r="E24" s="3" t="s">
        <v>35</v>
      </c>
      <c r="F24" s="3" t="s">
        <v>84</v>
      </c>
      <c r="G24" s="3" t="s">
        <v>60</v>
      </c>
      <c r="H24" s="3" t="s">
        <v>30</v>
      </c>
      <c r="I24" s="15">
        <v>43486</v>
      </c>
      <c r="J24" s="3" t="s">
        <v>22</v>
      </c>
      <c r="K24" s="15"/>
      <c r="L24" s="16">
        <v>65600</v>
      </c>
      <c r="M24" s="3">
        <v>3</v>
      </c>
      <c r="N24" s="3">
        <v>2</v>
      </c>
      <c r="O24" s="3" t="s">
        <v>23</v>
      </c>
      <c r="P24" s="17" t="s">
        <v>24</v>
      </c>
    </row>
    <row r="25" spans="1:18" x14ac:dyDescent="0.3">
      <c r="A25" s="14">
        <v>1024</v>
      </c>
      <c r="B25" s="3" t="s">
        <v>85</v>
      </c>
      <c r="C25" s="3" t="s">
        <v>17</v>
      </c>
      <c r="D25" s="3">
        <v>27</v>
      </c>
      <c r="E25" s="3" t="s">
        <v>55</v>
      </c>
      <c r="F25" s="3" t="s">
        <v>67</v>
      </c>
      <c r="G25" s="3" t="s">
        <v>86</v>
      </c>
      <c r="H25" s="3" t="s">
        <v>21</v>
      </c>
      <c r="I25" s="15">
        <v>44599</v>
      </c>
      <c r="J25" s="3" t="s">
        <v>22</v>
      </c>
      <c r="K25" s="15"/>
      <c r="L25" s="16">
        <v>27400</v>
      </c>
      <c r="M25" s="3">
        <v>4</v>
      </c>
      <c r="N25" s="3">
        <v>1</v>
      </c>
      <c r="O25" s="3" t="s">
        <v>22</v>
      </c>
      <c r="P25" s="17" t="s">
        <v>24</v>
      </c>
    </row>
    <row r="26" spans="1:18" x14ac:dyDescent="0.3">
      <c r="A26" s="14">
        <v>1025</v>
      </c>
      <c r="B26" s="3" t="s">
        <v>87</v>
      </c>
      <c r="C26" s="3" t="s">
        <v>17</v>
      </c>
      <c r="D26" s="3">
        <v>27</v>
      </c>
      <c r="E26" s="3" t="s">
        <v>44</v>
      </c>
      <c r="F26" s="3" t="s">
        <v>70</v>
      </c>
      <c r="G26" s="3" t="s">
        <v>68</v>
      </c>
      <c r="H26" s="3" t="s">
        <v>33</v>
      </c>
      <c r="I26" s="15">
        <v>44188</v>
      </c>
      <c r="J26" s="3" t="s">
        <v>22</v>
      </c>
      <c r="K26" s="15"/>
      <c r="L26" s="16">
        <v>40300</v>
      </c>
      <c r="M26" s="3">
        <v>5</v>
      </c>
      <c r="N26" s="3">
        <v>2</v>
      </c>
      <c r="O26" s="3" t="s">
        <v>22</v>
      </c>
      <c r="P26" s="17" t="s">
        <v>24</v>
      </c>
    </row>
    <row r="27" spans="1:18" x14ac:dyDescent="0.3">
      <c r="A27" s="14">
        <v>1026</v>
      </c>
      <c r="B27" s="3" t="s">
        <v>88</v>
      </c>
      <c r="C27" s="3" t="s">
        <v>17</v>
      </c>
      <c r="D27" s="3">
        <v>33</v>
      </c>
      <c r="E27" s="3" t="s">
        <v>75</v>
      </c>
      <c r="F27" s="3" t="s">
        <v>89</v>
      </c>
      <c r="G27" s="3" t="s">
        <v>49</v>
      </c>
      <c r="H27" s="3" t="s">
        <v>33</v>
      </c>
      <c r="I27" s="15">
        <v>44843</v>
      </c>
      <c r="J27" s="3" t="s">
        <v>23</v>
      </c>
      <c r="K27" s="15" t="s">
        <v>90</v>
      </c>
      <c r="L27" s="16">
        <v>45900</v>
      </c>
      <c r="M27" s="3">
        <v>3</v>
      </c>
      <c r="N27" s="3">
        <v>3</v>
      </c>
      <c r="O27" s="3" t="s">
        <v>23</v>
      </c>
      <c r="P27" s="17" t="s">
        <v>42</v>
      </c>
    </row>
    <row r="28" spans="1:18" x14ac:dyDescent="0.3">
      <c r="A28" s="14">
        <v>1027</v>
      </c>
      <c r="B28" s="3" t="s">
        <v>91</v>
      </c>
      <c r="C28" s="3" t="s">
        <v>26</v>
      </c>
      <c r="D28" s="3">
        <v>39</v>
      </c>
      <c r="E28" s="3" t="s">
        <v>38</v>
      </c>
      <c r="F28" s="3" t="s">
        <v>82</v>
      </c>
      <c r="G28" s="3" t="s">
        <v>86</v>
      </c>
      <c r="H28" s="3" t="s">
        <v>30</v>
      </c>
      <c r="I28" s="15">
        <v>43630</v>
      </c>
      <c r="J28" s="3" t="s">
        <v>22</v>
      </c>
      <c r="K28" s="15"/>
      <c r="L28" s="16">
        <v>41600</v>
      </c>
      <c r="M28" s="3">
        <v>4</v>
      </c>
      <c r="N28" s="3">
        <v>2</v>
      </c>
      <c r="O28" s="3" t="s">
        <v>22</v>
      </c>
      <c r="P28" s="17" t="s">
        <v>42</v>
      </c>
    </row>
    <row r="29" spans="1:18" x14ac:dyDescent="0.3">
      <c r="A29" s="14">
        <v>1028</v>
      </c>
      <c r="B29" s="3" t="s">
        <v>92</v>
      </c>
      <c r="C29" s="3" t="s">
        <v>17</v>
      </c>
      <c r="D29" s="3">
        <v>50</v>
      </c>
      <c r="E29" s="3" t="s">
        <v>52</v>
      </c>
      <c r="F29" s="3" t="s">
        <v>93</v>
      </c>
      <c r="G29" s="3" t="s">
        <v>68</v>
      </c>
      <c r="H29" s="3" t="s">
        <v>21</v>
      </c>
      <c r="I29" s="15">
        <v>45149</v>
      </c>
      <c r="J29" s="3" t="s">
        <v>22</v>
      </c>
      <c r="K29" s="15"/>
      <c r="L29" s="16">
        <v>100700</v>
      </c>
      <c r="M29" s="3">
        <v>3</v>
      </c>
      <c r="N29" s="3">
        <v>3</v>
      </c>
      <c r="O29" s="3" t="s">
        <v>23</v>
      </c>
      <c r="P29" s="17" t="s">
        <v>42</v>
      </c>
    </row>
    <row r="30" spans="1:18" x14ac:dyDescent="0.3">
      <c r="A30" s="14">
        <v>1029</v>
      </c>
      <c r="B30" s="3" t="s">
        <v>94</v>
      </c>
      <c r="C30" s="3" t="s">
        <v>26</v>
      </c>
      <c r="D30" s="3">
        <v>49</v>
      </c>
      <c r="E30" s="3" t="s">
        <v>38</v>
      </c>
      <c r="F30" s="3" t="s">
        <v>82</v>
      </c>
      <c r="G30" s="3" t="s">
        <v>62</v>
      </c>
      <c r="H30" s="3" t="s">
        <v>33</v>
      </c>
      <c r="I30" s="15">
        <v>45128</v>
      </c>
      <c r="J30" s="3" t="s">
        <v>22</v>
      </c>
      <c r="K30" s="15"/>
      <c r="L30" s="16">
        <v>51300</v>
      </c>
      <c r="M30" s="3">
        <v>5</v>
      </c>
      <c r="N30" s="3">
        <v>3</v>
      </c>
      <c r="O30" s="3" t="s">
        <v>23</v>
      </c>
      <c r="P30" s="17" t="s">
        <v>42</v>
      </c>
    </row>
    <row r="31" spans="1:18" x14ac:dyDescent="0.3">
      <c r="A31" s="14">
        <v>1030</v>
      </c>
      <c r="B31" s="3" t="s">
        <v>95</v>
      </c>
      <c r="C31" s="3" t="s">
        <v>26</v>
      </c>
      <c r="D31" s="3">
        <v>22</v>
      </c>
      <c r="E31" s="3" t="s">
        <v>55</v>
      </c>
      <c r="F31" s="3" t="s">
        <v>56</v>
      </c>
      <c r="G31" s="3" t="s">
        <v>29</v>
      </c>
      <c r="H31" s="3" t="s">
        <v>46</v>
      </c>
      <c r="I31" s="15">
        <v>43390</v>
      </c>
      <c r="J31" s="3" t="s">
        <v>22</v>
      </c>
      <c r="K31" s="15"/>
      <c r="L31" s="16">
        <v>63400</v>
      </c>
      <c r="M31" s="3">
        <v>5</v>
      </c>
      <c r="N31" s="3">
        <v>1</v>
      </c>
      <c r="O31" s="3" t="s">
        <v>23</v>
      </c>
      <c r="P31" s="17" t="s">
        <v>24</v>
      </c>
    </row>
    <row r="32" spans="1:18" x14ac:dyDescent="0.3">
      <c r="A32" s="14">
        <v>1031</v>
      </c>
      <c r="B32" s="3" t="s">
        <v>96</v>
      </c>
      <c r="C32" s="3" t="s">
        <v>17</v>
      </c>
      <c r="D32" s="3">
        <v>51</v>
      </c>
      <c r="E32" s="3" t="s">
        <v>27</v>
      </c>
      <c r="F32" s="3" t="s">
        <v>28</v>
      </c>
      <c r="G32" s="3" t="s">
        <v>49</v>
      </c>
      <c r="H32" s="3" t="s">
        <v>33</v>
      </c>
      <c r="I32" s="15">
        <v>43860</v>
      </c>
      <c r="J32" s="3" t="s">
        <v>22</v>
      </c>
      <c r="K32" s="15"/>
      <c r="L32" s="16">
        <v>36500</v>
      </c>
      <c r="M32" s="3">
        <v>3</v>
      </c>
      <c r="N32" s="3">
        <v>3</v>
      </c>
      <c r="O32" s="3" t="s">
        <v>22</v>
      </c>
      <c r="P32" s="17" t="s">
        <v>42</v>
      </c>
    </row>
    <row r="33" spans="1:16" x14ac:dyDescent="0.3">
      <c r="A33" s="14">
        <v>1032</v>
      </c>
      <c r="B33" s="3" t="s">
        <v>97</v>
      </c>
      <c r="C33" s="3" t="s">
        <v>26</v>
      </c>
      <c r="D33" s="3">
        <v>46</v>
      </c>
      <c r="E33" s="3" t="s">
        <v>75</v>
      </c>
      <c r="F33" s="3" t="s">
        <v>89</v>
      </c>
      <c r="G33" s="3" t="s">
        <v>29</v>
      </c>
      <c r="H33" s="3" t="s">
        <v>21</v>
      </c>
      <c r="I33" s="15">
        <v>43444</v>
      </c>
      <c r="J33" s="3" t="s">
        <v>22</v>
      </c>
      <c r="K33" s="15"/>
      <c r="L33" s="16">
        <v>39500</v>
      </c>
      <c r="M33" s="3">
        <v>4</v>
      </c>
      <c r="N33" s="3">
        <v>5</v>
      </c>
      <c r="O33" s="3" t="s">
        <v>23</v>
      </c>
      <c r="P33" s="17" t="s">
        <v>42</v>
      </c>
    </row>
    <row r="34" spans="1:16" x14ac:dyDescent="0.3">
      <c r="A34" s="14">
        <v>1033</v>
      </c>
      <c r="B34" s="3" t="s">
        <v>98</v>
      </c>
      <c r="C34" s="3" t="s">
        <v>26</v>
      </c>
      <c r="D34" s="3">
        <v>41</v>
      </c>
      <c r="E34" s="3" t="s">
        <v>55</v>
      </c>
      <c r="F34" s="3" t="s">
        <v>67</v>
      </c>
      <c r="G34" s="3" t="s">
        <v>57</v>
      </c>
      <c r="H34" s="3" t="s">
        <v>33</v>
      </c>
      <c r="I34" s="15">
        <v>44347</v>
      </c>
      <c r="J34" s="3" t="s">
        <v>22</v>
      </c>
      <c r="K34" s="15"/>
      <c r="L34" s="16">
        <v>35300</v>
      </c>
      <c r="M34" s="3">
        <v>2</v>
      </c>
      <c r="N34" s="3">
        <v>2</v>
      </c>
      <c r="O34" s="3" t="s">
        <v>22</v>
      </c>
      <c r="P34" s="17" t="s">
        <v>24</v>
      </c>
    </row>
    <row r="35" spans="1:16" x14ac:dyDescent="0.3">
      <c r="A35" s="14">
        <v>1034</v>
      </c>
      <c r="B35" s="3" t="s">
        <v>99</v>
      </c>
      <c r="C35" s="3" t="s">
        <v>26</v>
      </c>
      <c r="D35" s="3">
        <v>54</v>
      </c>
      <c r="E35" s="3" t="s">
        <v>52</v>
      </c>
      <c r="F35" s="3" t="s">
        <v>93</v>
      </c>
      <c r="G35" s="3" t="s">
        <v>60</v>
      </c>
      <c r="H35" s="3" t="s">
        <v>33</v>
      </c>
      <c r="I35" s="15">
        <v>44859</v>
      </c>
      <c r="J35" s="3" t="s">
        <v>23</v>
      </c>
      <c r="K35" s="15" t="s">
        <v>100</v>
      </c>
      <c r="L35" s="16">
        <v>102900</v>
      </c>
      <c r="M35" s="3">
        <v>4</v>
      </c>
      <c r="N35" s="3">
        <v>5</v>
      </c>
      <c r="O35" s="3" t="s">
        <v>23</v>
      </c>
      <c r="P35" s="17" t="s">
        <v>42</v>
      </c>
    </row>
    <row r="36" spans="1:16" x14ac:dyDescent="0.3">
      <c r="A36" s="14">
        <v>1035</v>
      </c>
      <c r="B36" s="3" t="s">
        <v>101</v>
      </c>
      <c r="C36" s="3" t="s">
        <v>26</v>
      </c>
      <c r="D36" s="3">
        <v>50</v>
      </c>
      <c r="E36" s="3" t="s">
        <v>35</v>
      </c>
      <c r="F36" s="3" t="s">
        <v>84</v>
      </c>
      <c r="G36" s="3" t="s">
        <v>20</v>
      </c>
      <c r="H36" s="3" t="s">
        <v>30</v>
      </c>
      <c r="I36" s="15">
        <v>45388</v>
      </c>
      <c r="J36" s="3" t="s">
        <v>22</v>
      </c>
      <c r="K36" s="15"/>
      <c r="L36" s="16">
        <v>56600</v>
      </c>
      <c r="M36" s="3">
        <v>1</v>
      </c>
      <c r="N36" s="3">
        <v>2</v>
      </c>
      <c r="O36" s="3" t="s">
        <v>22</v>
      </c>
      <c r="P36" s="17" t="s">
        <v>24</v>
      </c>
    </row>
    <row r="37" spans="1:16" x14ac:dyDescent="0.3">
      <c r="A37" s="14">
        <v>1036</v>
      </c>
      <c r="B37" s="3" t="s">
        <v>102</v>
      </c>
      <c r="C37" s="3" t="s">
        <v>26</v>
      </c>
      <c r="D37" s="3">
        <v>38</v>
      </c>
      <c r="E37" s="3" t="s">
        <v>44</v>
      </c>
      <c r="F37" s="3" t="s">
        <v>78</v>
      </c>
      <c r="G37" s="3" t="s">
        <v>20</v>
      </c>
      <c r="H37" s="3" t="s">
        <v>30</v>
      </c>
      <c r="I37" s="15">
        <v>43405</v>
      </c>
      <c r="J37" s="3" t="s">
        <v>22</v>
      </c>
      <c r="K37" s="15"/>
      <c r="L37" s="16">
        <v>49900</v>
      </c>
      <c r="M37" s="3">
        <v>3</v>
      </c>
      <c r="N37" s="3">
        <v>2</v>
      </c>
      <c r="O37" s="3" t="s">
        <v>22</v>
      </c>
      <c r="P37" s="17" t="s">
        <v>24</v>
      </c>
    </row>
    <row r="38" spans="1:16" x14ac:dyDescent="0.3">
      <c r="A38" s="14">
        <v>1037</v>
      </c>
      <c r="B38" s="3" t="s">
        <v>103</v>
      </c>
      <c r="C38" s="3" t="s">
        <v>26</v>
      </c>
      <c r="D38" s="3">
        <v>34</v>
      </c>
      <c r="E38" s="3" t="s">
        <v>38</v>
      </c>
      <c r="F38" s="3" t="s">
        <v>41</v>
      </c>
      <c r="G38" s="3" t="s">
        <v>49</v>
      </c>
      <c r="H38" s="3" t="s">
        <v>33</v>
      </c>
      <c r="I38" s="15">
        <v>43418</v>
      </c>
      <c r="J38" s="3" t="s">
        <v>22</v>
      </c>
      <c r="K38" s="15"/>
      <c r="L38" s="16">
        <v>94200</v>
      </c>
      <c r="M38" s="3">
        <v>3</v>
      </c>
      <c r="N38" s="3">
        <v>3</v>
      </c>
      <c r="O38" s="3" t="s">
        <v>23</v>
      </c>
      <c r="P38" s="17" t="s">
        <v>42</v>
      </c>
    </row>
    <row r="39" spans="1:16" x14ac:dyDescent="0.3">
      <c r="A39" s="14">
        <v>1038</v>
      </c>
      <c r="B39" s="3" t="s">
        <v>104</v>
      </c>
      <c r="C39" s="3" t="s">
        <v>17</v>
      </c>
      <c r="D39" s="3">
        <v>53</v>
      </c>
      <c r="E39" s="3" t="s">
        <v>52</v>
      </c>
      <c r="F39" s="3" t="s">
        <v>93</v>
      </c>
      <c r="G39" s="3" t="s">
        <v>20</v>
      </c>
      <c r="H39" s="3" t="s">
        <v>46</v>
      </c>
      <c r="I39" s="15">
        <v>44292</v>
      </c>
      <c r="J39" s="3" t="s">
        <v>22</v>
      </c>
      <c r="K39" s="15"/>
      <c r="L39" s="16">
        <v>102000</v>
      </c>
      <c r="M39" s="3">
        <v>3</v>
      </c>
      <c r="N39" s="3">
        <v>1</v>
      </c>
      <c r="O39" s="3" t="s">
        <v>23</v>
      </c>
      <c r="P39" s="17" t="s">
        <v>24</v>
      </c>
    </row>
    <row r="40" spans="1:16" x14ac:dyDescent="0.3">
      <c r="A40" s="14">
        <v>1039</v>
      </c>
      <c r="B40" s="3" t="s">
        <v>105</v>
      </c>
      <c r="C40" s="3" t="s">
        <v>26</v>
      </c>
      <c r="D40" s="3">
        <v>39</v>
      </c>
      <c r="E40" s="3" t="s">
        <v>52</v>
      </c>
      <c r="F40" s="3" t="s">
        <v>53</v>
      </c>
      <c r="G40" s="3" t="s">
        <v>20</v>
      </c>
      <c r="H40" s="3" t="s">
        <v>30</v>
      </c>
      <c r="I40" s="15">
        <v>44685</v>
      </c>
      <c r="J40" s="3" t="s">
        <v>22</v>
      </c>
      <c r="K40" s="15"/>
      <c r="L40" s="16">
        <v>46700</v>
      </c>
      <c r="M40" s="3">
        <v>5</v>
      </c>
      <c r="N40" s="3">
        <v>5</v>
      </c>
      <c r="O40" s="3" t="s">
        <v>23</v>
      </c>
      <c r="P40" s="17" t="s">
        <v>42</v>
      </c>
    </row>
    <row r="41" spans="1:16" x14ac:dyDescent="0.3">
      <c r="A41" s="14">
        <v>1040</v>
      </c>
      <c r="B41" s="3" t="s">
        <v>106</v>
      </c>
      <c r="C41" s="3" t="s">
        <v>17</v>
      </c>
      <c r="D41" s="3">
        <v>45</v>
      </c>
      <c r="E41" s="3" t="s">
        <v>75</v>
      </c>
      <c r="F41" s="3" t="s">
        <v>89</v>
      </c>
      <c r="G41" s="3" t="s">
        <v>49</v>
      </c>
      <c r="H41" s="3" t="s">
        <v>33</v>
      </c>
      <c r="I41" s="15">
        <v>44048</v>
      </c>
      <c r="J41" s="3" t="s">
        <v>22</v>
      </c>
      <c r="K41" s="15"/>
      <c r="L41" s="16">
        <v>39900</v>
      </c>
      <c r="M41" s="3">
        <v>5</v>
      </c>
      <c r="N41" s="3">
        <v>2</v>
      </c>
      <c r="O41" s="3" t="s">
        <v>23</v>
      </c>
      <c r="P41" s="17" t="s">
        <v>24</v>
      </c>
    </row>
    <row r="42" spans="1:16" x14ac:dyDescent="0.3">
      <c r="A42" s="14">
        <v>1041</v>
      </c>
      <c r="B42" s="3" t="s">
        <v>107</v>
      </c>
      <c r="C42" s="3" t="s">
        <v>17</v>
      </c>
      <c r="D42" s="3">
        <v>44</v>
      </c>
      <c r="E42" s="3" t="s">
        <v>52</v>
      </c>
      <c r="F42" s="3" t="s">
        <v>93</v>
      </c>
      <c r="G42" s="3" t="s">
        <v>60</v>
      </c>
      <c r="H42" s="3" t="s">
        <v>30</v>
      </c>
      <c r="I42" s="15">
        <v>44641</v>
      </c>
      <c r="J42" s="3" t="s">
        <v>23</v>
      </c>
      <c r="K42" s="15" t="s">
        <v>108</v>
      </c>
      <c r="L42" s="16">
        <v>87900</v>
      </c>
      <c r="M42" s="3">
        <v>4</v>
      </c>
      <c r="N42" s="3">
        <v>4</v>
      </c>
      <c r="O42" s="3" t="s">
        <v>23</v>
      </c>
      <c r="P42" s="17" t="s">
        <v>42</v>
      </c>
    </row>
    <row r="43" spans="1:16" x14ac:dyDescent="0.3">
      <c r="A43" s="14">
        <v>1042</v>
      </c>
      <c r="B43" s="3" t="s">
        <v>109</v>
      </c>
      <c r="C43" s="3" t="s">
        <v>17</v>
      </c>
      <c r="D43" s="3">
        <v>46</v>
      </c>
      <c r="E43" s="3" t="s">
        <v>52</v>
      </c>
      <c r="F43" s="3" t="s">
        <v>53</v>
      </c>
      <c r="G43" s="3" t="s">
        <v>20</v>
      </c>
      <c r="H43" s="3" t="s">
        <v>30</v>
      </c>
      <c r="I43" s="15">
        <v>43413</v>
      </c>
      <c r="J43" s="3" t="s">
        <v>22</v>
      </c>
      <c r="K43" s="15"/>
      <c r="L43" s="16">
        <v>49700</v>
      </c>
      <c r="M43" s="3">
        <v>3</v>
      </c>
      <c r="N43" s="3">
        <v>1</v>
      </c>
      <c r="O43" s="3" t="s">
        <v>22</v>
      </c>
      <c r="P43" s="17" t="s">
        <v>42</v>
      </c>
    </row>
    <row r="44" spans="1:16" x14ac:dyDescent="0.3">
      <c r="A44" s="14">
        <v>1043</v>
      </c>
      <c r="B44" s="3" t="s">
        <v>97</v>
      </c>
      <c r="C44" s="3" t="s">
        <v>26</v>
      </c>
      <c r="D44" s="3">
        <v>34</v>
      </c>
      <c r="E44" s="3" t="s">
        <v>27</v>
      </c>
      <c r="F44" s="3" t="s">
        <v>32</v>
      </c>
      <c r="G44" s="3" t="s">
        <v>57</v>
      </c>
      <c r="H44" s="3" t="s">
        <v>21</v>
      </c>
      <c r="I44" s="15">
        <v>44630</v>
      </c>
      <c r="J44" s="3" t="s">
        <v>23</v>
      </c>
      <c r="K44" s="15" t="s">
        <v>110</v>
      </c>
      <c r="L44" s="16">
        <v>83800</v>
      </c>
      <c r="M44" s="3">
        <v>3</v>
      </c>
      <c r="N44" s="3">
        <v>5</v>
      </c>
      <c r="O44" s="3" t="s">
        <v>23</v>
      </c>
      <c r="P44" s="17" t="s">
        <v>42</v>
      </c>
    </row>
    <row r="45" spans="1:16" x14ac:dyDescent="0.3">
      <c r="A45" s="14">
        <v>1044</v>
      </c>
      <c r="B45" s="3" t="s">
        <v>111</v>
      </c>
      <c r="C45" s="3" t="s">
        <v>17</v>
      </c>
      <c r="D45" s="3">
        <v>57</v>
      </c>
      <c r="E45" s="3" t="s">
        <v>35</v>
      </c>
      <c r="F45" s="3" t="s">
        <v>84</v>
      </c>
      <c r="G45" s="3" t="s">
        <v>62</v>
      </c>
      <c r="H45" s="3" t="s">
        <v>33</v>
      </c>
      <c r="I45" s="15">
        <v>43622</v>
      </c>
      <c r="J45" s="3" t="s">
        <v>22</v>
      </c>
      <c r="K45" s="15"/>
      <c r="L45" s="16">
        <v>59700</v>
      </c>
      <c r="M45" s="3">
        <v>3</v>
      </c>
      <c r="N45" s="3">
        <v>3</v>
      </c>
      <c r="O45" s="3" t="s">
        <v>22</v>
      </c>
      <c r="P45" s="17" t="s">
        <v>24</v>
      </c>
    </row>
    <row r="46" spans="1:16" x14ac:dyDescent="0.3">
      <c r="A46" s="14">
        <v>1045</v>
      </c>
      <c r="B46" s="3" t="s">
        <v>112</v>
      </c>
      <c r="C46" s="3" t="s">
        <v>17</v>
      </c>
      <c r="D46" s="3">
        <v>32</v>
      </c>
      <c r="E46" s="3" t="s">
        <v>38</v>
      </c>
      <c r="F46" s="3" t="s">
        <v>41</v>
      </c>
      <c r="G46" s="3" t="s">
        <v>57</v>
      </c>
      <c r="H46" s="3" t="s">
        <v>33</v>
      </c>
      <c r="I46" s="15">
        <v>43763</v>
      </c>
      <c r="J46" s="3" t="s">
        <v>22</v>
      </c>
      <c r="K46" s="15"/>
      <c r="L46" s="16">
        <v>76000</v>
      </c>
      <c r="M46" s="3">
        <v>4</v>
      </c>
      <c r="N46" s="3">
        <v>5</v>
      </c>
      <c r="O46" s="3" t="s">
        <v>23</v>
      </c>
      <c r="P46" s="17" t="s">
        <v>24</v>
      </c>
    </row>
    <row r="47" spans="1:16" x14ac:dyDescent="0.3">
      <c r="A47" s="14">
        <v>1046</v>
      </c>
      <c r="B47" s="3" t="s">
        <v>113</v>
      </c>
      <c r="C47" s="3" t="s">
        <v>17</v>
      </c>
      <c r="D47" s="3">
        <v>27</v>
      </c>
      <c r="E47" s="3" t="s">
        <v>55</v>
      </c>
      <c r="F47" s="3" t="s">
        <v>67</v>
      </c>
      <c r="G47" s="3" t="s">
        <v>68</v>
      </c>
      <c r="H47" s="3" t="s">
        <v>46</v>
      </c>
      <c r="I47" s="15">
        <v>43816</v>
      </c>
      <c r="J47" s="3" t="s">
        <v>22</v>
      </c>
      <c r="K47" s="15"/>
      <c r="L47" s="16">
        <v>31600</v>
      </c>
      <c r="M47" s="3">
        <v>2</v>
      </c>
      <c r="N47" s="3">
        <v>3</v>
      </c>
      <c r="O47" s="3" t="s">
        <v>23</v>
      </c>
      <c r="P47" s="17" t="s">
        <v>42</v>
      </c>
    </row>
    <row r="48" spans="1:16" x14ac:dyDescent="0.3">
      <c r="A48" s="14">
        <v>1047</v>
      </c>
      <c r="B48" s="3" t="s">
        <v>114</v>
      </c>
      <c r="C48" s="3" t="s">
        <v>17</v>
      </c>
      <c r="D48" s="3">
        <v>43</v>
      </c>
      <c r="E48" s="3" t="s">
        <v>55</v>
      </c>
      <c r="F48" s="3" t="s">
        <v>67</v>
      </c>
      <c r="G48" s="3" t="s">
        <v>57</v>
      </c>
      <c r="H48" s="3" t="s">
        <v>21</v>
      </c>
      <c r="I48" s="15">
        <v>43355</v>
      </c>
      <c r="J48" s="3" t="s">
        <v>22</v>
      </c>
      <c r="K48" s="15"/>
      <c r="L48" s="16">
        <v>33600</v>
      </c>
      <c r="M48" s="3">
        <v>4</v>
      </c>
      <c r="N48" s="3">
        <v>5</v>
      </c>
      <c r="O48" s="3" t="s">
        <v>23</v>
      </c>
      <c r="P48" s="17" t="s">
        <v>42</v>
      </c>
    </row>
    <row r="49" spans="1:16" x14ac:dyDescent="0.3">
      <c r="A49" s="14">
        <v>1048</v>
      </c>
      <c r="B49" s="3" t="s">
        <v>115</v>
      </c>
      <c r="C49" s="3" t="s">
        <v>17</v>
      </c>
      <c r="D49" s="3">
        <v>23</v>
      </c>
      <c r="E49" s="3" t="s">
        <v>55</v>
      </c>
      <c r="F49" s="3" t="s">
        <v>56</v>
      </c>
      <c r="G49" s="3" t="s">
        <v>57</v>
      </c>
      <c r="H49" s="3" t="s">
        <v>21</v>
      </c>
      <c r="I49" s="15">
        <v>43622</v>
      </c>
      <c r="J49" s="3" t="s">
        <v>22</v>
      </c>
      <c r="K49" s="15"/>
      <c r="L49" s="16">
        <v>49700</v>
      </c>
      <c r="M49" s="3">
        <v>4</v>
      </c>
      <c r="N49" s="3">
        <v>4</v>
      </c>
      <c r="O49" s="3" t="s">
        <v>22</v>
      </c>
      <c r="P49" s="17" t="s">
        <v>42</v>
      </c>
    </row>
    <row r="50" spans="1:16" x14ac:dyDescent="0.3">
      <c r="A50" s="14">
        <v>1049</v>
      </c>
      <c r="B50" s="3" t="s">
        <v>116</v>
      </c>
      <c r="C50" s="3" t="s">
        <v>17</v>
      </c>
      <c r="D50" s="3">
        <v>31</v>
      </c>
      <c r="E50" s="3" t="s">
        <v>38</v>
      </c>
      <c r="F50" s="3" t="s">
        <v>82</v>
      </c>
      <c r="G50" s="3" t="s">
        <v>20</v>
      </c>
      <c r="H50" s="3" t="s">
        <v>46</v>
      </c>
      <c r="I50" s="15">
        <v>43723</v>
      </c>
      <c r="J50" s="3" t="s">
        <v>22</v>
      </c>
      <c r="K50" s="15"/>
      <c r="L50" s="16">
        <v>50800</v>
      </c>
      <c r="M50" s="3">
        <v>4</v>
      </c>
      <c r="N50" s="3">
        <v>4</v>
      </c>
      <c r="O50" s="3" t="s">
        <v>23</v>
      </c>
      <c r="P50" s="17" t="s">
        <v>42</v>
      </c>
    </row>
    <row r="51" spans="1:16" x14ac:dyDescent="0.3">
      <c r="A51" s="14">
        <v>1050</v>
      </c>
      <c r="B51" s="3" t="s">
        <v>117</v>
      </c>
      <c r="C51" s="3" t="s">
        <v>26</v>
      </c>
      <c r="D51" s="3">
        <v>38</v>
      </c>
      <c r="E51" s="3" t="s">
        <v>18</v>
      </c>
      <c r="F51" s="3" t="s">
        <v>59</v>
      </c>
      <c r="G51" s="3" t="s">
        <v>49</v>
      </c>
      <c r="H51" s="3" t="s">
        <v>46</v>
      </c>
      <c r="I51" s="15">
        <v>45264</v>
      </c>
      <c r="J51" s="3" t="s">
        <v>23</v>
      </c>
      <c r="K51" s="15" t="s">
        <v>118</v>
      </c>
      <c r="L51" s="16">
        <v>89500</v>
      </c>
      <c r="M51" s="3">
        <v>4</v>
      </c>
      <c r="N51" s="3">
        <v>3</v>
      </c>
      <c r="O51" s="3" t="s">
        <v>23</v>
      </c>
      <c r="P51" s="17" t="s">
        <v>24</v>
      </c>
    </row>
    <row r="52" spans="1:16" x14ac:dyDescent="0.3">
      <c r="A52" s="14">
        <v>1051</v>
      </c>
      <c r="B52" s="3" t="s">
        <v>115</v>
      </c>
      <c r="C52" s="3" t="s">
        <v>26</v>
      </c>
      <c r="D52" s="3">
        <v>39</v>
      </c>
      <c r="E52" s="3" t="s">
        <v>18</v>
      </c>
      <c r="F52" s="3" t="s">
        <v>59</v>
      </c>
      <c r="G52" s="3" t="s">
        <v>49</v>
      </c>
      <c r="H52" s="3" t="s">
        <v>30</v>
      </c>
      <c r="I52" s="15">
        <v>44396</v>
      </c>
      <c r="J52" s="3" t="s">
        <v>22</v>
      </c>
      <c r="K52" s="15"/>
      <c r="L52" s="16">
        <v>89700</v>
      </c>
      <c r="M52" s="3">
        <v>5</v>
      </c>
      <c r="N52" s="3">
        <v>2</v>
      </c>
      <c r="O52" s="3" t="s">
        <v>23</v>
      </c>
      <c r="P52" s="17" t="s">
        <v>42</v>
      </c>
    </row>
    <row r="53" spans="1:16" x14ac:dyDescent="0.3">
      <c r="A53" s="14">
        <v>1052</v>
      </c>
      <c r="B53" s="3" t="s">
        <v>119</v>
      </c>
      <c r="C53" s="3" t="s">
        <v>26</v>
      </c>
      <c r="D53" s="3">
        <v>27</v>
      </c>
      <c r="E53" s="3" t="s">
        <v>18</v>
      </c>
      <c r="F53" s="3" t="s">
        <v>19</v>
      </c>
      <c r="G53" s="3" t="s">
        <v>62</v>
      </c>
      <c r="H53" s="3" t="s">
        <v>30</v>
      </c>
      <c r="I53" s="15">
        <v>44154</v>
      </c>
      <c r="J53" s="3" t="s">
        <v>22</v>
      </c>
      <c r="K53" s="15"/>
      <c r="L53" s="16">
        <v>42400</v>
      </c>
      <c r="M53" s="3">
        <v>3</v>
      </c>
      <c r="N53" s="3">
        <v>4</v>
      </c>
      <c r="O53" s="3" t="s">
        <v>23</v>
      </c>
      <c r="P53" s="17" t="s">
        <v>24</v>
      </c>
    </row>
    <row r="54" spans="1:16" x14ac:dyDescent="0.3">
      <c r="A54" s="14">
        <v>1053</v>
      </c>
      <c r="B54" s="3" t="s">
        <v>120</v>
      </c>
      <c r="C54" s="3" t="s">
        <v>17</v>
      </c>
      <c r="D54" s="3">
        <v>54</v>
      </c>
      <c r="E54" s="3" t="s">
        <v>55</v>
      </c>
      <c r="F54" s="3" t="s">
        <v>67</v>
      </c>
      <c r="G54" s="3" t="s">
        <v>29</v>
      </c>
      <c r="H54" s="3" t="s">
        <v>21</v>
      </c>
      <c r="I54" s="15">
        <v>43377</v>
      </c>
      <c r="J54" s="3" t="s">
        <v>22</v>
      </c>
      <c r="K54" s="15"/>
      <c r="L54" s="16">
        <v>29800</v>
      </c>
      <c r="M54" s="3">
        <v>5</v>
      </c>
      <c r="N54" s="3">
        <v>2</v>
      </c>
      <c r="O54" s="3" t="s">
        <v>23</v>
      </c>
      <c r="P54" s="17" t="s">
        <v>24</v>
      </c>
    </row>
    <row r="55" spans="1:16" x14ac:dyDescent="0.3">
      <c r="A55" s="14">
        <v>1054</v>
      </c>
      <c r="B55" s="3" t="s">
        <v>121</v>
      </c>
      <c r="C55" s="3" t="s">
        <v>17</v>
      </c>
      <c r="D55" s="3">
        <v>36</v>
      </c>
      <c r="E55" s="3" t="s">
        <v>44</v>
      </c>
      <c r="F55" s="3" t="s">
        <v>78</v>
      </c>
      <c r="G55" s="3" t="s">
        <v>62</v>
      </c>
      <c r="H55" s="3" t="s">
        <v>46</v>
      </c>
      <c r="I55" s="15">
        <v>45087</v>
      </c>
      <c r="J55" s="3" t="s">
        <v>22</v>
      </c>
      <c r="K55" s="15"/>
      <c r="L55" s="16">
        <v>42700</v>
      </c>
      <c r="M55" s="3">
        <v>4</v>
      </c>
      <c r="N55" s="3">
        <v>2</v>
      </c>
      <c r="O55" s="3" t="s">
        <v>22</v>
      </c>
      <c r="P55" s="17" t="s">
        <v>42</v>
      </c>
    </row>
    <row r="56" spans="1:16" x14ac:dyDescent="0.3">
      <c r="A56" s="14">
        <v>1055</v>
      </c>
      <c r="B56" s="3" t="s">
        <v>122</v>
      </c>
      <c r="C56" s="3" t="s">
        <v>26</v>
      </c>
      <c r="D56" s="3">
        <v>47</v>
      </c>
      <c r="E56" s="3" t="s">
        <v>55</v>
      </c>
      <c r="F56" s="3" t="s">
        <v>67</v>
      </c>
      <c r="G56" s="3" t="s">
        <v>29</v>
      </c>
      <c r="H56" s="3" t="s">
        <v>46</v>
      </c>
      <c r="I56" s="15">
        <v>44942</v>
      </c>
      <c r="J56" s="3" t="s">
        <v>22</v>
      </c>
      <c r="K56" s="15"/>
      <c r="L56" s="16">
        <v>38700</v>
      </c>
      <c r="M56" s="3">
        <v>5</v>
      </c>
      <c r="N56" s="3">
        <v>1</v>
      </c>
      <c r="O56" s="3" t="s">
        <v>23</v>
      </c>
      <c r="P56" s="17" t="s">
        <v>24</v>
      </c>
    </row>
    <row r="57" spans="1:16" x14ac:dyDescent="0.3">
      <c r="A57" s="14">
        <v>1056</v>
      </c>
      <c r="B57" s="3" t="s">
        <v>123</v>
      </c>
      <c r="C57" s="3" t="s">
        <v>17</v>
      </c>
      <c r="D57" s="3">
        <v>43</v>
      </c>
      <c r="E57" s="3" t="s">
        <v>18</v>
      </c>
      <c r="F57" s="3" t="s">
        <v>124</v>
      </c>
      <c r="G57" s="3" t="s">
        <v>57</v>
      </c>
      <c r="H57" s="3" t="s">
        <v>21</v>
      </c>
      <c r="I57" s="15">
        <v>44913</v>
      </c>
      <c r="J57" s="3" t="s">
        <v>22</v>
      </c>
      <c r="K57" s="15"/>
      <c r="L57" s="16">
        <v>74300</v>
      </c>
      <c r="M57" s="3">
        <v>1</v>
      </c>
      <c r="N57" s="3">
        <v>3</v>
      </c>
      <c r="O57" s="3" t="s">
        <v>22</v>
      </c>
      <c r="P57" s="17" t="s">
        <v>42</v>
      </c>
    </row>
    <row r="58" spans="1:16" x14ac:dyDescent="0.3">
      <c r="A58" s="14">
        <v>1057</v>
      </c>
      <c r="B58" s="3" t="s">
        <v>125</v>
      </c>
      <c r="C58" s="3" t="s">
        <v>17</v>
      </c>
      <c r="D58" s="3">
        <v>25</v>
      </c>
      <c r="E58" s="3" t="s">
        <v>75</v>
      </c>
      <c r="F58" s="3" t="s">
        <v>76</v>
      </c>
      <c r="G58" s="3" t="s">
        <v>57</v>
      </c>
      <c r="H58" s="3" t="s">
        <v>33</v>
      </c>
      <c r="I58" s="15">
        <v>45040</v>
      </c>
      <c r="J58" s="3" t="s">
        <v>22</v>
      </c>
      <c r="K58" s="15"/>
      <c r="L58" s="16">
        <v>63500</v>
      </c>
      <c r="M58" s="3">
        <v>4</v>
      </c>
      <c r="N58" s="3">
        <v>3</v>
      </c>
      <c r="O58" s="3" t="s">
        <v>22</v>
      </c>
      <c r="P58" s="17" t="s">
        <v>24</v>
      </c>
    </row>
    <row r="59" spans="1:16" x14ac:dyDescent="0.3">
      <c r="A59" s="14">
        <v>1058</v>
      </c>
      <c r="B59" s="3" t="s">
        <v>126</v>
      </c>
      <c r="C59" s="3" t="s">
        <v>26</v>
      </c>
      <c r="D59" s="3">
        <v>51</v>
      </c>
      <c r="E59" s="3" t="s">
        <v>55</v>
      </c>
      <c r="F59" s="3" t="s">
        <v>67</v>
      </c>
      <c r="G59" s="3" t="s">
        <v>57</v>
      </c>
      <c r="H59" s="3" t="s">
        <v>33</v>
      </c>
      <c r="I59" s="15">
        <v>43357</v>
      </c>
      <c r="J59" s="3" t="s">
        <v>22</v>
      </c>
      <c r="K59" s="15"/>
      <c r="L59" s="16">
        <v>37500</v>
      </c>
      <c r="M59" s="3">
        <v>2</v>
      </c>
      <c r="N59" s="3">
        <v>1</v>
      </c>
      <c r="O59" s="3" t="s">
        <v>22</v>
      </c>
      <c r="P59" s="17" t="s">
        <v>24</v>
      </c>
    </row>
    <row r="60" spans="1:16" x14ac:dyDescent="0.3">
      <c r="A60" s="14">
        <v>1059</v>
      </c>
      <c r="B60" s="3" t="s">
        <v>127</v>
      </c>
      <c r="C60" s="3" t="s">
        <v>26</v>
      </c>
      <c r="D60" s="3">
        <v>41</v>
      </c>
      <c r="E60" s="3" t="s">
        <v>52</v>
      </c>
      <c r="F60" s="3" t="s">
        <v>93</v>
      </c>
      <c r="G60" s="3" t="s">
        <v>86</v>
      </c>
      <c r="H60" s="3" t="s">
        <v>21</v>
      </c>
      <c r="I60" s="15">
        <v>43116</v>
      </c>
      <c r="J60" s="3" t="s">
        <v>22</v>
      </c>
      <c r="K60" s="15"/>
      <c r="L60" s="16">
        <v>102500</v>
      </c>
      <c r="M60" s="3">
        <v>4</v>
      </c>
      <c r="N60" s="3">
        <v>1</v>
      </c>
      <c r="O60" s="3" t="s">
        <v>23</v>
      </c>
      <c r="P60" s="17" t="s">
        <v>42</v>
      </c>
    </row>
    <row r="61" spans="1:16" x14ac:dyDescent="0.3">
      <c r="A61" s="14">
        <v>1060</v>
      </c>
      <c r="B61" s="3" t="s">
        <v>128</v>
      </c>
      <c r="C61" s="3" t="s">
        <v>17</v>
      </c>
      <c r="D61" s="3">
        <v>30</v>
      </c>
      <c r="E61" s="3" t="s">
        <v>55</v>
      </c>
      <c r="F61" s="3" t="s">
        <v>56</v>
      </c>
      <c r="G61" s="3" t="s">
        <v>57</v>
      </c>
      <c r="H61" s="3" t="s">
        <v>30</v>
      </c>
      <c r="I61" s="15">
        <v>45134</v>
      </c>
      <c r="J61" s="3" t="s">
        <v>22</v>
      </c>
      <c r="K61" s="15"/>
      <c r="L61" s="16">
        <v>53200</v>
      </c>
      <c r="M61" s="3">
        <v>4</v>
      </c>
      <c r="N61" s="3">
        <v>2</v>
      </c>
      <c r="O61" s="3" t="s">
        <v>23</v>
      </c>
      <c r="P61" s="17" t="s">
        <v>24</v>
      </c>
    </row>
    <row r="62" spans="1:16" x14ac:dyDescent="0.3">
      <c r="A62" s="14">
        <v>1061</v>
      </c>
      <c r="B62" s="3" t="s">
        <v>129</v>
      </c>
      <c r="C62" s="3" t="s">
        <v>17</v>
      </c>
      <c r="D62" s="3">
        <v>32</v>
      </c>
      <c r="E62" s="3" t="s">
        <v>75</v>
      </c>
      <c r="F62" s="3" t="s">
        <v>89</v>
      </c>
      <c r="G62" s="3" t="s">
        <v>68</v>
      </c>
      <c r="H62" s="3" t="s">
        <v>30</v>
      </c>
      <c r="I62" s="15">
        <v>44113</v>
      </c>
      <c r="J62" s="3" t="s">
        <v>22</v>
      </c>
      <c r="K62" s="15"/>
      <c r="L62" s="16">
        <v>38500</v>
      </c>
      <c r="M62" s="3">
        <v>4</v>
      </c>
      <c r="N62" s="3">
        <v>5</v>
      </c>
      <c r="O62" s="3" t="s">
        <v>22</v>
      </c>
      <c r="P62" s="17" t="s">
        <v>42</v>
      </c>
    </row>
    <row r="63" spans="1:16" x14ac:dyDescent="0.3">
      <c r="A63" s="14">
        <v>1062</v>
      </c>
      <c r="B63" s="3" t="s">
        <v>130</v>
      </c>
      <c r="C63" s="3" t="s">
        <v>26</v>
      </c>
      <c r="D63" s="3">
        <v>28</v>
      </c>
      <c r="E63" s="3" t="s">
        <v>52</v>
      </c>
      <c r="F63" s="3" t="s">
        <v>93</v>
      </c>
      <c r="G63" s="3" t="s">
        <v>20</v>
      </c>
      <c r="H63" s="3" t="s">
        <v>46</v>
      </c>
      <c r="I63" s="15">
        <v>44825</v>
      </c>
      <c r="J63" s="3" t="s">
        <v>22</v>
      </c>
      <c r="K63" s="15"/>
      <c r="L63" s="16">
        <v>94400</v>
      </c>
      <c r="M63" s="3">
        <v>4</v>
      </c>
      <c r="N63" s="3">
        <v>2</v>
      </c>
      <c r="O63" s="3" t="s">
        <v>23</v>
      </c>
      <c r="P63" s="17" t="s">
        <v>24</v>
      </c>
    </row>
    <row r="64" spans="1:16" x14ac:dyDescent="0.3">
      <c r="A64" s="14">
        <v>1063</v>
      </c>
      <c r="B64" s="3" t="s">
        <v>131</v>
      </c>
      <c r="C64" s="3" t="s">
        <v>26</v>
      </c>
      <c r="D64" s="3">
        <v>58</v>
      </c>
      <c r="E64" s="3" t="s">
        <v>44</v>
      </c>
      <c r="F64" s="3" t="s">
        <v>45</v>
      </c>
      <c r="G64" s="3" t="s">
        <v>49</v>
      </c>
      <c r="H64" s="3" t="s">
        <v>21</v>
      </c>
      <c r="I64" s="15">
        <v>44197</v>
      </c>
      <c r="J64" s="3" t="s">
        <v>22</v>
      </c>
      <c r="K64" s="15"/>
      <c r="L64" s="16">
        <v>75500</v>
      </c>
      <c r="M64" s="3">
        <v>4</v>
      </c>
      <c r="N64" s="3">
        <v>2</v>
      </c>
      <c r="O64" s="3" t="s">
        <v>23</v>
      </c>
      <c r="P64" s="17" t="s">
        <v>42</v>
      </c>
    </row>
    <row r="65" spans="1:16" x14ac:dyDescent="0.3">
      <c r="A65" s="14">
        <v>1064</v>
      </c>
      <c r="B65" s="3" t="s">
        <v>132</v>
      </c>
      <c r="C65" s="3" t="s">
        <v>17</v>
      </c>
      <c r="D65" s="3">
        <v>38</v>
      </c>
      <c r="E65" s="3" t="s">
        <v>27</v>
      </c>
      <c r="F65" s="3" t="s">
        <v>32</v>
      </c>
      <c r="G65" s="3" t="s">
        <v>20</v>
      </c>
      <c r="H65" s="3" t="s">
        <v>30</v>
      </c>
      <c r="I65" s="15">
        <v>44108</v>
      </c>
      <c r="J65" s="3" t="s">
        <v>22</v>
      </c>
      <c r="K65" s="15"/>
      <c r="L65" s="16">
        <v>75800</v>
      </c>
      <c r="M65" s="3">
        <v>3</v>
      </c>
      <c r="N65" s="3">
        <v>4</v>
      </c>
      <c r="O65" s="3" t="s">
        <v>23</v>
      </c>
      <c r="P65" s="17" t="s">
        <v>42</v>
      </c>
    </row>
    <row r="66" spans="1:16" x14ac:dyDescent="0.3">
      <c r="A66" s="14">
        <v>1065</v>
      </c>
      <c r="B66" s="3" t="s">
        <v>133</v>
      </c>
      <c r="C66" s="3" t="s">
        <v>26</v>
      </c>
      <c r="D66" s="3">
        <v>36</v>
      </c>
      <c r="E66" s="3" t="s">
        <v>38</v>
      </c>
      <c r="F66" s="3" t="s">
        <v>39</v>
      </c>
      <c r="G66" s="3" t="s">
        <v>29</v>
      </c>
      <c r="H66" s="3" t="s">
        <v>21</v>
      </c>
      <c r="I66" s="15">
        <v>43589</v>
      </c>
      <c r="J66" s="3" t="s">
        <v>22</v>
      </c>
      <c r="K66" s="15"/>
      <c r="L66" s="16">
        <v>41800</v>
      </c>
      <c r="M66" s="3">
        <v>4</v>
      </c>
      <c r="N66" s="3">
        <v>2</v>
      </c>
      <c r="O66" s="3" t="s">
        <v>23</v>
      </c>
      <c r="P66" s="17" t="s">
        <v>24</v>
      </c>
    </row>
    <row r="67" spans="1:16" x14ac:dyDescent="0.3">
      <c r="A67" s="14">
        <v>1066</v>
      </c>
      <c r="B67" s="3" t="s">
        <v>134</v>
      </c>
      <c r="C67" s="3" t="s">
        <v>17</v>
      </c>
      <c r="D67" s="3">
        <v>44</v>
      </c>
      <c r="E67" s="3" t="s">
        <v>52</v>
      </c>
      <c r="F67" s="3" t="s">
        <v>93</v>
      </c>
      <c r="G67" s="3" t="s">
        <v>29</v>
      </c>
      <c r="H67" s="3" t="s">
        <v>33</v>
      </c>
      <c r="I67" s="15">
        <v>43992</v>
      </c>
      <c r="J67" s="3" t="s">
        <v>23</v>
      </c>
      <c r="K67" s="15" t="s">
        <v>135</v>
      </c>
      <c r="L67" s="16">
        <v>77800</v>
      </c>
      <c r="M67" s="3">
        <v>3</v>
      </c>
      <c r="N67" s="3">
        <v>1</v>
      </c>
      <c r="O67" s="3" t="s">
        <v>23</v>
      </c>
      <c r="P67" s="17" t="s">
        <v>42</v>
      </c>
    </row>
    <row r="68" spans="1:16" x14ac:dyDescent="0.3">
      <c r="A68" s="14">
        <v>1067</v>
      </c>
      <c r="B68" s="3" t="s">
        <v>136</v>
      </c>
      <c r="C68" s="3" t="s">
        <v>17</v>
      </c>
      <c r="D68" s="3">
        <v>35</v>
      </c>
      <c r="E68" s="3" t="s">
        <v>75</v>
      </c>
      <c r="F68" s="3" t="s">
        <v>89</v>
      </c>
      <c r="G68" s="3" t="s">
        <v>49</v>
      </c>
      <c r="H68" s="3" t="s">
        <v>33</v>
      </c>
      <c r="I68" s="15">
        <v>43229</v>
      </c>
      <c r="J68" s="3" t="s">
        <v>23</v>
      </c>
      <c r="K68" s="15" t="s">
        <v>137</v>
      </c>
      <c r="L68" s="16">
        <v>44400</v>
      </c>
      <c r="M68" s="3">
        <v>4</v>
      </c>
      <c r="N68" s="3">
        <v>4</v>
      </c>
      <c r="O68" s="3" t="s">
        <v>23</v>
      </c>
      <c r="P68" s="17" t="s">
        <v>42</v>
      </c>
    </row>
    <row r="69" spans="1:16" x14ac:dyDescent="0.3">
      <c r="A69" s="14">
        <v>1068</v>
      </c>
      <c r="B69" s="3" t="s">
        <v>138</v>
      </c>
      <c r="C69" s="3" t="s">
        <v>17</v>
      </c>
      <c r="D69" s="3">
        <v>48</v>
      </c>
      <c r="E69" s="3" t="s">
        <v>52</v>
      </c>
      <c r="F69" s="3" t="s">
        <v>53</v>
      </c>
      <c r="G69" s="3" t="s">
        <v>49</v>
      </c>
      <c r="H69" s="3" t="s">
        <v>21</v>
      </c>
      <c r="I69" s="15">
        <v>43311</v>
      </c>
      <c r="J69" s="3" t="s">
        <v>22</v>
      </c>
      <c r="K69" s="15"/>
      <c r="L69" s="16">
        <v>48700</v>
      </c>
      <c r="M69" s="3">
        <v>4</v>
      </c>
      <c r="N69" s="3">
        <v>4</v>
      </c>
      <c r="O69" s="3" t="s">
        <v>23</v>
      </c>
      <c r="P69" s="17" t="s">
        <v>24</v>
      </c>
    </row>
    <row r="70" spans="1:16" x14ac:dyDescent="0.3">
      <c r="A70" s="14">
        <v>1069</v>
      </c>
      <c r="B70" s="3" t="s">
        <v>139</v>
      </c>
      <c r="C70" s="3" t="s">
        <v>17</v>
      </c>
      <c r="D70" s="3">
        <v>32</v>
      </c>
      <c r="E70" s="3" t="s">
        <v>55</v>
      </c>
      <c r="F70" s="3" t="s">
        <v>67</v>
      </c>
      <c r="G70" s="3" t="s">
        <v>29</v>
      </c>
      <c r="H70" s="3" t="s">
        <v>30</v>
      </c>
      <c r="I70" s="15">
        <v>44836</v>
      </c>
      <c r="J70" s="3" t="s">
        <v>22</v>
      </c>
      <c r="K70" s="15"/>
      <c r="L70" s="16">
        <v>28700</v>
      </c>
      <c r="M70" s="3">
        <v>2</v>
      </c>
      <c r="N70" s="3">
        <v>3</v>
      </c>
      <c r="O70" s="3" t="s">
        <v>22</v>
      </c>
      <c r="P70" s="17" t="s">
        <v>42</v>
      </c>
    </row>
    <row r="71" spans="1:16" x14ac:dyDescent="0.3">
      <c r="A71" s="14">
        <v>1070</v>
      </c>
      <c r="B71" s="3" t="s">
        <v>140</v>
      </c>
      <c r="C71" s="3" t="s">
        <v>26</v>
      </c>
      <c r="D71" s="3">
        <v>54</v>
      </c>
      <c r="E71" s="3" t="s">
        <v>35</v>
      </c>
      <c r="F71" s="3" t="s">
        <v>48</v>
      </c>
      <c r="G71" s="3" t="s">
        <v>20</v>
      </c>
      <c r="H71" s="3" t="s">
        <v>21</v>
      </c>
      <c r="I71" s="15">
        <v>43804</v>
      </c>
      <c r="J71" s="3" t="s">
        <v>22</v>
      </c>
      <c r="K71" s="15"/>
      <c r="L71" s="16">
        <v>106300</v>
      </c>
      <c r="M71" s="3">
        <v>3</v>
      </c>
      <c r="N71" s="3">
        <v>1</v>
      </c>
      <c r="O71" s="3" t="s">
        <v>23</v>
      </c>
      <c r="P71" s="17" t="s">
        <v>24</v>
      </c>
    </row>
    <row r="72" spans="1:16" x14ac:dyDescent="0.3">
      <c r="A72" s="14">
        <v>1071</v>
      </c>
      <c r="B72" s="3" t="s">
        <v>141</v>
      </c>
      <c r="C72" s="3" t="s">
        <v>17</v>
      </c>
      <c r="D72" s="3">
        <v>25</v>
      </c>
      <c r="E72" s="3" t="s">
        <v>35</v>
      </c>
      <c r="F72" s="3" t="s">
        <v>64</v>
      </c>
      <c r="G72" s="3" t="s">
        <v>62</v>
      </c>
      <c r="H72" s="3" t="s">
        <v>21</v>
      </c>
      <c r="I72" s="15">
        <v>44689</v>
      </c>
      <c r="J72" s="3" t="s">
        <v>22</v>
      </c>
      <c r="K72" s="15"/>
      <c r="L72" s="16">
        <v>57500</v>
      </c>
      <c r="M72" s="3">
        <v>4</v>
      </c>
      <c r="N72" s="3">
        <v>2</v>
      </c>
      <c r="O72" s="3" t="s">
        <v>23</v>
      </c>
      <c r="P72" s="17" t="s">
        <v>24</v>
      </c>
    </row>
    <row r="73" spans="1:16" x14ac:dyDescent="0.3">
      <c r="A73" s="14">
        <v>1072</v>
      </c>
      <c r="B73" s="3" t="s">
        <v>66</v>
      </c>
      <c r="C73" s="3" t="s">
        <v>17</v>
      </c>
      <c r="D73" s="3">
        <v>55</v>
      </c>
      <c r="E73" s="3" t="s">
        <v>35</v>
      </c>
      <c r="F73" s="3" t="s">
        <v>36</v>
      </c>
      <c r="G73" s="3" t="s">
        <v>29</v>
      </c>
      <c r="H73" s="3" t="s">
        <v>30</v>
      </c>
      <c r="I73" s="15">
        <v>43741</v>
      </c>
      <c r="J73" s="3" t="s">
        <v>22</v>
      </c>
      <c r="K73" s="15"/>
      <c r="L73" s="16">
        <v>91300</v>
      </c>
      <c r="M73" s="3">
        <v>2</v>
      </c>
      <c r="N73" s="3">
        <v>2</v>
      </c>
      <c r="O73" s="3" t="s">
        <v>23</v>
      </c>
      <c r="P73" s="17" t="s">
        <v>42</v>
      </c>
    </row>
    <row r="74" spans="1:16" x14ac:dyDescent="0.3">
      <c r="A74" s="14">
        <v>1073</v>
      </c>
      <c r="B74" s="3" t="s">
        <v>142</v>
      </c>
      <c r="C74" s="3" t="s">
        <v>26</v>
      </c>
      <c r="D74" s="3">
        <v>41</v>
      </c>
      <c r="E74" s="3" t="s">
        <v>55</v>
      </c>
      <c r="F74" s="3" t="s">
        <v>56</v>
      </c>
      <c r="G74" s="3" t="s">
        <v>49</v>
      </c>
      <c r="H74" s="3" t="s">
        <v>30</v>
      </c>
      <c r="I74" s="15">
        <v>44121</v>
      </c>
      <c r="J74" s="3" t="s">
        <v>22</v>
      </c>
      <c r="K74" s="15"/>
      <c r="L74" s="16">
        <v>58800</v>
      </c>
      <c r="M74" s="3">
        <v>4</v>
      </c>
      <c r="N74" s="3">
        <v>4</v>
      </c>
      <c r="O74" s="3" t="s">
        <v>23</v>
      </c>
      <c r="P74" s="17" t="s">
        <v>42</v>
      </c>
    </row>
    <row r="75" spans="1:16" x14ac:dyDescent="0.3">
      <c r="A75" s="14">
        <v>1074</v>
      </c>
      <c r="B75" s="3" t="s">
        <v>143</v>
      </c>
      <c r="C75" s="3" t="s">
        <v>17</v>
      </c>
      <c r="D75" s="3">
        <v>33</v>
      </c>
      <c r="E75" s="3" t="s">
        <v>38</v>
      </c>
      <c r="F75" s="3" t="s">
        <v>82</v>
      </c>
      <c r="G75" s="3" t="s">
        <v>62</v>
      </c>
      <c r="H75" s="3" t="s">
        <v>30</v>
      </c>
      <c r="I75" s="15">
        <v>45039</v>
      </c>
      <c r="J75" s="3" t="s">
        <v>22</v>
      </c>
      <c r="K75" s="15"/>
      <c r="L75" s="16">
        <v>48500</v>
      </c>
      <c r="M75" s="3">
        <v>2</v>
      </c>
      <c r="N75" s="3">
        <v>3</v>
      </c>
      <c r="O75" s="3" t="s">
        <v>23</v>
      </c>
      <c r="P75" s="17" t="s">
        <v>24</v>
      </c>
    </row>
    <row r="76" spans="1:16" x14ac:dyDescent="0.3">
      <c r="A76" s="14">
        <v>1075</v>
      </c>
      <c r="B76" s="3" t="s">
        <v>144</v>
      </c>
      <c r="C76" s="3" t="s">
        <v>26</v>
      </c>
      <c r="D76" s="3">
        <v>42</v>
      </c>
      <c r="E76" s="3" t="s">
        <v>18</v>
      </c>
      <c r="F76" s="3" t="s">
        <v>59</v>
      </c>
      <c r="G76" s="3" t="s">
        <v>60</v>
      </c>
      <c r="H76" s="3" t="s">
        <v>33</v>
      </c>
      <c r="I76" s="15">
        <v>45196</v>
      </c>
      <c r="J76" s="3" t="s">
        <v>22</v>
      </c>
      <c r="K76" s="15"/>
      <c r="L76" s="16">
        <v>71400</v>
      </c>
      <c r="M76" s="3">
        <v>4</v>
      </c>
      <c r="N76" s="3">
        <v>2</v>
      </c>
      <c r="O76" s="3" t="s">
        <v>23</v>
      </c>
      <c r="P76" s="17" t="s">
        <v>42</v>
      </c>
    </row>
    <row r="77" spans="1:16" x14ac:dyDescent="0.3">
      <c r="A77" s="14">
        <v>1076</v>
      </c>
      <c r="B77" s="3" t="s">
        <v>145</v>
      </c>
      <c r="C77" s="3" t="s">
        <v>26</v>
      </c>
      <c r="D77" s="3">
        <v>36</v>
      </c>
      <c r="E77" s="3" t="s">
        <v>35</v>
      </c>
      <c r="F77" s="3" t="s">
        <v>48</v>
      </c>
      <c r="G77" s="3" t="s">
        <v>49</v>
      </c>
      <c r="H77" s="3" t="s">
        <v>46</v>
      </c>
      <c r="I77" s="15">
        <v>43369</v>
      </c>
      <c r="J77" s="3" t="s">
        <v>22</v>
      </c>
      <c r="K77" s="15"/>
      <c r="L77" s="16">
        <v>138400</v>
      </c>
      <c r="M77" s="3">
        <v>4</v>
      </c>
      <c r="N77" s="3">
        <v>3</v>
      </c>
      <c r="O77" s="3" t="s">
        <v>22</v>
      </c>
      <c r="P77" s="17" t="s">
        <v>24</v>
      </c>
    </row>
    <row r="78" spans="1:16" x14ac:dyDescent="0.3">
      <c r="A78" s="14">
        <v>1077</v>
      </c>
      <c r="B78" s="3" t="s">
        <v>146</v>
      </c>
      <c r="C78" s="3" t="s">
        <v>17</v>
      </c>
      <c r="D78" s="3">
        <v>42</v>
      </c>
      <c r="E78" s="3" t="s">
        <v>27</v>
      </c>
      <c r="F78" s="3" t="s">
        <v>28</v>
      </c>
      <c r="G78" s="3" t="s">
        <v>49</v>
      </c>
      <c r="H78" s="3" t="s">
        <v>46</v>
      </c>
      <c r="I78" s="15">
        <v>44625</v>
      </c>
      <c r="J78" s="3" t="s">
        <v>23</v>
      </c>
      <c r="K78" s="15" t="s">
        <v>65</v>
      </c>
      <c r="L78" s="16">
        <v>34600</v>
      </c>
      <c r="M78" s="3">
        <v>3</v>
      </c>
      <c r="N78" s="3">
        <v>3</v>
      </c>
      <c r="O78" s="3" t="s">
        <v>22</v>
      </c>
      <c r="P78" s="17" t="s">
        <v>42</v>
      </c>
    </row>
    <row r="79" spans="1:16" x14ac:dyDescent="0.3">
      <c r="A79" s="14">
        <v>1078</v>
      </c>
      <c r="B79" s="3" t="s">
        <v>147</v>
      </c>
      <c r="C79" s="3" t="s">
        <v>26</v>
      </c>
      <c r="D79" s="3">
        <v>57</v>
      </c>
      <c r="E79" s="3" t="s">
        <v>18</v>
      </c>
      <c r="F79" s="3" t="s">
        <v>59</v>
      </c>
      <c r="G79" s="3" t="s">
        <v>86</v>
      </c>
      <c r="H79" s="3" t="s">
        <v>30</v>
      </c>
      <c r="I79" s="15">
        <v>45236</v>
      </c>
      <c r="J79" s="3" t="s">
        <v>23</v>
      </c>
      <c r="K79" s="15" t="s">
        <v>148</v>
      </c>
      <c r="L79" s="16">
        <v>87600</v>
      </c>
      <c r="M79" s="3">
        <v>5</v>
      </c>
      <c r="N79" s="3">
        <v>4</v>
      </c>
      <c r="O79" s="3" t="s">
        <v>22</v>
      </c>
      <c r="P79" s="17" t="s">
        <v>24</v>
      </c>
    </row>
    <row r="80" spans="1:16" x14ac:dyDescent="0.3">
      <c r="A80" s="14">
        <v>1079</v>
      </c>
      <c r="B80" s="3" t="s">
        <v>149</v>
      </c>
      <c r="C80" s="3" t="s">
        <v>26</v>
      </c>
      <c r="D80" s="3">
        <v>36</v>
      </c>
      <c r="E80" s="3" t="s">
        <v>75</v>
      </c>
      <c r="F80" s="3" t="s">
        <v>76</v>
      </c>
      <c r="G80" s="3" t="s">
        <v>20</v>
      </c>
      <c r="H80" s="3" t="s">
        <v>30</v>
      </c>
      <c r="I80" s="15">
        <v>43824</v>
      </c>
      <c r="J80" s="3" t="s">
        <v>22</v>
      </c>
      <c r="K80" s="15"/>
      <c r="L80" s="16">
        <v>75000</v>
      </c>
      <c r="M80" s="3">
        <v>5</v>
      </c>
      <c r="N80" s="3">
        <v>5</v>
      </c>
      <c r="O80" s="3" t="s">
        <v>22</v>
      </c>
      <c r="P80" s="17" t="s">
        <v>24</v>
      </c>
    </row>
    <row r="81" spans="1:16" x14ac:dyDescent="0.3">
      <c r="A81" s="14">
        <v>1080</v>
      </c>
      <c r="B81" s="3" t="s">
        <v>150</v>
      </c>
      <c r="C81" s="3" t="s">
        <v>17</v>
      </c>
      <c r="D81" s="3">
        <v>31</v>
      </c>
      <c r="E81" s="3" t="s">
        <v>18</v>
      </c>
      <c r="F81" s="3" t="s">
        <v>59</v>
      </c>
      <c r="G81" s="3" t="s">
        <v>29</v>
      </c>
      <c r="H81" s="3" t="s">
        <v>46</v>
      </c>
      <c r="I81" s="15">
        <v>44292</v>
      </c>
      <c r="J81" s="3" t="s">
        <v>22</v>
      </c>
      <c r="K81" s="15"/>
      <c r="L81" s="16">
        <v>88800</v>
      </c>
      <c r="M81" s="3">
        <v>3</v>
      </c>
      <c r="N81" s="3">
        <v>1</v>
      </c>
      <c r="O81" s="3" t="s">
        <v>23</v>
      </c>
      <c r="P81" s="17" t="s">
        <v>24</v>
      </c>
    </row>
    <row r="82" spans="1:16" x14ac:dyDescent="0.3">
      <c r="A82" s="14">
        <v>1081</v>
      </c>
      <c r="B82" s="3" t="s">
        <v>151</v>
      </c>
      <c r="C82" s="3" t="s">
        <v>26</v>
      </c>
      <c r="D82" s="3">
        <v>41</v>
      </c>
      <c r="E82" s="3" t="s">
        <v>18</v>
      </c>
      <c r="F82" s="3" t="s">
        <v>19</v>
      </c>
      <c r="G82" s="3" t="s">
        <v>29</v>
      </c>
      <c r="H82" s="3" t="s">
        <v>21</v>
      </c>
      <c r="I82" s="15">
        <v>43536</v>
      </c>
      <c r="J82" s="3" t="s">
        <v>22</v>
      </c>
      <c r="K82" s="15"/>
      <c r="L82" s="16">
        <v>47700</v>
      </c>
      <c r="M82" s="3">
        <v>4</v>
      </c>
      <c r="N82" s="3">
        <v>3</v>
      </c>
      <c r="O82" s="3" t="s">
        <v>23</v>
      </c>
      <c r="P82" s="17" t="s">
        <v>42</v>
      </c>
    </row>
    <row r="83" spans="1:16" x14ac:dyDescent="0.3">
      <c r="A83" s="14">
        <v>1082</v>
      </c>
      <c r="B83" s="3" t="s">
        <v>152</v>
      </c>
      <c r="C83" s="3" t="s">
        <v>17</v>
      </c>
      <c r="D83" s="3">
        <v>31</v>
      </c>
      <c r="E83" s="3" t="s">
        <v>35</v>
      </c>
      <c r="F83" s="3" t="s">
        <v>36</v>
      </c>
      <c r="G83" s="3" t="s">
        <v>29</v>
      </c>
      <c r="H83" s="3" t="s">
        <v>46</v>
      </c>
      <c r="I83" s="15">
        <v>44947</v>
      </c>
      <c r="J83" s="3" t="s">
        <v>22</v>
      </c>
      <c r="K83" s="15"/>
      <c r="L83" s="16">
        <v>80800</v>
      </c>
      <c r="M83" s="3">
        <v>4</v>
      </c>
      <c r="N83" s="3">
        <v>3</v>
      </c>
      <c r="O83" s="3" t="s">
        <v>22</v>
      </c>
      <c r="P83" s="17" t="s">
        <v>24</v>
      </c>
    </row>
    <row r="84" spans="1:16" x14ac:dyDescent="0.3">
      <c r="A84" s="14">
        <v>1083</v>
      </c>
      <c r="B84" s="3" t="s">
        <v>153</v>
      </c>
      <c r="C84" s="3" t="s">
        <v>17</v>
      </c>
      <c r="D84" s="3">
        <v>32</v>
      </c>
      <c r="E84" s="3" t="s">
        <v>38</v>
      </c>
      <c r="F84" s="3" t="s">
        <v>41</v>
      </c>
      <c r="G84" s="3" t="s">
        <v>62</v>
      </c>
      <c r="H84" s="3" t="s">
        <v>46</v>
      </c>
      <c r="I84" s="15">
        <v>43102</v>
      </c>
      <c r="J84" s="3" t="s">
        <v>22</v>
      </c>
      <c r="K84" s="15"/>
      <c r="L84" s="16">
        <v>75000</v>
      </c>
      <c r="M84" s="3">
        <v>4</v>
      </c>
      <c r="N84" s="3">
        <v>2</v>
      </c>
      <c r="O84" s="3" t="s">
        <v>23</v>
      </c>
      <c r="P84" s="17" t="s">
        <v>42</v>
      </c>
    </row>
    <row r="85" spans="1:16" x14ac:dyDescent="0.3">
      <c r="A85" s="14">
        <v>1084</v>
      </c>
      <c r="B85" s="3" t="s">
        <v>154</v>
      </c>
      <c r="C85" s="3" t="s">
        <v>26</v>
      </c>
      <c r="D85" s="3">
        <v>55</v>
      </c>
      <c r="E85" s="3" t="s">
        <v>27</v>
      </c>
      <c r="F85" s="3" t="s">
        <v>155</v>
      </c>
      <c r="G85" s="3" t="s">
        <v>57</v>
      </c>
      <c r="H85" s="3" t="s">
        <v>46</v>
      </c>
      <c r="I85" s="15">
        <v>45177</v>
      </c>
      <c r="J85" s="3" t="s">
        <v>22</v>
      </c>
      <c r="K85" s="15"/>
      <c r="L85" s="16">
        <v>44400</v>
      </c>
      <c r="M85" s="3">
        <v>3</v>
      </c>
      <c r="N85" s="3">
        <v>5</v>
      </c>
      <c r="O85" s="3" t="s">
        <v>22</v>
      </c>
      <c r="P85" s="17" t="s">
        <v>42</v>
      </c>
    </row>
    <row r="86" spans="1:16" x14ac:dyDescent="0.3">
      <c r="A86" s="14">
        <v>1085</v>
      </c>
      <c r="B86" s="3" t="s">
        <v>156</v>
      </c>
      <c r="C86" s="3" t="s">
        <v>17</v>
      </c>
      <c r="D86" s="3">
        <v>27</v>
      </c>
      <c r="E86" s="3" t="s">
        <v>18</v>
      </c>
      <c r="F86" s="3" t="s">
        <v>124</v>
      </c>
      <c r="G86" s="3" t="s">
        <v>57</v>
      </c>
      <c r="H86" s="3" t="s">
        <v>30</v>
      </c>
      <c r="I86" s="15">
        <v>44954</v>
      </c>
      <c r="J86" s="3" t="s">
        <v>22</v>
      </c>
      <c r="K86" s="15"/>
      <c r="L86" s="16">
        <v>74500</v>
      </c>
      <c r="M86" s="3">
        <v>5</v>
      </c>
      <c r="N86" s="3">
        <v>1</v>
      </c>
      <c r="O86" s="3" t="s">
        <v>23</v>
      </c>
      <c r="P86" s="17" t="s">
        <v>24</v>
      </c>
    </row>
    <row r="87" spans="1:16" x14ac:dyDescent="0.3">
      <c r="A87" s="14">
        <v>1086</v>
      </c>
      <c r="B87" s="3" t="s">
        <v>157</v>
      </c>
      <c r="C87" s="3" t="s">
        <v>26</v>
      </c>
      <c r="D87" s="3">
        <v>40</v>
      </c>
      <c r="E87" s="3" t="s">
        <v>52</v>
      </c>
      <c r="F87" s="3" t="s">
        <v>93</v>
      </c>
      <c r="G87" s="3" t="s">
        <v>57</v>
      </c>
      <c r="H87" s="3" t="s">
        <v>21</v>
      </c>
      <c r="I87" s="15">
        <v>43989</v>
      </c>
      <c r="J87" s="3" t="s">
        <v>23</v>
      </c>
      <c r="K87" s="15" t="s">
        <v>158</v>
      </c>
      <c r="L87" s="16">
        <v>79600</v>
      </c>
      <c r="M87" s="3">
        <v>4</v>
      </c>
      <c r="N87" s="3">
        <v>2</v>
      </c>
      <c r="O87" s="3" t="s">
        <v>23</v>
      </c>
      <c r="P87" s="17" t="s">
        <v>24</v>
      </c>
    </row>
    <row r="88" spans="1:16" x14ac:dyDescent="0.3">
      <c r="A88" s="14">
        <v>1087</v>
      </c>
      <c r="B88" s="3" t="s">
        <v>159</v>
      </c>
      <c r="C88" s="3" t="s">
        <v>17</v>
      </c>
      <c r="D88" s="3">
        <v>55</v>
      </c>
      <c r="E88" s="3" t="s">
        <v>27</v>
      </c>
      <c r="F88" s="3" t="s">
        <v>32</v>
      </c>
      <c r="G88" s="3" t="s">
        <v>62</v>
      </c>
      <c r="H88" s="3" t="s">
        <v>30</v>
      </c>
      <c r="I88" s="15">
        <v>43127</v>
      </c>
      <c r="J88" s="3" t="s">
        <v>22</v>
      </c>
      <c r="K88" s="15"/>
      <c r="L88" s="16">
        <v>85900</v>
      </c>
      <c r="M88" s="3">
        <v>3</v>
      </c>
      <c r="N88" s="3">
        <v>5</v>
      </c>
      <c r="O88" s="3" t="s">
        <v>22</v>
      </c>
      <c r="P88" s="17" t="s">
        <v>42</v>
      </c>
    </row>
    <row r="89" spans="1:16" x14ac:dyDescent="0.3">
      <c r="A89" s="14">
        <v>1088</v>
      </c>
      <c r="B89" s="3" t="s">
        <v>160</v>
      </c>
      <c r="C89" s="3" t="s">
        <v>26</v>
      </c>
      <c r="D89" s="3">
        <v>29</v>
      </c>
      <c r="E89" s="3" t="s">
        <v>35</v>
      </c>
      <c r="F89" s="3" t="s">
        <v>36</v>
      </c>
      <c r="G89" s="3" t="s">
        <v>29</v>
      </c>
      <c r="H89" s="3" t="s">
        <v>33</v>
      </c>
      <c r="I89" s="15">
        <v>43537</v>
      </c>
      <c r="J89" s="3" t="s">
        <v>22</v>
      </c>
      <c r="K89" s="15"/>
      <c r="L89" s="16">
        <v>100000</v>
      </c>
      <c r="M89" s="3">
        <v>3</v>
      </c>
      <c r="N89" s="3">
        <v>1</v>
      </c>
      <c r="O89" s="3" t="s">
        <v>23</v>
      </c>
      <c r="P89" s="17" t="s">
        <v>42</v>
      </c>
    </row>
    <row r="90" spans="1:16" x14ac:dyDescent="0.3">
      <c r="A90" s="14">
        <v>1089</v>
      </c>
      <c r="B90" s="3" t="s">
        <v>161</v>
      </c>
      <c r="C90" s="3" t="s">
        <v>26</v>
      </c>
      <c r="D90" s="3">
        <v>56</v>
      </c>
      <c r="E90" s="3" t="s">
        <v>18</v>
      </c>
      <c r="F90" s="3" t="s">
        <v>19</v>
      </c>
      <c r="G90" s="3" t="s">
        <v>86</v>
      </c>
      <c r="H90" s="3" t="s">
        <v>46</v>
      </c>
      <c r="I90" s="15">
        <v>43371</v>
      </c>
      <c r="J90" s="3" t="s">
        <v>22</v>
      </c>
      <c r="K90" s="15"/>
      <c r="L90" s="16">
        <v>54100</v>
      </c>
      <c r="M90" s="3">
        <v>4</v>
      </c>
      <c r="N90" s="3">
        <v>4</v>
      </c>
      <c r="O90" s="3" t="s">
        <v>23</v>
      </c>
      <c r="P90" s="17" t="s">
        <v>42</v>
      </c>
    </row>
    <row r="91" spans="1:16" x14ac:dyDescent="0.3">
      <c r="A91" s="14">
        <v>1090</v>
      </c>
      <c r="B91" s="3" t="s">
        <v>162</v>
      </c>
      <c r="C91" s="3" t="s">
        <v>26</v>
      </c>
      <c r="D91" s="3">
        <v>52</v>
      </c>
      <c r="E91" s="3" t="s">
        <v>18</v>
      </c>
      <c r="F91" s="3" t="s">
        <v>19</v>
      </c>
      <c r="G91" s="3" t="s">
        <v>20</v>
      </c>
      <c r="H91" s="3" t="s">
        <v>21</v>
      </c>
      <c r="I91" s="15">
        <v>43510</v>
      </c>
      <c r="J91" s="3" t="s">
        <v>22</v>
      </c>
      <c r="K91" s="15"/>
      <c r="L91" s="16">
        <v>40600</v>
      </c>
      <c r="M91" s="3">
        <v>4</v>
      </c>
      <c r="N91" s="3">
        <v>3</v>
      </c>
      <c r="O91" s="3" t="s">
        <v>22</v>
      </c>
      <c r="P91" s="17" t="s">
        <v>24</v>
      </c>
    </row>
    <row r="92" spans="1:16" x14ac:dyDescent="0.3">
      <c r="A92" s="14">
        <v>1091</v>
      </c>
      <c r="B92" s="3" t="s">
        <v>163</v>
      </c>
      <c r="C92" s="3" t="s">
        <v>26</v>
      </c>
      <c r="D92" s="3">
        <v>45</v>
      </c>
      <c r="E92" s="3" t="s">
        <v>75</v>
      </c>
      <c r="F92" s="3" t="s">
        <v>76</v>
      </c>
      <c r="G92" s="3" t="s">
        <v>49</v>
      </c>
      <c r="H92" s="3" t="s">
        <v>33</v>
      </c>
      <c r="I92" s="15">
        <v>44415</v>
      </c>
      <c r="J92" s="3" t="s">
        <v>22</v>
      </c>
      <c r="K92" s="15"/>
      <c r="L92" s="16">
        <v>79200</v>
      </c>
      <c r="M92" s="3">
        <v>4</v>
      </c>
      <c r="N92" s="3">
        <v>3</v>
      </c>
      <c r="O92" s="3" t="s">
        <v>23</v>
      </c>
      <c r="P92" s="17" t="s">
        <v>24</v>
      </c>
    </row>
    <row r="93" spans="1:16" x14ac:dyDescent="0.3">
      <c r="A93" s="14">
        <v>1092</v>
      </c>
      <c r="B93" s="3" t="s">
        <v>126</v>
      </c>
      <c r="C93" s="3" t="s">
        <v>26</v>
      </c>
      <c r="D93" s="3">
        <v>27</v>
      </c>
      <c r="E93" s="3" t="s">
        <v>75</v>
      </c>
      <c r="F93" s="3" t="s">
        <v>76</v>
      </c>
      <c r="G93" s="3" t="s">
        <v>29</v>
      </c>
      <c r="H93" s="3" t="s">
        <v>46</v>
      </c>
      <c r="I93" s="15">
        <v>45454</v>
      </c>
      <c r="J93" s="3" t="s">
        <v>23</v>
      </c>
      <c r="K93" s="15" t="s">
        <v>164</v>
      </c>
      <c r="L93" s="16">
        <v>80600</v>
      </c>
      <c r="M93" s="3">
        <v>3</v>
      </c>
      <c r="N93" s="3">
        <v>3</v>
      </c>
      <c r="O93" s="3" t="s">
        <v>23</v>
      </c>
      <c r="P93" s="17" t="s">
        <v>42</v>
      </c>
    </row>
    <row r="94" spans="1:16" x14ac:dyDescent="0.3">
      <c r="A94" s="14">
        <v>1093</v>
      </c>
      <c r="B94" s="3" t="s">
        <v>165</v>
      </c>
      <c r="C94" s="3" t="s">
        <v>26</v>
      </c>
      <c r="D94" s="3">
        <v>44</v>
      </c>
      <c r="E94" s="3" t="s">
        <v>38</v>
      </c>
      <c r="F94" s="3" t="s">
        <v>41</v>
      </c>
      <c r="G94" s="3" t="s">
        <v>60</v>
      </c>
      <c r="H94" s="3" t="s">
        <v>30</v>
      </c>
      <c r="I94" s="15">
        <v>45211</v>
      </c>
      <c r="J94" s="3" t="s">
        <v>22</v>
      </c>
      <c r="K94" s="15"/>
      <c r="L94" s="16">
        <v>82400</v>
      </c>
      <c r="M94" s="3">
        <v>5</v>
      </c>
      <c r="N94" s="3">
        <v>2</v>
      </c>
      <c r="O94" s="3" t="s">
        <v>23</v>
      </c>
      <c r="P94" s="17" t="s">
        <v>24</v>
      </c>
    </row>
    <row r="95" spans="1:16" x14ac:dyDescent="0.3">
      <c r="A95" s="14">
        <v>1094</v>
      </c>
      <c r="B95" s="3" t="s">
        <v>166</v>
      </c>
      <c r="C95" s="3" t="s">
        <v>26</v>
      </c>
      <c r="D95" s="3">
        <v>44</v>
      </c>
      <c r="E95" s="3" t="s">
        <v>38</v>
      </c>
      <c r="F95" s="3" t="s">
        <v>41</v>
      </c>
      <c r="G95" s="3" t="s">
        <v>20</v>
      </c>
      <c r="H95" s="3" t="s">
        <v>21</v>
      </c>
      <c r="I95" s="15">
        <v>43490</v>
      </c>
      <c r="J95" s="3" t="s">
        <v>22</v>
      </c>
      <c r="K95" s="15"/>
      <c r="L95" s="16">
        <v>87300</v>
      </c>
      <c r="M95" s="3">
        <v>3</v>
      </c>
      <c r="N95" s="3">
        <v>1</v>
      </c>
      <c r="O95" s="3" t="s">
        <v>22</v>
      </c>
      <c r="P95" s="17" t="s">
        <v>42</v>
      </c>
    </row>
    <row r="96" spans="1:16" x14ac:dyDescent="0.3">
      <c r="A96" s="14">
        <v>1095</v>
      </c>
      <c r="B96" s="3" t="s">
        <v>167</v>
      </c>
      <c r="C96" s="3" t="s">
        <v>17</v>
      </c>
      <c r="D96" s="3">
        <v>36</v>
      </c>
      <c r="E96" s="3" t="s">
        <v>52</v>
      </c>
      <c r="F96" s="3" t="s">
        <v>53</v>
      </c>
      <c r="G96" s="3" t="s">
        <v>60</v>
      </c>
      <c r="H96" s="3" t="s">
        <v>30</v>
      </c>
      <c r="I96" s="15">
        <v>44988</v>
      </c>
      <c r="J96" s="3" t="s">
        <v>22</v>
      </c>
      <c r="K96" s="15"/>
      <c r="L96" s="16">
        <v>45000</v>
      </c>
      <c r="M96" s="3">
        <v>4</v>
      </c>
      <c r="N96" s="3">
        <v>5</v>
      </c>
      <c r="O96" s="3" t="s">
        <v>23</v>
      </c>
      <c r="P96" s="17" t="s">
        <v>24</v>
      </c>
    </row>
    <row r="97" spans="1:16" x14ac:dyDescent="0.3">
      <c r="A97" s="14">
        <v>1096</v>
      </c>
      <c r="B97" s="3" t="s">
        <v>168</v>
      </c>
      <c r="C97" s="3" t="s">
        <v>26</v>
      </c>
      <c r="D97" s="3">
        <v>51</v>
      </c>
      <c r="E97" s="3" t="s">
        <v>38</v>
      </c>
      <c r="F97" s="3" t="s">
        <v>41</v>
      </c>
      <c r="G97" s="3" t="s">
        <v>86</v>
      </c>
      <c r="H97" s="3" t="s">
        <v>46</v>
      </c>
      <c r="I97" s="15">
        <v>44898</v>
      </c>
      <c r="J97" s="3" t="s">
        <v>22</v>
      </c>
      <c r="K97" s="15"/>
      <c r="L97" s="16">
        <v>97300</v>
      </c>
      <c r="M97" s="3">
        <v>3</v>
      </c>
      <c r="N97" s="3">
        <v>3</v>
      </c>
      <c r="O97" s="3" t="s">
        <v>22</v>
      </c>
      <c r="P97" s="17" t="s">
        <v>42</v>
      </c>
    </row>
    <row r="98" spans="1:16" x14ac:dyDescent="0.3">
      <c r="A98" s="14">
        <v>1097</v>
      </c>
      <c r="B98" s="3" t="s">
        <v>169</v>
      </c>
      <c r="C98" s="3" t="s">
        <v>17</v>
      </c>
      <c r="D98" s="3">
        <v>37</v>
      </c>
      <c r="E98" s="3" t="s">
        <v>52</v>
      </c>
      <c r="F98" s="3" t="s">
        <v>93</v>
      </c>
      <c r="G98" s="3" t="s">
        <v>60</v>
      </c>
      <c r="H98" s="3" t="s">
        <v>46</v>
      </c>
      <c r="I98" s="15">
        <v>44438</v>
      </c>
      <c r="J98" s="3" t="s">
        <v>22</v>
      </c>
      <c r="K98" s="15"/>
      <c r="L98" s="16">
        <v>98200</v>
      </c>
      <c r="M98" s="3">
        <v>3</v>
      </c>
      <c r="N98" s="3">
        <v>2</v>
      </c>
      <c r="O98" s="3" t="s">
        <v>22</v>
      </c>
      <c r="P98" s="17" t="s">
        <v>42</v>
      </c>
    </row>
    <row r="99" spans="1:16" x14ac:dyDescent="0.3">
      <c r="A99" s="14">
        <v>1098</v>
      </c>
      <c r="B99" s="3" t="s">
        <v>166</v>
      </c>
      <c r="C99" s="3" t="s">
        <v>26</v>
      </c>
      <c r="D99" s="3">
        <v>41</v>
      </c>
      <c r="E99" s="3" t="s">
        <v>55</v>
      </c>
      <c r="F99" s="3" t="s">
        <v>67</v>
      </c>
      <c r="G99" s="3" t="s">
        <v>60</v>
      </c>
      <c r="H99" s="3" t="s">
        <v>21</v>
      </c>
      <c r="I99" s="15">
        <v>44882</v>
      </c>
      <c r="J99" s="3" t="s">
        <v>22</v>
      </c>
      <c r="K99" s="15"/>
      <c r="L99" s="16">
        <v>30700</v>
      </c>
      <c r="M99" s="3">
        <v>2</v>
      </c>
      <c r="N99" s="3">
        <v>3</v>
      </c>
      <c r="O99" s="3" t="s">
        <v>23</v>
      </c>
      <c r="P99" s="17" t="s">
        <v>24</v>
      </c>
    </row>
    <row r="100" spans="1:16" x14ac:dyDescent="0.3">
      <c r="A100" s="14">
        <v>1099</v>
      </c>
      <c r="B100" s="3" t="s">
        <v>170</v>
      </c>
      <c r="C100" s="3" t="s">
        <v>26</v>
      </c>
      <c r="D100" s="3">
        <v>51</v>
      </c>
      <c r="E100" s="3" t="s">
        <v>55</v>
      </c>
      <c r="F100" s="3" t="s">
        <v>56</v>
      </c>
      <c r="G100" s="3" t="s">
        <v>68</v>
      </c>
      <c r="H100" s="3" t="s">
        <v>21</v>
      </c>
      <c r="I100" s="15">
        <v>43191</v>
      </c>
      <c r="J100" s="3" t="s">
        <v>22</v>
      </c>
      <c r="K100" s="15"/>
      <c r="L100" s="16">
        <v>52200</v>
      </c>
      <c r="M100" s="3">
        <v>4</v>
      </c>
      <c r="N100" s="3">
        <v>2</v>
      </c>
      <c r="O100" s="3" t="s">
        <v>22</v>
      </c>
      <c r="P100" s="17" t="s">
        <v>24</v>
      </c>
    </row>
    <row r="101" spans="1:16" x14ac:dyDescent="0.3">
      <c r="A101" s="14">
        <v>1100</v>
      </c>
      <c r="B101" s="3" t="s">
        <v>171</v>
      </c>
      <c r="C101" s="3" t="s">
        <v>26</v>
      </c>
      <c r="D101" s="3">
        <v>42</v>
      </c>
      <c r="E101" s="3" t="s">
        <v>35</v>
      </c>
      <c r="F101" s="3" t="s">
        <v>64</v>
      </c>
      <c r="G101" s="3" t="s">
        <v>62</v>
      </c>
      <c r="H101" s="3" t="s">
        <v>30</v>
      </c>
      <c r="I101" s="15">
        <v>44165</v>
      </c>
      <c r="J101" s="3" t="s">
        <v>22</v>
      </c>
      <c r="K101" s="15"/>
      <c r="L101" s="16">
        <v>71600</v>
      </c>
      <c r="M101" s="3">
        <v>2</v>
      </c>
      <c r="N101" s="3">
        <v>4</v>
      </c>
      <c r="O101" s="3" t="s">
        <v>23</v>
      </c>
      <c r="P101" s="17" t="s">
        <v>24</v>
      </c>
    </row>
    <row r="102" spans="1:16" x14ac:dyDescent="0.3">
      <c r="A102" s="14">
        <v>1101</v>
      </c>
      <c r="B102" s="3" t="s">
        <v>172</v>
      </c>
      <c r="C102" s="3" t="s">
        <v>17</v>
      </c>
      <c r="D102" s="3">
        <v>42</v>
      </c>
      <c r="E102" s="3" t="s">
        <v>38</v>
      </c>
      <c r="F102" s="3" t="s">
        <v>82</v>
      </c>
      <c r="G102" s="3" t="s">
        <v>57</v>
      </c>
      <c r="H102" s="3" t="s">
        <v>46</v>
      </c>
      <c r="I102" s="15">
        <v>43144</v>
      </c>
      <c r="J102" s="3" t="s">
        <v>22</v>
      </c>
      <c r="K102" s="15"/>
      <c r="L102" s="16">
        <v>48300</v>
      </c>
      <c r="M102" s="3">
        <v>3</v>
      </c>
      <c r="N102" s="3">
        <v>1</v>
      </c>
      <c r="O102" s="3" t="s">
        <v>22</v>
      </c>
      <c r="P102" s="17" t="s">
        <v>42</v>
      </c>
    </row>
    <row r="103" spans="1:16" x14ac:dyDescent="0.3">
      <c r="A103" s="14">
        <v>1102</v>
      </c>
      <c r="B103" s="3" t="s">
        <v>92</v>
      </c>
      <c r="C103" s="3" t="s">
        <v>17</v>
      </c>
      <c r="D103" s="3">
        <v>52</v>
      </c>
      <c r="E103" s="3" t="s">
        <v>44</v>
      </c>
      <c r="F103" s="3" t="s">
        <v>78</v>
      </c>
      <c r="G103" s="3" t="s">
        <v>62</v>
      </c>
      <c r="H103" s="3" t="s">
        <v>46</v>
      </c>
      <c r="I103" s="15">
        <v>45198</v>
      </c>
      <c r="J103" s="3" t="s">
        <v>22</v>
      </c>
      <c r="K103" s="15"/>
      <c r="L103" s="16">
        <v>36000</v>
      </c>
      <c r="M103" s="3">
        <v>4</v>
      </c>
      <c r="N103" s="3">
        <v>3</v>
      </c>
      <c r="O103" s="3" t="s">
        <v>22</v>
      </c>
      <c r="P103" s="17" t="s">
        <v>24</v>
      </c>
    </row>
    <row r="104" spans="1:16" x14ac:dyDescent="0.3">
      <c r="A104" s="14">
        <v>1103</v>
      </c>
      <c r="B104" s="3" t="s">
        <v>123</v>
      </c>
      <c r="C104" s="3" t="s">
        <v>17</v>
      </c>
      <c r="D104" s="3">
        <v>38</v>
      </c>
      <c r="E104" s="3" t="s">
        <v>44</v>
      </c>
      <c r="F104" s="3" t="s">
        <v>78</v>
      </c>
      <c r="G104" s="3" t="s">
        <v>86</v>
      </c>
      <c r="H104" s="3" t="s">
        <v>33</v>
      </c>
      <c r="I104" s="15">
        <v>44224</v>
      </c>
      <c r="J104" s="3" t="s">
        <v>23</v>
      </c>
      <c r="K104" s="15" t="s">
        <v>173</v>
      </c>
      <c r="L104" s="16">
        <v>42100</v>
      </c>
      <c r="M104" s="3">
        <v>2</v>
      </c>
      <c r="N104" s="3">
        <v>3</v>
      </c>
      <c r="O104" s="3" t="s">
        <v>22</v>
      </c>
      <c r="P104" s="17" t="s">
        <v>42</v>
      </c>
    </row>
    <row r="105" spans="1:16" x14ac:dyDescent="0.3">
      <c r="A105" s="14">
        <v>1104</v>
      </c>
      <c r="B105" s="3" t="s">
        <v>174</v>
      </c>
      <c r="C105" s="3" t="s">
        <v>17</v>
      </c>
      <c r="D105" s="3">
        <v>32</v>
      </c>
      <c r="E105" s="3" t="s">
        <v>27</v>
      </c>
      <c r="F105" s="3" t="s">
        <v>32</v>
      </c>
      <c r="G105" s="3" t="s">
        <v>62</v>
      </c>
      <c r="H105" s="3" t="s">
        <v>46</v>
      </c>
      <c r="I105" s="15">
        <v>43630</v>
      </c>
      <c r="J105" s="3" t="s">
        <v>22</v>
      </c>
      <c r="K105" s="15"/>
      <c r="L105" s="16">
        <v>88000</v>
      </c>
      <c r="M105" s="3">
        <v>2</v>
      </c>
      <c r="N105" s="3">
        <v>2</v>
      </c>
      <c r="O105" s="3" t="s">
        <v>22</v>
      </c>
      <c r="P105" s="17" t="s">
        <v>42</v>
      </c>
    </row>
    <row r="106" spans="1:16" x14ac:dyDescent="0.3">
      <c r="A106" s="14">
        <v>1105</v>
      </c>
      <c r="B106" s="3" t="s">
        <v>74</v>
      </c>
      <c r="C106" s="3" t="s">
        <v>17</v>
      </c>
      <c r="D106" s="3">
        <v>52</v>
      </c>
      <c r="E106" s="3" t="s">
        <v>55</v>
      </c>
      <c r="F106" s="3" t="s">
        <v>56</v>
      </c>
      <c r="G106" s="3" t="s">
        <v>49</v>
      </c>
      <c r="H106" s="3" t="s">
        <v>46</v>
      </c>
      <c r="I106" s="15">
        <v>44554</v>
      </c>
      <c r="J106" s="3" t="s">
        <v>22</v>
      </c>
      <c r="K106" s="15"/>
      <c r="L106" s="16">
        <v>67000</v>
      </c>
      <c r="M106" s="3">
        <v>3</v>
      </c>
      <c r="N106" s="3">
        <v>3</v>
      </c>
      <c r="O106" s="3" t="s">
        <v>22</v>
      </c>
      <c r="P106" s="17" t="s">
        <v>42</v>
      </c>
    </row>
    <row r="107" spans="1:16" x14ac:dyDescent="0.3">
      <c r="A107" s="14">
        <v>1106</v>
      </c>
      <c r="B107" s="3" t="s">
        <v>175</v>
      </c>
      <c r="C107" s="3" t="s">
        <v>17</v>
      </c>
      <c r="D107" s="3">
        <v>52</v>
      </c>
      <c r="E107" s="3" t="s">
        <v>75</v>
      </c>
      <c r="F107" s="3" t="s">
        <v>89</v>
      </c>
      <c r="G107" s="3" t="s">
        <v>49</v>
      </c>
      <c r="H107" s="3" t="s">
        <v>21</v>
      </c>
      <c r="I107" s="15">
        <v>45087</v>
      </c>
      <c r="J107" s="3" t="s">
        <v>22</v>
      </c>
      <c r="K107" s="15"/>
      <c r="L107" s="16">
        <v>38800</v>
      </c>
      <c r="M107" s="3">
        <v>4</v>
      </c>
      <c r="N107" s="3">
        <v>3</v>
      </c>
      <c r="O107" s="3" t="s">
        <v>23</v>
      </c>
      <c r="P107" s="17" t="s">
        <v>24</v>
      </c>
    </row>
    <row r="108" spans="1:16" x14ac:dyDescent="0.3">
      <c r="A108" s="14">
        <v>1107</v>
      </c>
      <c r="B108" s="3" t="s">
        <v>103</v>
      </c>
      <c r="C108" s="3" t="s">
        <v>26</v>
      </c>
      <c r="D108" s="3">
        <v>55</v>
      </c>
      <c r="E108" s="3" t="s">
        <v>44</v>
      </c>
      <c r="F108" s="3" t="s">
        <v>78</v>
      </c>
      <c r="G108" s="3" t="s">
        <v>86</v>
      </c>
      <c r="H108" s="3" t="s">
        <v>46</v>
      </c>
      <c r="I108" s="15">
        <v>44514</v>
      </c>
      <c r="J108" s="3" t="s">
        <v>23</v>
      </c>
      <c r="K108" s="15" t="s">
        <v>176</v>
      </c>
      <c r="L108" s="16">
        <v>46300</v>
      </c>
      <c r="M108" s="3">
        <v>1</v>
      </c>
      <c r="N108" s="3">
        <v>3</v>
      </c>
      <c r="O108" s="3" t="s">
        <v>22</v>
      </c>
      <c r="P108" s="17" t="s">
        <v>42</v>
      </c>
    </row>
    <row r="109" spans="1:16" x14ac:dyDescent="0.3">
      <c r="A109" s="14">
        <v>1108</v>
      </c>
      <c r="B109" s="3" t="s">
        <v>177</v>
      </c>
      <c r="C109" s="3" t="s">
        <v>26</v>
      </c>
      <c r="D109" s="3">
        <v>35</v>
      </c>
      <c r="E109" s="3" t="s">
        <v>35</v>
      </c>
      <c r="F109" s="3" t="s">
        <v>48</v>
      </c>
      <c r="G109" s="3" t="s">
        <v>86</v>
      </c>
      <c r="H109" s="3" t="s">
        <v>46</v>
      </c>
      <c r="I109" s="15">
        <v>44749</v>
      </c>
      <c r="J109" s="3" t="s">
        <v>22</v>
      </c>
      <c r="K109" s="15"/>
      <c r="L109" s="16">
        <v>136500</v>
      </c>
      <c r="M109" s="3">
        <v>3</v>
      </c>
      <c r="N109" s="3">
        <v>5</v>
      </c>
      <c r="O109" s="3" t="s">
        <v>23</v>
      </c>
      <c r="P109" s="17" t="s">
        <v>24</v>
      </c>
    </row>
    <row r="110" spans="1:16" x14ac:dyDescent="0.3">
      <c r="A110" s="14">
        <v>1109</v>
      </c>
      <c r="B110" s="3" t="s">
        <v>178</v>
      </c>
      <c r="C110" s="3" t="s">
        <v>26</v>
      </c>
      <c r="D110" s="3">
        <v>57</v>
      </c>
      <c r="E110" s="3" t="s">
        <v>44</v>
      </c>
      <c r="F110" s="3" t="s">
        <v>78</v>
      </c>
      <c r="G110" s="3" t="s">
        <v>62</v>
      </c>
      <c r="H110" s="3" t="s">
        <v>33</v>
      </c>
      <c r="I110" s="15">
        <v>43586</v>
      </c>
      <c r="J110" s="3" t="s">
        <v>23</v>
      </c>
      <c r="K110" s="15" t="s">
        <v>179</v>
      </c>
      <c r="L110" s="16">
        <v>40100</v>
      </c>
      <c r="M110" s="3">
        <v>3</v>
      </c>
      <c r="N110" s="3">
        <v>5</v>
      </c>
      <c r="O110" s="3" t="s">
        <v>23</v>
      </c>
      <c r="P110" s="17" t="s">
        <v>24</v>
      </c>
    </row>
    <row r="111" spans="1:16" x14ac:dyDescent="0.3">
      <c r="A111" s="14">
        <v>1110</v>
      </c>
      <c r="B111" s="3" t="s">
        <v>180</v>
      </c>
      <c r="C111" s="3" t="s">
        <v>17</v>
      </c>
      <c r="D111" s="3">
        <v>32</v>
      </c>
      <c r="E111" s="3" t="s">
        <v>27</v>
      </c>
      <c r="F111" s="3" t="s">
        <v>32</v>
      </c>
      <c r="G111" s="3" t="s">
        <v>60</v>
      </c>
      <c r="H111" s="3" t="s">
        <v>33</v>
      </c>
      <c r="I111" s="15">
        <v>44414</v>
      </c>
      <c r="J111" s="3" t="s">
        <v>22</v>
      </c>
      <c r="K111" s="15"/>
      <c r="L111" s="16">
        <v>74700</v>
      </c>
      <c r="M111" s="3">
        <v>4</v>
      </c>
      <c r="N111" s="3">
        <v>4</v>
      </c>
      <c r="O111" s="3" t="s">
        <v>22</v>
      </c>
      <c r="P111" s="17" t="s">
        <v>24</v>
      </c>
    </row>
    <row r="112" spans="1:16" x14ac:dyDescent="0.3">
      <c r="A112" s="14">
        <v>1111</v>
      </c>
      <c r="B112" s="3" t="s">
        <v>181</v>
      </c>
      <c r="C112" s="3" t="s">
        <v>26</v>
      </c>
      <c r="D112" s="3">
        <v>43</v>
      </c>
      <c r="E112" s="3" t="s">
        <v>75</v>
      </c>
      <c r="F112" s="3" t="s">
        <v>89</v>
      </c>
      <c r="G112" s="3" t="s">
        <v>29</v>
      </c>
      <c r="H112" s="3" t="s">
        <v>33</v>
      </c>
      <c r="I112" s="15">
        <v>43485</v>
      </c>
      <c r="J112" s="3" t="s">
        <v>22</v>
      </c>
      <c r="K112" s="15"/>
      <c r="L112" s="16">
        <v>40100</v>
      </c>
      <c r="M112" s="3">
        <v>3</v>
      </c>
      <c r="N112" s="3">
        <v>1</v>
      </c>
      <c r="O112" s="3" t="s">
        <v>23</v>
      </c>
      <c r="P112" s="17" t="s">
        <v>24</v>
      </c>
    </row>
    <row r="113" spans="1:16" x14ac:dyDescent="0.3">
      <c r="A113" s="14">
        <v>1112</v>
      </c>
      <c r="B113" s="3" t="s">
        <v>182</v>
      </c>
      <c r="C113" s="3" t="s">
        <v>17</v>
      </c>
      <c r="D113" s="3">
        <v>52</v>
      </c>
      <c r="E113" s="3" t="s">
        <v>44</v>
      </c>
      <c r="F113" s="3" t="s">
        <v>78</v>
      </c>
      <c r="G113" s="3" t="s">
        <v>86</v>
      </c>
      <c r="H113" s="3" t="s">
        <v>21</v>
      </c>
      <c r="I113" s="15">
        <v>45253</v>
      </c>
      <c r="J113" s="3" t="s">
        <v>22</v>
      </c>
      <c r="K113" s="15"/>
      <c r="L113" s="16">
        <v>45000</v>
      </c>
      <c r="M113" s="3">
        <v>5</v>
      </c>
      <c r="N113" s="3">
        <v>3</v>
      </c>
      <c r="O113" s="3" t="s">
        <v>22</v>
      </c>
      <c r="P113" s="17" t="s">
        <v>24</v>
      </c>
    </row>
    <row r="114" spans="1:16" x14ac:dyDescent="0.3">
      <c r="A114" s="14">
        <v>1113</v>
      </c>
      <c r="B114" s="3" t="s">
        <v>183</v>
      </c>
      <c r="C114" s="3" t="s">
        <v>17</v>
      </c>
      <c r="D114" s="3">
        <v>43</v>
      </c>
      <c r="E114" s="3" t="s">
        <v>52</v>
      </c>
      <c r="F114" s="3" t="s">
        <v>53</v>
      </c>
      <c r="G114" s="3" t="s">
        <v>62</v>
      </c>
      <c r="H114" s="3" t="s">
        <v>30</v>
      </c>
      <c r="I114" s="15">
        <v>45164</v>
      </c>
      <c r="J114" s="3" t="s">
        <v>22</v>
      </c>
      <c r="K114" s="15"/>
      <c r="L114" s="16">
        <v>62200</v>
      </c>
      <c r="M114" s="3">
        <v>5</v>
      </c>
      <c r="N114" s="3">
        <v>2</v>
      </c>
      <c r="O114" s="3" t="s">
        <v>22</v>
      </c>
      <c r="P114" s="17" t="s">
        <v>42</v>
      </c>
    </row>
    <row r="115" spans="1:16" x14ac:dyDescent="0.3">
      <c r="A115" s="14">
        <v>1114</v>
      </c>
      <c r="B115" s="3" t="s">
        <v>95</v>
      </c>
      <c r="C115" s="3" t="s">
        <v>17</v>
      </c>
      <c r="D115" s="3">
        <v>47</v>
      </c>
      <c r="E115" s="3" t="s">
        <v>52</v>
      </c>
      <c r="F115" s="3" t="s">
        <v>184</v>
      </c>
      <c r="G115" s="3" t="s">
        <v>20</v>
      </c>
      <c r="H115" s="3" t="s">
        <v>33</v>
      </c>
      <c r="I115" s="15">
        <v>45371</v>
      </c>
      <c r="J115" s="3" t="s">
        <v>23</v>
      </c>
      <c r="K115" s="15" t="s">
        <v>185</v>
      </c>
      <c r="L115" s="16">
        <v>60200</v>
      </c>
      <c r="M115" s="3">
        <v>4</v>
      </c>
      <c r="N115" s="3">
        <v>1</v>
      </c>
      <c r="O115" s="3" t="s">
        <v>23</v>
      </c>
      <c r="P115" s="17" t="s">
        <v>42</v>
      </c>
    </row>
    <row r="116" spans="1:16" x14ac:dyDescent="0.3">
      <c r="A116" s="14">
        <v>1115</v>
      </c>
      <c r="B116" s="3" t="s">
        <v>178</v>
      </c>
      <c r="C116" s="3" t="s">
        <v>26</v>
      </c>
      <c r="D116" s="3">
        <v>24</v>
      </c>
      <c r="E116" s="3" t="s">
        <v>55</v>
      </c>
      <c r="F116" s="3" t="s">
        <v>67</v>
      </c>
      <c r="G116" s="3" t="s">
        <v>20</v>
      </c>
      <c r="H116" s="3" t="s">
        <v>46</v>
      </c>
      <c r="I116" s="15">
        <v>44976</v>
      </c>
      <c r="J116" s="3" t="s">
        <v>22</v>
      </c>
      <c r="K116" s="15"/>
      <c r="L116" s="16">
        <v>35200</v>
      </c>
      <c r="M116" s="3">
        <v>3</v>
      </c>
      <c r="N116" s="3">
        <v>1</v>
      </c>
      <c r="O116" s="3" t="s">
        <v>22</v>
      </c>
      <c r="P116" s="17" t="s">
        <v>42</v>
      </c>
    </row>
    <row r="117" spans="1:16" x14ac:dyDescent="0.3">
      <c r="A117" s="14">
        <v>1116</v>
      </c>
      <c r="B117" s="3" t="s">
        <v>186</v>
      </c>
      <c r="C117" s="3" t="s">
        <v>17</v>
      </c>
      <c r="D117" s="3">
        <v>33</v>
      </c>
      <c r="E117" s="3" t="s">
        <v>35</v>
      </c>
      <c r="F117" s="3" t="s">
        <v>84</v>
      </c>
      <c r="G117" s="3" t="s">
        <v>49</v>
      </c>
      <c r="H117" s="3" t="s">
        <v>21</v>
      </c>
      <c r="I117" s="15">
        <v>44828</v>
      </c>
      <c r="J117" s="3" t="s">
        <v>22</v>
      </c>
      <c r="K117" s="15"/>
      <c r="L117" s="16">
        <v>56100</v>
      </c>
      <c r="M117" s="3">
        <v>1</v>
      </c>
      <c r="N117" s="3">
        <v>5</v>
      </c>
      <c r="O117" s="3" t="s">
        <v>23</v>
      </c>
      <c r="P117" s="17" t="s">
        <v>24</v>
      </c>
    </row>
    <row r="118" spans="1:16" x14ac:dyDescent="0.3">
      <c r="A118" s="14">
        <v>1117</v>
      </c>
      <c r="B118" s="3" t="s">
        <v>187</v>
      </c>
      <c r="C118" s="3" t="s">
        <v>26</v>
      </c>
      <c r="D118" s="3">
        <v>26</v>
      </c>
      <c r="E118" s="3" t="s">
        <v>44</v>
      </c>
      <c r="F118" s="3" t="s">
        <v>45</v>
      </c>
      <c r="G118" s="3" t="s">
        <v>57</v>
      </c>
      <c r="H118" s="3" t="s">
        <v>30</v>
      </c>
      <c r="I118" s="15">
        <v>43158</v>
      </c>
      <c r="J118" s="3" t="s">
        <v>22</v>
      </c>
      <c r="K118" s="15"/>
      <c r="L118" s="16">
        <v>84800</v>
      </c>
      <c r="M118" s="3">
        <v>4</v>
      </c>
      <c r="N118" s="3">
        <v>2</v>
      </c>
      <c r="O118" s="3" t="s">
        <v>22</v>
      </c>
      <c r="P118" s="17" t="s">
        <v>24</v>
      </c>
    </row>
    <row r="119" spans="1:16" x14ac:dyDescent="0.3">
      <c r="A119" s="14">
        <v>1118</v>
      </c>
      <c r="B119" s="3" t="s">
        <v>188</v>
      </c>
      <c r="C119" s="3" t="s">
        <v>26</v>
      </c>
      <c r="D119" s="3">
        <v>49</v>
      </c>
      <c r="E119" s="3" t="s">
        <v>38</v>
      </c>
      <c r="F119" s="3" t="s">
        <v>82</v>
      </c>
      <c r="G119" s="3" t="s">
        <v>60</v>
      </c>
      <c r="H119" s="3" t="s">
        <v>33</v>
      </c>
      <c r="I119" s="15">
        <v>43120</v>
      </c>
      <c r="J119" s="3" t="s">
        <v>22</v>
      </c>
      <c r="K119" s="15"/>
      <c r="L119" s="16">
        <v>41000</v>
      </c>
      <c r="M119" s="3">
        <v>4</v>
      </c>
      <c r="N119" s="3">
        <v>1</v>
      </c>
      <c r="O119" s="3" t="s">
        <v>23</v>
      </c>
      <c r="P119" s="17" t="s">
        <v>42</v>
      </c>
    </row>
    <row r="120" spans="1:16" x14ac:dyDescent="0.3">
      <c r="A120" s="14">
        <v>1119</v>
      </c>
      <c r="B120" s="3" t="s">
        <v>189</v>
      </c>
      <c r="C120" s="3" t="s">
        <v>26</v>
      </c>
      <c r="D120" s="3">
        <v>33</v>
      </c>
      <c r="E120" s="3" t="s">
        <v>52</v>
      </c>
      <c r="F120" s="3" t="s">
        <v>93</v>
      </c>
      <c r="G120" s="3" t="s">
        <v>68</v>
      </c>
      <c r="H120" s="3" t="s">
        <v>30</v>
      </c>
      <c r="I120" s="15">
        <v>43306</v>
      </c>
      <c r="J120" s="3" t="s">
        <v>22</v>
      </c>
      <c r="K120" s="15"/>
      <c r="L120" s="16">
        <v>89700</v>
      </c>
      <c r="M120" s="3">
        <v>4</v>
      </c>
      <c r="N120" s="3">
        <v>2</v>
      </c>
      <c r="O120" s="3" t="s">
        <v>23</v>
      </c>
      <c r="P120" s="17" t="s">
        <v>24</v>
      </c>
    </row>
    <row r="121" spans="1:16" x14ac:dyDescent="0.3">
      <c r="A121" s="14">
        <v>1120</v>
      </c>
      <c r="B121" s="3" t="s">
        <v>190</v>
      </c>
      <c r="C121" s="3" t="s">
        <v>17</v>
      </c>
      <c r="D121" s="3">
        <v>24</v>
      </c>
      <c r="E121" s="3" t="s">
        <v>38</v>
      </c>
      <c r="F121" s="3" t="s">
        <v>41</v>
      </c>
      <c r="G121" s="3" t="s">
        <v>49</v>
      </c>
      <c r="H121" s="3" t="s">
        <v>33</v>
      </c>
      <c r="I121" s="15">
        <v>43147</v>
      </c>
      <c r="J121" s="3" t="s">
        <v>22</v>
      </c>
      <c r="K121" s="15"/>
      <c r="L121" s="16">
        <v>75500</v>
      </c>
      <c r="M121" s="3">
        <v>5</v>
      </c>
      <c r="N121" s="3">
        <v>5</v>
      </c>
      <c r="O121" s="3" t="s">
        <v>23</v>
      </c>
      <c r="P121" s="17" t="s">
        <v>24</v>
      </c>
    </row>
    <row r="122" spans="1:16" x14ac:dyDescent="0.3">
      <c r="A122" s="14">
        <v>1121</v>
      </c>
      <c r="B122" s="3" t="s">
        <v>191</v>
      </c>
      <c r="C122" s="3" t="s">
        <v>26</v>
      </c>
      <c r="D122" s="3">
        <v>45</v>
      </c>
      <c r="E122" s="3" t="s">
        <v>38</v>
      </c>
      <c r="F122" s="3" t="s">
        <v>41</v>
      </c>
      <c r="G122" s="3" t="s">
        <v>29</v>
      </c>
      <c r="H122" s="3" t="s">
        <v>21</v>
      </c>
      <c r="I122" s="15">
        <v>45456</v>
      </c>
      <c r="J122" s="3" t="s">
        <v>23</v>
      </c>
      <c r="K122" s="15" t="s">
        <v>192</v>
      </c>
      <c r="L122" s="16">
        <v>98600</v>
      </c>
      <c r="M122" s="3">
        <v>3</v>
      </c>
      <c r="N122" s="3">
        <v>3</v>
      </c>
      <c r="O122" s="3" t="s">
        <v>23</v>
      </c>
      <c r="P122" s="17" t="s">
        <v>24</v>
      </c>
    </row>
    <row r="123" spans="1:16" x14ac:dyDescent="0.3">
      <c r="A123" s="14">
        <v>1122</v>
      </c>
      <c r="B123" s="3" t="s">
        <v>193</v>
      </c>
      <c r="C123" s="3" t="s">
        <v>17</v>
      </c>
      <c r="D123" s="3">
        <v>39</v>
      </c>
      <c r="E123" s="3" t="s">
        <v>52</v>
      </c>
      <c r="F123" s="3" t="s">
        <v>93</v>
      </c>
      <c r="G123" s="3" t="s">
        <v>86</v>
      </c>
      <c r="H123" s="3" t="s">
        <v>21</v>
      </c>
      <c r="I123" s="15">
        <v>43349</v>
      </c>
      <c r="J123" s="3" t="s">
        <v>22</v>
      </c>
      <c r="K123" s="15"/>
      <c r="L123" s="16">
        <v>98900</v>
      </c>
      <c r="M123" s="3">
        <v>4</v>
      </c>
      <c r="N123" s="3">
        <v>5</v>
      </c>
      <c r="O123" s="3" t="s">
        <v>22</v>
      </c>
      <c r="P123" s="17" t="s">
        <v>42</v>
      </c>
    </row>
    <row r="124" spans="1:16" x14ac:dyDescent="0.3">
      <c r="A124" s="14">
        <v>1123</v>
      </c>
      <c r="B124" s="3" t="s">
        <v>74</v>
      </c>
      <c r="C124" s="3" t="s">
        <v>17</v>
      </c>
      <c r="D124" s="3">
        <v>46</v>
      </c>
      <c r="E124" s="3" t="s">
        <v>55</v>
      </c>
      <c r="F124" s="3" t="s">
        <v>67</v>
      </c>
      <c r="G124" s="3" t="s">
        <v>57</v>
      </c>
      <c r="H124" s="3" t="s">
        <v>30</v>
      </c>
      <c r="I124" s="15">
        <v>44060</v>
      </c>
      <c r="J124" s="3" t="s">
        <v>23</v>
      </c>
      <c r="K124" s="15" t="s">
        <v>194</v>
      </c>
      <c r="L124" s="16">
        <v>37500</v>
      </c>
      <c r="M124" s="3">
        <v>3</v>
      </c>
      <c r="N124" s="3">
        <v>3</v>
      </c>
      <c r="O124" s="3" t="s">
        <v>22</v>
      </c>
      <c r="P124" s="17" t="s">
        <v>42</v>
      </c>
    </row>
    <row r="125" spans="1:16" x14ac:dyDescent="0.3">
      <c r="A125" s="14">
        <v>1124</v>
      </c>
      <c r="B125" s="3" t="s">
        <v>195</v>
      </c>
      <c r="C125" s="3" t="s">
        <v>17</v>
      </c>
      <c r="D125" s="3">
        <v>44</v>
      </c>
      <c r="E125" s="3" t="s">
        <v>35</v>
      </c>
      <c r="F125" s="3" t="s">
        <v>36</v>
      </c>
      <c r="G125" s="3" t="s">
        <v>49</v>
      </c>
      <c r="H125" s="3" t="s">
        <v>30</v>
      </c>
      <c r="I125" s="15">
        <v>45290</v>
      </c>
      <c r="J125" s="3" t="s">
        <v>22</v>
      </c>
      <c r="K125" s="15"/>
      <c r="L125" s="16">
        <v>80400</v>
      </c>
      <c r="M125" s="3">
        <v>4</v>
      </c>
      <c r="N125" s="3">
        <v>2</v>
      </c>
      <c r="O125" s="3" t="s">
        <v>23</v>
      </c>
      <c r="P125" s="17" t="s">
        <v>24</v>
      </c>
    </row>
    <row r="126" spans="1:16" x14ac:dyDescent="0.3">
      <c r="A126" s="14">
        <v>1125</v>
      </c>
      <c r="B126" s="3" t="s">
        <v>58</v>
      </c>
      <c r="C126" s="3" t="s">
        <v>17</v>
      </c>
      <c r="D126" s="3">
        <v>22</v>
      </c>
      <c r="E126" s="3" t="s">
        <v>38</v>
      </c>
      <c r="F126" s="3" t="s">
        <v>41</v>
      </c>
      <c r="G126" s="3" t="s">
        <v>68</v>
      </c>
      <c r="H126" s="3" t="s">
        <v>21</v>
      </c>
      <c r="I126" s="15">
        <v>44677</v>
      </c>
      <c r="J126" s="3" t="s">
        <v>22</v>
      </c>
      <c r="K126" s="15"/>
      <c r="L126" s="16">
        <v>89300</v>
      </c>
      <c r="M126" s="3">
        <v>2</v>
      </c>
      <c r="N126" s="3">
        <v>1</v>
      </c>
      <c r="O126" s="3" t="s">
        <v>23</v>
      </c>
      <c r="P126" s="17" t="s">
        <v>24</v>
      </c>
    </row>
    <row r="127" spans="1:16" x14ac:dyDescent="0.3">
      <c r="A127" s="14">
        <v>1126</v>
      </c>
      <c r="B127" s="3" t="s">
        <v>187</v>
      </c>
      <c r="C127" s="3" t="s">
        <v>17</v>
      </c>
      <c r="D127" s="3">
        <v>35</v>
      </c>
      <c r="E127" s="3" t="s">
        <v>75</v>
      </c>
      <c r="F127" s="3" t="s">
        <v>76</v>
      </c>
      <c r="G127" s="3" t="s">
        <v>68</v>
      </c>
      <c r="H127" s="3" t="s">
        <v>46</v>
      </c>
      <c r="I127" s="15">
        <v>43888</v>
      </c>
      <c r="J127" s="3" t="s">
        <v>22</v>
      </c>
      <c r="K127" s="15"/>
      <c r="L127" s="16">
        <v>60700</v>
      </c>
      <c r="M127" s="3">
        <v>4</v>
      </c>
      <c r="N127" s="3">
        <v>5</v>
      </c>
      <c r="O127" s="3" t="s">
        <v>22</v>
      </c>
      <c r="P127" s="17" t="s">
        <v>24</v>
      </c>
    </row>
    <row r="128" spans="1:16" x14ac:dyDescent="0.3">
      <c r="A128" s="14">
        <v>1127</v>
      </c>
      <c r="B128" s="3" t="s">
        <v>196</v>
      </c>
      <c r="C128" s="3" t="s">
        <v>26</v>
      </c>
      <c r="D128" s="3">
        <v>28</v>
      </c>
      <c r="E128" s="3" t="s">
        <v>27</v>
      </c>
      <c r="F128" s="3" t="s">
        <v>155</v>
      </c>
      <c r="G128" s="3" t="s">
        <v>62</v>
      </c>
      <c r="H128" s="3" t="s">
        <v>21</v>
      </c>
      <c r="I128" s="15">
        <v>44623</v>
      </c>
      <c r="J128" s="3" t="s">
        <v>23</v>
      </c>
      <c r="K128" s="15" t="s">
        <v>197</v>
      </c>
      <c r="L128" s="16">
        <v>44100</v>
      </c>
      <c r="M128" s="3">
        <v>4</v>
      </c>
      <c r="N128" s="3">
        <v>3</v>
      </c>
      <c r="O128" s="3" t="s">
        <v>22</v>
      </c>
      <c r="P128" s="17" t="s">
        <v>42</v>
      </c>
    </row>
    <row r="129" spans="1:16" x14ac:dyDescent="0.3">
      <c r="A129" s="14">
        <v>1128</v>
      </c>
      <c r="B129" s="3" t="s">
        <v>198</v>
      </c>
      <c r="C129" s="3" t="s">
        <v>26</v>
      </c>
      <c r="D129" s="3">
        <v>39</v>
      </c>
      <c r="E129" s="3" t="s">
        <v>38</v>
      </c>
      <c r="F129" s="3" t="s">
        <v>41</v>
      </c>
      <c r="G129" s="3" t="s">
        <v>68</v>
      </c>
      <c r="H129" s="3" t="s">
        <v>21</v>
      </c>
      <c r="I129" s="15">
        <v>44845</v>
      </c>
      <c r="J129" s="3" t="s">
        <v>22</v>
      </c>
      <c r="K129" s="15"/>
      <c r="L129" s="16">
        <v>76800</v>
      </c>
      <c r="M129" s="3">
        <v>3</v>
      </c>
      <c r="N129" s="3">
        <v>5</v>
      </c>
      <c r="O129" s="3" t="s">
        <v>23</v>
      </c>
      <c r="P129" s="17" t="s">
        <v>24</v>
      </c>
    </row>
    <row r="130" spans="1:16" x14ac:dyDescent="0.3">
      <c r="A130" s="14">
        <v>1129</v>
      </c>
      <c r="B130" s="3" t="s">
        <v>199</v>
      </c>
      <c r="C130" s="3" t="s">
        <v>17</v>
      </c>
      <c r="D130" s="3">
        <v>23</v>
      </c>
      <c r="E130" s="3" t="s">
        <v>27</v>
      </c>
      <c r="F130" s="3" t="s">
        <v>155</v>
      </c>
      <c r="G130" s="3" t="s">
        <v>57</v>
      </c>
      <c r="H130" s="3" t="s">
        <v>33</v>
      </c>
      <c r="I130" s="15">
        <v>43309</v>
      </c>
      <c r="J130" s="3" t="s">
        <v>22</v>
      </c>
      <c r="K130" s="15"/>
      <c r="L130" s="16">
        <v>34600</v>
      </c>
      <c r="M130" s="3">
        <v>3</v>
      </c>
      <c r="N130" s="3">
        <v>4</v>
      </c>
      <c r="O130" s="3" t="s">
        <v>23</v>
      </c>
      <c r="P130" s="17" t="s">
        <v>24</v>
      </c>
    </row>
    <row r="131" spans="1:16" x14ac:dyDescent="0.3">
      <c r="A131" s="14">
        <v>1130</v>
      </c>
      <c r="B131" s="3" t="s">
        <v>154</v>
      </c>
      <c r="C131" s="3" t="s">
        <v>26</v>
      </c>
      <c r="D131" s="3">
        <v>54</v>
      </c>
      <c r="E131" s="3" t="s">
        <v>52</v>
      </c>
      <c r="F131" s="3" t="s">
        <v>53</v>
      </c>
      <c r="G131" s="3" t="s">
        <v>68</v>
      </c>
      <c r="H131" s="3" t="s">
        <v>33</v>
      </c>
      <c r="I131" s="15">
        <v>44711</v>
      </c>
      <c r="J131" s="3" t="s">
        <v>22</v>
      </c>
      <c r="K131" s="15"/>
      <c r="L131" s="16">
        <v>46200</v>
      </c>
      <c r="M131" s="3">
        <v>4</v>
      </c>
      <c r="N131" s="3">
        <v>2</v>
      </c>
      <c r="O131" s="3" t="s">
        <v>23</v>
      </c>
      <c r="P131" s="17" t="s">
        <v>42</v>
      </c>
    </row>
    <row r="132" spans="1:16" x14ac:dyDescent="0.3">
      <c r="A132" s="14">
        <v>1131</v>
      </c>
      <c r="B132" s="3" t="s">
        <v>200</v>
      </c>
      <c r="C132" s="3" t="s">
        <v>17</v>
      </c>
      <c r="D132" s="3">
        <v>38</v>
      </c>
      <c r="E132" s="3" t="s">
        <v>18</v>
      </c>
      <c r="F132" s="3" t="s">
        <v>59</v>
      </c>
      <c r="G132" s="3" t="s">
        <v>29</v>
      </c>
      <c r="H132" s="3" t="s">
        <v>33</v>
      </c>
      <c r="I132" s="15">
        <v>45203</v>
      </c>
      <c r="J132" s="3" t="s">
        <v>22</v>
      </c>
      <c r="K132" s="15"/>
      <c r="L132" s="16">
        <v>91800</v>
      </c>
      <c r="M132" s="3">
        <v>4</v>
      </c>
      <c r="N132" s="3">
        <v>1</v>
      </c>
      <c r="O132" s="3" t="s">
        <v>23</v>
      </c>
      <c r="P132" s="17" t="s">
        <v>42</v>
      </c>
    </row>
    <row r="133" spans="1:16" x14ac:dyDescent="0.3">
      <c r="A133" s="14">
        <v>1132</v>
      </c>
      <c r="B133" s="3" t="s">
        <v>201</v>
      </c>
      <c r="C133" s="3" t="s">
        <v>26</v>
      </c>
      <c r="D133" s="3">
        <v>52</v>
      </c>
      <c r="E133" s="3" t="s">
        <v>52</v>
      </c>
      <c r="F133" s="3" t="s">
        <v>93</v>
      </c>
      <c r="G133" s="3" t="s">
        <v>62</v>
      </c>
      <c r="H133" s="3" t="s">
        <v>33</v>
      </c>
      <c r="I133" s="15">
        <v>44427</v>
      </c>
      <c r="J133" s="3" t="s">
        <v>22</v>
      </c>
      <c r="K133" s="15"/>
      <c r="L133" s="16">
        <v>89900</v>
      </c>
      <c r="M133" s="3">
        <v>3</v>
      </c>
      <c r="N133" s="3">
        <v>4</v>
      </c>
      <c r="O133" s="3" t="s">
        <v>23</v>
      </c>
      <c r="P133" s="17" t="s">
        <v>24</v>
      </c>
    </row>
    <row r="134" spans="1:16" x14ac:dyDescent="0.3">
      <c r="A134" s="14">
        <v>1133</v>
      </c>
      <c r="B134" s="3" t="s">
        <v>132</v>
      </c>
      <c r="C134" s="3" t="s">
        <v>26</v>
      </c>
      <c r="D134" s="3">
        <v>32</v>
      </c>
      <c r="E134" s="3" t="s">
        <v>38</v>
      </c>
      <c r="F134" s="3" t="s">
        <v>41</v>
      </c>
      <c r="G134" s="3" t="s">
        <v>68</v>
      </c>
      <c r="H134" s="3" t="s">
        <v>33</v>
      </c>
      <c r="I134" s="15">
        <v>44004</v>
      </c>
      <c r="J134" s="3" t="s">
        <v>22</v>
      </c>
      <c r="K134" s="15"/>
      <c r="L134" s="16">
        <v>76100</v>
      </c>
      <c r="M134" s="3">
        <v>4</v>
      </c>
      <c r="N134" s="3">
        <v>2</v>
      </c>
      <c r="O134" s="3" t="s">
        <v>22</v>
      </c>
      <c r="P134" s="17" t="s">
        <v>42</v>
      </c>
    </row>
    <row r="135" spans="1:16" x14ac:dyDescent="0.3">
      <c r="A135" s="14">
        <v>1134</v>
      </c>
      <c r="B135" s="3" t="s">
        <v>202</v>
      </c>
      <c r="C135" s="3" t="s">
        <v>26</v>
      </c>
      <c r="D135" s="3">
        <v>36</v>
      </c>
      <c r="E135" s="3" t="s">
        <v>44</v>
      </c>
      <c r="F135" s="3" t="s">
        <v>45</v>
      </c>
      <c r="G135" s="3" t="s">
        <v>86</v>
      </c>
      <c r="H135" s="3" t="s">
        <v>21</v>
      </c>
      <c r="I135" s="15">
        <v>45056</v>
      </c>
      <c r="J135" s="3" t="s">
        <v>22</v>
      </c>
      <c r="K135" s="15"/>
      <c r="L135" s="16">
        <v>67800</v>
      </c>
      <c r="M135" s="3">
        <v>3</v>
      </c>
      <c r="N135" s="3">
        <v>1</v>
      </c>
      <c r="O135" s="3" t="s">
        <v>23</v>
      </c>
      <c r="P135" s="17" t="s">
        <v>24</v>
      </c>
    </row>
    <row r="136" spans="1:16" x14ac:dyDescent="0.3">
      <c r="A136" s="14">
        <v>1135</v>
      </c>
      <c r="B136" s="3" t="s">
        <v>203</v>
      </c>
      <c r="C136" s="3" t="s">
        <v>17</v>
      </c>
      <c r="D136" s="3">
        <v>37</v>
      </c>
      <c r="E136" s="3" t="s">
        <v>35</v>
      </c>
      <c r="F136" s="3" t="s">
        <v>84</v>
      </c>
      <c r="G136" s="3" t="s">
        <v>57</v>
      </c>
      <c r="H136" s="3" t="s">
        <v>30</v>
      </c>
      <c r="I136" s="15">
        <v>43738</v>
      </c>
      <c r="J136" s="3" t="s">
        <v>22</v>
      </c>
      <c r="K136" s="15"/>
      <c r="L136" s="16">
        <v>55900</v>
      </c>
      <c r="M136" s="3">
        <v>4</v>
      </c>
      <c r="N136" s="3">
        <v>2</v>
      </c>
      <c r="O136" s="3" t="s">
        <v>22</v>
      </c>
      <c r="P136" s="17" t="s">
        <v>24</v>
      </c>
    </row>
    <row r="137" spans="1:16" x14ac:dyDescent="0.3">
      <c r="A137" s="14">
        <v>1136</v>
      </c>
      <c r="B137" s="3" t="s">
        <v>204</v>
      </c>
      <c r="C137" s="3" t="s">
        <v>17</v>
      </c>
      <c r="D137" s="3">
        <v>35</v>
      </c>
      <c r="E137" s="3" t="s">
        <v>38</v>
      </c>
      <c r="F137" s="3" t="s">
        <v>82</v>
      </c>
      <c r="G137" s="3" t="s">
        <v>60</v>
      </c>
      <c r="H137" s="3" t="s">
        <v>33</v>
      </c>
      <c r="I137" s="15">
        <v>45394</v>
      </c>
      <c r="J137" s="3" t="s">
        <v>22</v>
      </c>
      <c r="K137" s="15"/>
      <c r="L137" s="16">
        <v>50000</v>
      </c>
      <c r="M137" s="3">
        <v>3</v>
      </c>
      <c r="N137" s="3">
        <v>2</v>
      </c>
      <c r="O137" s="3" t="s">
        <v>22</v>
      </c>
      <c r="P137" s="17" t="s">
        <v>24</v>
      </c>
    </row>
    <row r="138" spans="1:16" x14ac:dyDescent="0.3">
      <c r="A138" s="14">
        <v>1137</v>
      </c>
      <c r="B138" s="3" t="s">
        <v>115</v>
      </c>
      <c r="C138" s="3" t="s">
        <v>26</v>
      </c>
      <c r="D138" s="3">
        <v>32</v>
      </c>
      <c r="E138" s="3" t="s">
        <v>44</v>
      </c>
      <c r="F138" s="3" t="s">
        <v>45</v>
      </c>
      <c r="G138" s="3" t="s">
        <v>49</v>
      </c>
      <c r="H138" s="3" t="s">
        <v>30</v>
      </c>
      <c r="I138" s="15">
        <v>43336</v>
      </c>
      <c r="J138" s="3" t="s">
        <v>23</v>
      </c>
      <c r="K138" s="15" t="s">
        <v>205</v>
      </c>
      <c r="L138" s="16">
        <v>89400</v>
      </c>
      <c r="M138" s="3">
        <v>5</v>
      </c>
      <c r="N138" s="3">
        <v>4</v>
      </c>
      <c r="O138" s="3" t="s">
        <v>22</v>
      </c>
      <c r="P138" s="17" t="s">
        <v>42</v>
      </c>
    </row>
    <row r="139" spans="1:16" x14ac:dyDescent="0.3">
      <c r="A139" s="14">
        <v>1138</v>
      </c>
      <c r="B139" s="3" t="s">
        <v>206</v>
      </c>
      <c r="C139" s="3" t="s">
        <v>17</v>
      </c>
      <c r="D139" s="3">
        <v>48</v>
      </c>
      <c r="E139" s="3" t="s">
        <v>35</v>
      </c>
      <c r="F139" s="3" t="s">
        <v>84</v>
      </c>
      <c r="G139" s="3" t="s">
        <v>57</v>
      </c>
      <c r="H139" s="3" t="s">
        <v>33</v>
      </c>
      <c r="I139" s="15">
        <v>43995</v>
      </c>
      <c r="J139" s="3" t="s">
        <v>22</v>
      </c>
      <c r="K139" s="15"/>
      <c r="L139" s="16">
        <v>62400</v>
      </c>
      <c r="M139" s="3">
        <v>3</v>
      </c>
      <c r="N139" s="3">
        <v>5</v>
      </c>
      <c r="O139" s="3" t="s">
        <v>23</v>
      </c>
      <c r="P139" s="17" t="s">
        <v>42</v>
      </c>
    </row>
    <row r="140" spans="1:16" x14ac:dyDescent="0.3">
      <c r="A140" s="14">
        <v>1139</v>
      </c>
      <c r="B140" s="3" t="s">
        <v>207</v>
      </c>
      <c r="C140" s="3" t="s">
        <v>26</v>
      </c>
      <c r="D140" s="3">
        <v>33</v>
      </c>
      <c r="E140" s="3" t="s">
        <v>44</v>
      </c>
      <c r="F140" s="3" t="s">
        <v>78</v>
      </c>
      <c r="G140" s="3" t="s">
        <v>62</v>
      </c>
      <c r="H140" s="3" t="s">
        <v>21</v>
      </c>
      <c r="I140" s="15">
        <v>43944</v>
      </c>
      <c r="J140" s="3" t="s">
        <v>22</v>
      </c>
      <c r="K140" s="15"/>
      <c r="L140" s="16">
        <v>38000</v>
      </c>
      <c r="M140" s="3">
        <v>4</v>
      </c>
      <c r="N140" s="3">
        <v>2</v>
      </c>
      <c r="O140" s="3" t="s">
        <v>22</v>
      </c>
      <c r="P140" s="17" t="s">
        <v>42</v>
      </c>
    </row>
    <row r="141" spans="1:16" x14ac:dyDescent="0.3">
      <c r="A141" s="14">
        <v>1140</v>
      </c>
      <c r="B141" s="3" t="s">
        <v>208</v>
      </c>
      <c r="C141" s="3" t="s">
        <v>17</v>
      </c>
      <c r="D141" s="3">
        <v>40</v>
      </c>
      <c r="E141" s="3" t="s">
        <v>18</v>
      </c>
      <c r="F141" s="3" t="s">
        <v>59</v>
      </c>
      <c r="G141" s="3" t="s">
        <v>86</v>
      </c>
      <c r="H141" s="3" t="s">
        <v>21</v>
      </c>
      <c r="I141" s="15">
        <v>45120</v>
      </c>
      <c r="J141" s="3" t="s">
        <v>22</v>
      </c>
      <c r="K141" s="15"/>
      <c r="L141" s="16">
        <v>71800</v>
      </c>
      <c r="M141" s="3">
        <v>3</v>
      </c>
      <c r="N141" s="3">
        <v>2</v>
      </c>
      <c r="O141" s="3" t="s">
        <v>22</v>
      </c>
      <c r="P141" s="17" t="s">
        <v>42</v>
      </c>
    </row>
    <row r="142" spans="1:16" x14ac:dyDescent="0.3">
      <c r="A142" s="14">
        <v>1141</v>
      </c>
      <c r="B142" s="3" t="s">
        <v>209</v>
      </c>
      <c r="C142" s="3" t="s">
        <v>17</v>
      </c>
      <c r="D142" s="3">
        <v>44</v>
      </c>
      <c r="E142" s="3" t="s">
        <v>18</v>
      </c>
      <c r="F142" s="3" t="s">
        <v>19</v>
      </c>
      <c r="G142" s="3" t="s">
        <v>86</v>
      </c>
      <c r="H142" s="3" t="s">
        <v>33</v>
      </c>
      <c r="I142" s="15">
        <v>45230</v>
      </c>
      <c r="J142" s="3" t="s">
        <v>23</v>
      </c>
      <c r="K142" s="15" t="s">
        <v>211</v>
      </c>
      <c r="L142" s="16">
        <v>55000</v>
      </c>
      <c r="M142" s="3">
        <v>5</v>
      </c>
      <c r="N142" s="3">
        <v>2</v>
      </c>
      <c r="O142" s="3" t="s">
        <v>22</v>
      </c>
      <c r="P142" s="17" t="s">
        <v>24</v>
      </c>
    </row>
    <row r="143" spans="1:16" x14ac:dyDescent="0.3">
      <c r="A143" s="14">
        <v>1142</v>
      </c>
      <c r="B143" s="3" t="s">
        <v>195</v>
      </c>
      <c r="C143" s="3" t="s">
        <v>17</v>
      </c>
      <c r="D143" s="3">
        <v>54</v>
      </c>
      <c r="E143" s="3" t="s">
        <v>44</v>
      </c>
      <c r="F143" s="3" t="s">
        <v>78</v>
      </c>
      <c r="G143" s="3" t="s">
        <v>62</v>
      </c>
      <c r="H143" s="3" t="s">
        <v>30</v>
      </c>
      <c r="I143" s="15">
        <v>43206</v>
      </c>
      <c r="J143" s="3" t="s">
        <v>23</v>
      </c>
      <c r="K143" s="15" t="s">
        <v>212</v>
      </c>
      <c r="L143" s="16">
        <v>44600</v>
      </c>
      <c r="M143" s="3">
        <v>4</v>
      </c>
      <c r="N143" s="3">
        <v>2</v>
      </c>
      <c r="O143" s="3" t="s">
        <v>23</v>
      </c>
      <c r="P143" s="17" t="s">
        <v>42</v>
      </c>
    </row>
    <row r="144" spans="1:16" x14ac:dyDescent="0.3">
      <c r="A144" s="14">
        <v>1143</v>
      </c>
      <c r="B144" s="3" t="s">
        <v>213</v>
      </c>
      <c r="C144" s="3" t="s">
        <v>17</v>
      </c>
      <c r="D144" s="3">
        <v>38</v>
      </c>
      <c r="E144" s="3" t="s">
        <v>18</v>
      </c>
      <c r="F144" s="3" t="s">
        <v>19</v>
      </c>
      <c r="G144" s="3" t="s">
        <v>20</v>
      </c>
      <c r="H144" s="3" t="s">
        <v>46</v>
      </c>
      <c r="I144" s="15">
        <v>43173</v>
      </c>
      <c r="J144" s="3" t="s">
        <v>22</v>
      </c>
      <c r="K144" s="15"/>
      <c r="L144" s="16">
        <v>53300</v>
      </c>
      <c r="M144" s="3">
        <v>4</v>
      </c>
      <c r="N144" s="3">
        <v>2</v>
      </c>
      <c r="O144" s="3" t="s">
        <v>22</v>
      </c>
      <c r="P144" s="17" t="s">
        <v>42</v>
      </c>
    </row>
    <row r="145" spans="1:16" x14ac:dyDescent="0.3">
      <c r="A145" s="14">
        <v>1144</v>
      </c>
      <c r="B145" s="3" t="s">
        <v>214</v>
      </c>
      <c r="C145" s="3" t="s">
        <v>26</v>
      </c>
      <c r="D145" s="3">
        <v>53</v>
      </c>
      <c r="E145" s="3" t="s">
        <v>18</v>
      </c>
      <c r="F145" s="3" t="s">
        <v>124</v>
      </c>
      <c r="G145" s="3" t="s">
        <v>20</v>
      </c>
      <c r="H145" s="3" t="s">
        <v>30</v>
      </c>
      <c r="I145" s="15">
        <v>45152</v>
      </c>
      <c r="J145" s="3" t="s">
        <v>23</v>
      </c>
      <c r="K145" s="15" t="s">
        <v>215</v>
      </c>
      <c r="L145" s="16">
        <v>93500</v>
      </c>
      <c r="M145" s="3">
        <v>2</v>
      </c>
      <c r="N145" s="3">
        <v>5</v>
      </c>
      <c r="O145" s="3" t="s">
        <v>23</v>
      </c>
      <c r="P145" s="17" t="s">
        <v>42</v>
      </c>
    </row>
    <row r="146" spans="1:16" x14ac:dyDescent="0.3">
      <c r="A146" s="14">
        <v>1145</v>
      </c>
      <c r="B146" s="3" t="s">
        <v>216</v>
      </c>
      <c r="C146" s="3" t="s">
        <v>17</v>
      </c>
      <c r="D146" s="3">
        <v>48</v>
      </c>
      <c r="E146" s="3" t="s">
        <v>55</v>
      </c>
      <c r="F146" s="3" t="s">
        <v>67</v>
      </c>
      <c r="G146" s="3" t="s">
        <v>29</v>
      </c>
      <c r="H146" s="3" t="s">
        <v>30</v>
      </c>
      <c r="I146" s="15">
        <v>45253</v>
      </c>
      <c r="J146" s="3" t="s">
        <v>23</v>
      </c>
      <c r="K146" s="15" t="s">
        <v>217</v>
      </c>
      <c r="L146" s="16">
        <v>27700</v>
      </c>
      <c r="M146" s="3">
        <v>5</v>
      </c>
      <c r="N146" s="3">
        <v>3</v>
      </c>
      <c r="O146" s="3" t="s">
        <v>22</v>
      </c>
      <c r="P146" s="17" t="s">
        <v>42</v>
      </c>
    </row>
    <row r="147" spans="1:16" x14ac:dyDescent="0.3">
      <c r="A147" s="14">
        <v>1146</v>
      </c>
      <c r="B147" s="3" t="s">
        <v>136</v>
      </c>
      <c r="C147" s="3" t="s">
        <v>17</v>
      </c>
      <c r="D147" s="3">
        <v>55</v>
      </c>
      <c r="E147" s="3" t="s">
        <v>75</v>
      </c>
      <c r="F147" s="3" t="s">
        <v>76</v>
      </c>
      <c r="G147" s="3" t="s">
        <v>29</v>
      </c>
      <c r="H147" s="3" t="s">
        <v>21</v>
      </c>
      <c r="I147" s="15">
        <v>43701</v>
      </c>
      <c r="J147" s="3" t="s">
        <v>22</v>
      </c>
      <c r="K147" s="15"/>
      <c r="L147" s="16">
        <v>84300</v>
      </c>
      <c r="M147" s="3">
        <v>5</v>
      </c>
      <c r="N147" s="3">
        <v>4</v>
      </c>
      <c r="O147" s="3" t="s">
        <v>23</v>
      </c>
      <c r="P147" s="17" t="s">
        <v>24</v>
      </c>
    </row>
    <row r="148" spans="1:16" x14ac:dyDescent="0.3">
      <c r="A148" s="14">
        <v>1147</v>
      </c>
      <c r="B148" s="3" t="s">
        <v>218</v>
      </c>
      <c r="C148" s="3" t="s">
        <v>26</v>
      </c>
      <c r="D148" s="3">
        <v>54</v>
      </c>
      <c r="E148" s="3" t="s">
        <v>44</v>
      </c>
      <c r="F148" s="3" t="s">
        <v>45</v>
      </c>
      <c r="G148" s="3" t="s">
        <v>57</v>
      </c>
      <c r="H148" s="3" t="s">
        <v>46</v>
      </c>
      <c r="I148" s="15">
        <v>43186</v>
      </c>
      <c r="J148" s="3" t="s">
        <v>22</v>
      </c>
      <c r="K148" s="15"/>
      <c r="L148" s="16">
        <v>71100</v>
      </c>
      <c r="M148" s="3">
        <v>3</v>
      </c>
      <c r="N148" s="3">
        <v>4</v>
      </c>
      <c r="O148" s="3" t="s">
        <v>23</v>
      </c>
      <c r="P148" s="17" t="s">
        <v>42</v>
      </c>
    </row>
    <row r="149" spans="1:16" x14ac:dyDescent="0.3">
      <c r="A149" s="14">
        <v>1148</v>
      </c>
      <c r="B149" s="3" t="s">
        <v>219</v>
      </c>
      <c r="C149" s="3" t="s">
        <v>17</v>
      </c>
      <c r="D149" s="3">
        <v>38</v>
      </c>
      <c r="E149" s="3" t="s">
        <v>52</v>
      </c>
      <c r="F149" s="3" t="s">
        <v>93</v>
      </c>
      <c r="G149" s="3" t="s">
        <v>29</v>
      </c>
      <c r="H149" s="3" t="s">
        <v>33</v>
      </c>
      <c r="I149" s="15">
        <v>43599</v>
      </c>
      <c r="J149" s="3" t="s">
        <v>22</v>
      </c>
      <c r="K149" s="15"/>
      <c r="L149" s="16">
        <v>95200</v>
      </c>
      <c r="M149" s="3">
        <v>3</v>
      </c>
      <c r="N149" s="3">
        <v>3</v>
      </c>
      <c r="O149" s="3" t="s">
        <v>23</v>
      </c>
      <c r="P149" s="17" t="s">
        <v>24</v>
      </c>
    </row>
    <row r="150" spans="1:16" x14ac:dyDescent="0.3">
      <c r="A150" s="14">
        <v>1149</v>
      </c>
      <c r="B150" s="3" t="s">
        <v>220</v>
      </c>
      <c r="C150" s="3" t="s">
        <v>26</v>
      </c>
      <c r="D150" s="3">
        <v>51</v>
      </c>
      <c r="E150" s="3" t="s">
        <v>18</v>
      </c>
      <c r="F150" s="3" t="s">
        <v>59</v>
      </c>
      <c r="G150" s="3" t="s">
        <v>49</v>
      </c>
      <c r="H150" s="3" t="s">
        <v>33</v>
      </c>
      <c r="I150" s="15">
        <v>45287</v>
      </c>
      <c r="J150" s="3" t="s">
        <v>22</v>
      </c>
      <c r="K150" s="15"/>
      <c r="L150" s="16">
        <v>99000</v>
      </c>
      <c r="M150" s="3">
        <v>3</v>
      </c>
      <c r="N150" s="3">
        <v>3</v>
      </c>
      <c r="O150" s="3" t="s">
        <v>22</v>
      </c>
      <c r="P150" s="17" t="s">
        <v>24</v>
      </c>
    </row>
    <row r="151" spans="1:16" x14ac:dyDescent="0.3">
      <c r="A151" s="14">
        <v>1150</v>
      </c>
      <c r="B151" s="3" t="s">
        <v>115</v>
      </c>
      <c r="C151" s="3" t="s">
        <v>26</v>
      </c>
      <c r="D151" s="3">
        <v>34</v>
      </c>
      <c r="E151" s="3" t="s">
        <v>52</v>
      </c>
      <c r="F151" s="3" t="s">
        <v>53</v>
      </c>
      <c r="G151" s="3" t="s">
        <v>68</v>
      </c>
      <c r="H151" s="3" t="s">
        <v>30</v>
      </c>
      <c r="I151" s="15">
        <v>45347</v>
      </c>
      <c r="J151" s="3" t="s">
        <v>22</v>
      </c>
      <c r="K151" s="15"/>
      <c r="L151" s="16">
        <v>56700</v>
      </c>
      <c r="M151" s="3">
        <v>3</v>
      </c>
      <c r="N151" s="3">
        <v>5</v>
      </c>
      <c r="O151" s="3" t="s">
        <v>22</v>
      </c>
      <c r="P151" s="17" t="s">
        <v>24</v>
      </c>
    </row>
    <row r="152" spans="1:16" x14ac:dyDescent="0.3">
      <c r="A152" s="14">
        <v>1151</v>
      </c>
      <c r="B152" s="3" t="s">
        <v>221</v>
      </c>
      <c r="C152" s="3" t="s">
        <v>26</v>
      </c>
      <c r="D152" s="3">
        <v>54</v>
      </c>
      <c r="E152" s="3" t="s">
        <v>27</v>
      </c>
      <c r="F152" s="3" t="s">
        <v>32</v>
      </c>
      <c r="G152" s="3" t="s">
        <v>68</v>
      </c>
      <c r="H152" s="3" t="s">
        <v>46</v>
      </c>
      <c r="I152" s="15">
        <v>45337</v>
      </c>
      <c r="J152" s="3" t="s">
        <v>23</v>
      </c>
      <c r="K152" s="15" t="s">
        <v>222</v>
      </c>
      <c r="L152" s="16">
        <v>72200</v>
      </c>
      <c r="M152" s="3">
        <v>4</v>
      </c>
      <c r="N152" s="3">
        <v>2</v>
      </c>
      <c r="O152" s="3" t="s">
        <v>23</v>
      </c>
      <c r="P152" s="17" t="s">
        <v>24</v>
      </c>
    </row>
    <row r="153" spans="1:16" x14ac:dyDescent="0.3">
      <c r="A153" s="14">
        <v>1152</v>
      </c>
      <c r="B153" s="3" t="s">
        <v>223</v>
      </c>
      <c r="C153" s="3" t="s">
        <v>17</v>
      </c>
      <c r="D153" s="3">
        <v>25</v>
      </c>
      <c r="E153" s="3" t="s">
        <v>52</v>
      </c>
      <c r="F153" s="3" t="s">
        <v>53</v>
      </c>
      <c r="G153" s="3" t="s">
        <v>68</v>
      </c>
      <c r="H153" s="3" t="s">
        <v>21</v>
      </c>
      <c r="I153" s="15">
        <v>43190</v>
      </c>
      <c r="J153" s="3" t="s">
        <v>22</v>
      </c>
      <c r="K153" s="15"/>
      <c r="L153" s="16">
        <v>45700</v>
      </c>
      <c r="M153" s="3">
        <v>2</v>
      </c>
      <c r="N153" s="3">
        <v>4</v>
      </c>
      <c r="O153" s="3" t="s">
        <v>23</v>
      </c>
      <c r="P153" s="17" t="s">
        <v>24</v>
      </c>
    </row>
    <row r="154" spans="1:16" x14ac:dyDescent="0.3">
      <c r="A154" s="14">
        <v>1153</v>
      </c>
      <c r="B154" s="3" t="s">
        <v>224</v>
      </c>
      <c r="C154" s="3" t="s">
        <v>17</v>
      </c>
      <c r="D154" s="3">
        <v>48</v>
      </c>
      <c r="E154" s="3" t="s">
        <v>44</v>
      </c>
      <c r="F154" s="3" t="s">
        <v>78</v>
      </c>
      <c r="G154" s="3" t="s">
        <v>68</v>
      </c>
      <c r="H154" s="3" t="s">
        <v>46</v>
      </c>
      <c r="I154" s="15">
        <v>44481</v>
      </c>
      <c r="J154" s="3" t="s">
        <v>22</v>
      </c>
      <c r="K154" s="15"/>
      <c r="L154" s="16">
        <v>46900</v>
      </c>
      <c r="M154" s="3">
        <v>2</v>
      </c>
      <c r="N154" s="3">
        <v>5</v>
      </c>
      <c r="O154" s="3" t="s">
        <v>22</v>
      </c>
      <c r="P154" s="17" t="s">
        <v>42</v>
      </c>
    </row>
    <row r="155" spans="1:16" x14ac:dyDescent="0.3">
      <c r="A155" s="14">
        <v>1154</v>
      </c>
      <c r="B155" s="3" t="s">
        <v>99</v>
      </c>
      <c r="C155" s="3" t="s">
        <v>17</v>
      </c>
      <c r="D155" s="3">
        <v>48</v>
      </c>
      <c r="E155" s="3" t="s">
        <v>35</v>
      </c>
      <c r="F155" s="3" t="s">
        <v>48</v>
      </c>
      <c r="G155" s="3" t="s">
        <v>20</v>
      </c>
      <c r="H155" s="3" t="s">
        <v>33</v>
      </c>
      <c r="I155" s="15">
        <v>45353</v>
      </c>
      <c r="J155" s="3" t="s">
        <v>22</v>
      </c>
      <c r="K155" s="15"/>
      <c r="L155" s="16">
        <v>126900</v>
      </c>
      <c r="M155" s="3">
        <v>3</v>
      </c>
      <c r="N155" s="3">
        <v>5</v>
      </c>
      <c r="O155" s="3" t="s">
        <v>23</v>
      </c>
      <c r="P155" s="17" t="s">
        <v>24</v>
      </c>
    </row>
    <row r="156" spans="1:16" x14ac:dyDescent="0.3">
      <c r="A156" s="14">
        <v>1155</v>
      </c>
      <c r="B156" s="3" t="s">
        <v>225</v>
      </c>
      <c r="C156" s="3" t="s">
        <v>26</v>
      </c>
      <c r="D156" s="3">
        <v>44</v>
      </c>
      <c r="E156" s="3" t="s">
        <v>55</v>
      </c>
      <c r="F156" s="3" t="s">
        <v>56</v>
      </c>
      <c r="G156" s="3" t="s">
        <v>62</v>
      </c>
      <c r="H156" s="3" t="s">
        <v>21</v>
      </c>
      <c r="I156" s="15">
        <v>44300</v>
      </c>
      <c r="J156" s="3" t="s">
        <v>22</v>
      </c>
      <c r="K156" s="15"/>
      <c r="L156" s="16">
        <v>57100</v>
      </c>
      <c r="M156" s="3">
        <v>4</v>
      </c>
      <c r="N156" s="3">
        <v>3</v>
      </c>
      <c r="O156" s="3" t="s">
        <v>23</v>
      </c>
      <c r="P156" s="17" t="s">
        <v>24</v>
      </c>
    </row>
    <row r="157" spans="1:16" x14ac:dyDescent="0.3">
      <c r="A157" s="14">
        <v>1156</v>
      </c>
      <c r="B157" s="3" t="s">
        <v>226</v>
      </c>
      <c r="C157" s="3" t="s">
        <v>17</v>
      </c>
      <c r="D157" s="3">
        <v>58</v>
      </c>
      <c r="E157" s="3" t="s">
        <v>35</v>
      </c>
      <c r="F157" s="3" t="s">
        <v>84</v>
      </c>
      <c r="G157" s="3" t="s">
        <v>60</v>
      </c>
      <c r="H157" s="3" t="s">
        <v>30</v>
      </c>
      <c r="I157" s="15">
        <v>44645</v>
      </c>
      <c r="J157" s="3" t="s">
        <v>22</v>
      </c>
      <c r="K157" s="15"/>
      <c r="L157" s="16">
        <v>70400</v>
      </c>
      <c r="M157" s="3">
        <v>2</v>
      </c>
      <c r="N157" s="3">
        <v>3</v>
      </c>
      <c r="O157" s="3" t="s">
        <v>23</v>
      </c>
      <c r="P157" s="17" t="s">
        <v>24</v>
      </c>
    </row>
    <row r="158" spans="1:16" x14ac:dyDescent="0.3">
      <c r="A158" s="14">
        <v>1157</v>
      </c>
      <c r="B158" s="3" t="s">
        <v>227</v>
      </c>
      <c r="C158" s="3" t="s">
        <v>26</v>
      </c>
      <c r="D158" s="3">
        <v>41</v>
      </c>
      <c r="E158" s="3" t="s">
        <v>18</v>
      </c>
      <c r="F158" s="3" t="s">
        <v>19</v>
      </c>
      <c r="G158" s="3" t="s">
        <v>49</v>
      </c>
      <c r="H158" s="3" t="s">
        <v>30</v>
      </c>
      <c r="I158" s="15">
        <v>45298</v>
      </c>
      <c r="J158" s="3" t="s">
        <v>22</v>
      </c>
      <c r="K158" s="15"/>
      <c r="L158" s="16">
        <v>52200</v>
      </c>
      <c r="M158" s="3">
        <v>4</v>
      </c>
      <c r="N158" s="3">
        <v>5</v>
      </c>
      <c r="O158" s="3" t="s">
        <v>22</v>
      </c>
      <c r="P158" s="17" t="s">
        <v>24</v>
      </c>
    </row>
    <row r="159" spans="1:16" x14ac:dyDescent="0.3">
      <c r="A159" s="14">
        <v>1158</v>
      </c>
      <c r="B159" s="3" t="s">
        <v>43</v>
      </c>
      <c r="C159" s="3" t="s">
        <v>26</v>
      </c>
      <c r="D159" s="3">
        <v>55</v>
      </c>
      <c r="E159" s="3" t="s">
        <v>75</v>
      </c>
      <c r="F159" s="3" t="s">
        <v>76</v>
      </c>
      <c r="G159" s="3" t="s">
        <v>29</v>
      </c>
      <c r="H159" s="3" t="s">
        <v>33</v>
      </c>
      <c r="I159" s="15">
        <v>44040</v>
      </c>
      <c r="J159" s="3" t="s">
        <v>22</v>
      </c>
      <c r="K159" s="15"/>
      <c r="L159" s="16">
        <v>60800</v>
      </c>
      <c r="M159" s="3">
        <v>3</v>
      </c>
      <c r="N159" s="3">
        <v>5</v>
      </c>
      <c r="O159" s="3" t="s">
        <v>23</v>
      </c>
      <c r="P159" s="17" t="s">
        <v>42</v>
      </c>
    </row>
    <row r="160" spans="1:16" x14ac:dyDescent="0.3">
      <c r="A160" s="14">
        <v>1159</v>
      </c>
      <c r="B160" s="3" t="s">
        <v>228</v>
      </c>
      <c r="C160" s="3" t="s">
        <v>17</v>
      </c>
      <c r="D160" s="3">
        <v>32</v>
      </c>
      <c r="E160" s="3" t="s">
        <v>38</v>
      </c>
      <c r="F160" s="3" t="s">
        <v>41</v>
      </c>
      <c r="G160" s="3" t="s">
        <v>86</v>
      </c>
      <c r="H160" s="3" t="s">
        <v>33</v>
      </c>
      <c r="I160" s="15">
        <v>44586</v>
      </c>
      <c r="J160" s="3" t="s">
        <v>22</v>
      </c>
      <c r="K160" s="15"/>
      <c r="L160" s="16">
        <v>84400</v>
      </c>
      <c r="M160" s="3">
        <v>5</v>
      </c>
      <c r="N160" s="3">
        <v>5</v>
      </c>
      <c r="O160" s="3" t="s">
        <v>23</v>
      </c>
      <c r="P160" s="17" t="s">
        <v>42</v>
      </c>
    </row>
    <row r="161" spans="1:16" x14ac:dyDescent="0.3">
      <c r="A161" s="14">
        <v>1160</v>
      </c>
      <c r="B161" s="3" t="s">
        <v>229</v>
      </c>
      <c r="C161" s="3" t="s">
        <v>17</v>
      </c>
      <c r="D161" s="3">
        <v>54</v>
      </c>
      <c r="E161" s="3" t="s">
        <v>55</v>
      </c>
      <c r="F161" s="3" t="s">
        <v>67</v>
      </c>
      <c r="G161" s="3" t="s">
        <v>49</v>
      </c>
      <c r="H161" s="3" t="s">
        <v>46</v>
      </c>
      <c r="I161" s="15">
        <v>43871</v>
      </c>
      <c r="J161" s="3" t="s">
        <v>22</v>
      </c>
      <c r="K161" s="15"/>
      <c r="L161" s="16">
        <v>32500</v>
      </c>
      <c r="M161" s="3">
        <v>2</v>
      </c>
      <c r="N161" s="3">
        <v>1</v>
      </c>
      <c r="O161" s="3" t="s">
        <v>22</v>
      </c>
      <c r="P161" s="17" t="s">
        <v>42</v>
      </c>
    </row>
    <row r="162" spans="1:16" x14ac:dyDescent="0.3">
      <c r="A162" s="14">
        <v>1161</v>
      </c>
      <c r="B162" s="3" t="s">
        <v>120</v>
      </c>
      <c r="C162" s="3" t="s">
        <v>26</v>
      </c>
      <c r="D162" s="3">
        <v>47</v>
      </c>
      <c r="E162" s="3" t="s">
        <v>18</v>
      </c>
      <c r="F162" s="3" t="s">
        <v>124</v>
      </c>
      <c r="G162" s="3" t="s">
        <v>29</v>
      </c>
      <c r="H162" s="3" t="s">
        <v>21</v>
      </c>
      <c r="I162" s="15">
        <v>43504</v>
      </c>
      <c r="J162" s="3" t="s">
        <v>22</v>
      </c>
      <c r="K162" s="15"/>
      <c r="L162" s="16">
        <v>87800</v>
      </c>
      <c r="M162" s="3">
        <v>4</v>
      </c>
      <c r="N162" s="3">
        <v>4</v>
      </c>
      <c r="O162" s="3" t="s">
        <v>22</v>
      </c>
      <c r="P162" s="17" t="s">
        <v>42</v>
      </c>
    </row>
    <row r="163" spans="1:16" x14ac:dyDescent="0.3">
      <c r="A163" s="14">
        <v>1162</v>
      </c>
      <c r="B163" s="3" t="s">
        <v>230</v>
      </c>
      <c r="C163" s="3" t="s">
        <v>17</v>
      </c>
      <c r="D163" s="3">
        <v>23</v>
      </c>
      <c r="E163" s="3" t="s">
        <v>44</v>
      </c>
      <c r="F163" s="3" t="s">
        <v>70</v>
      </c>
      <c r="G163" s="3" t="s">
        <v>60</v>
      </c>
      <c r="H163" s="3" t="s">
        <v>33</v>
      </c>
      <c r="I163" s="15">
        <v>43511</v>
      </c>
      <c r="J163" s="3" t="s">
        <v>22</v>
      </c>
      <c r="K163" s="15"/>
      <c r="L163" s="16">
        <v>37000</v>
      </c>
      <c r="M163" s="3">
        <v>5</v>
      </c>
      <c r="N163" s="3">
        <v>4</v>
      </c>
      <c r="O163" s="3" t="s">
        <v>22</v>
      </c>
      <c r="P163" s="17" t="s">
        <v>42</v>
      </c>
    </row>
    <row r="164" spans="1:16" x14ac:dyDescent="0.3">
      <c r="A164" s="14">
        <v>1163</v>
      </c>
      <c r="B164" s="3" t="s">
        <v>231</v>
      </c>
      <c r="C164" s="3" t="s">
        <v>17</v>
      </c>
      <c r="D164" s="3">
        <v>32</v>
      </c>
      <c r="E164" s="3" t="s">
        <v>35</v>
      </c>
      <c r="F164" s="3" t="s">
        <v>36</v>
      </c>
      <c r="G164" s="3" t="s">
        <v>86</v>
      </c>
      <c r="H164" s="3" t="s">
        <v>21</v>
      </c>
      <c r="I164" s="15">
        <v>43235</v>
      </c>
      <c r="J164" s="3" t="s">
        <v>22</v>
      </c>
      <c r="K164" s="15"/>
      <c r="L164" s="16">
        <v>87100</v>
      </c>
      <c r="M164" s="3">
        <v>2</v>
      </c>
      <c r="N164" s="3">
        <v>5</v>
      </c>
      <c r="O164" s="3" t="s">
        <v>23</v>
      </c>
      <c r="P164" s="17" t="s">
        <v>24</v>
      </c>
    </row>
    <row r="165" spans="1:16" x14ac:dyDescent="0.3">
      <c r="A165" s="14">
        <v>1164</v>
      </c>
      <c r="B165" s="3" t="s">
        <v>232</v>
      </c>
      <c r="C165" s="3" t="s">
        <v>17</v>
      </c>
      <c r="D165" s="3">
        <v>24</v>
      </c>
      <c r="E165" s="3" t="s">
        <v>18</v>
      </c>
      <c r="F165" s="3" t="s">
        <v>19</v>
      </c>
      <c r="G165" s="3" t="s">
        <v>68</v>
      </c>
      <c r="H165" s="3" t="s">
        <v>30</v>
      </c>
      <c r="I165" s="15">
        <v>44901</v>
      </c>
      <c r="J165" s="3" t="s">
        <v>22</v>
      </c>
      <c r="K165" s="15"/>
      <c r="L165" s="16">
        <v>39200</v>
      </c>
      <c r="M165" s="3">
        <v>3</v>
      </c>
      <c r="N165" s="3">
        <v>2</v>
      </c>
      <c r="O165" s="3" t="s">
        <v>23</v>
      </c>
      <c r="P165" s="17" t="s">
        <v>24</v>
      </c>
    </row>
    <row r="166" spans="1:16" x14ac:dyDescent="0.3">
      <c r="A166" s="14">
        <v>1165</v>
      </c>
      <c r="B166" s="3" t="s">
        <v>102</v>
      </c>
      <c r="C166" s="3" t="s">
        <v>17</v>
      </c>
      <c r="D166" s="3">
        <v>37</v>
      </c>
      <c r="E166" s="3" t="s">
        <v>55</v>
      </c>
      <c r="F166" s="3" t="s">
        <v>56</v>
      </c>
      <c r="G166" s="3" t="s">
        <v>62</v>
      </c>
      <c r="H166" s="3" t="s">
        <v>33</v>
      </c>
      <c r="I166" s="15">
        <v>44697</v>
      </c>
      <c r="J166" s="3" t="s">
        <v>22</v>
      </c>
      <c r="K166" s="15"/>
      <c r="L166" s="16">
        <v>64500</v>
      </c>
      <c r="M166" s="3">
        <v>4</v>
      </c>
      <c r="N166" s="3">
        <v>4</v>
      </c>
      <c r="O166" s="3" t="s">
        <v>22</v>
      </c>
      <c r="P166" s="17" t="s">
        <v>42</v>
      </c>
    </row>
    <row r="167" spans="1:16" x14ac:dyDescent="0.3">
      <c r="A167" s="14">
        <v>1166</v>
      </c>
      <c r="B167" s="3" t="s">
        <v>233</v>
      </c>
      <c r="C167" s="3" t="s">
        <v>26</v>
      </c>
      <c r="D167" s="3">
        <v>33</v>
      </c>
      <c r="E167" s="3" t="s">
        <v>35</v>
      </c>
      <c r="F167" s="3" t="s">
        <v>36</v>
      </c>
      <c r="G167" s="3" t="s">
        <v>86</v>
      </c>
      <c r="H167" s="3" t="s">
        <v>30</v>
      </c>
      <c r="I167" s="15">
        <v>43132</v>
      </c>
      <c r="J167" s="3" t="s">
        <v>22</v>
      </c>
      <c r="K167" s="15"/>
      <c r="L167" s="16">
        <v>112700</v>
      </c>
      <c r="M167" s="3">
        <v>3</v>
      </c>
      <c r="N167" s="3">
        <v>1</v>
      </c>
      <c r="O167" s="3" t="s">
        <v>22</v>
      </c>
      <c r="P167" s="17" t="s">
        <v>24</v>
      </c>
    </row>
    <row r="168" spans="1:16" x14ac:dyDescent="0.3">
      <c r="A168" s="14">
        <v>1167</v>
      </c>
      <c r="B168" s="3" t="s">
        <v>234</v>
      </c>
      <c r="C168" s="3" t="s">
        <v>26</v>
      </c>
      <c r="D168" s="3">
        <v>46</v>
      </c>
      <c r="E168" s="3" t="s">
        <v>44</v>
      </c>
      <c r="F168" s="3" t="s">
        <v>45</v>
      </c>
      <c r="G168" s="3" t="s">
        <v>86</v>
      </c>
      <c r="H168" s="3" t="s">
        <v>46</v>
      </c>
      <c r="I168" s="15">
        <v>43884</v>
      </c>
      <c r="J168" s="3" t="s">
        <v>22</v>
      </c>
      <c r="K168" s="15"/>
      <c r="L168" s="16">
        <v>78400</v>
      </c>
      <c r="M168" s="3">
        <v>3</v>
      </c>
      <c r="N168" s="3">
        <v>3</v>
      </c>
      <c r="O168" s="3" t="s">
        <v>23</v>
      </c>
      <c r="P168" s="17" t="s">
        <v>24</v>
      </c>
    </row>
    <row r="169" spans="1:16" x14ac:dyDescent="0.3">
      <c r="A169" s="14">
        <v>1168</v>
      </c>
      <c r="B169" s="3" t="s">
        <v>235</v>
      </c>
      <c r="C169" s="3" t="s">
        <v>26</v>
      </c>
      <c r="D169" s="3">
        <v>56</v>
      </c>
      <c r="E169" s="3" t="s">
        <v>35</v>
      </c>
      <c r="F169" s="3" t="s">
        <v>64</v>
      </c>
      <c r="G169" s="3" t="s">
        <v>68</v>
      </c>
      <c r="H169" s="3" t="s">
        <v>21</v>
      </c>
      <c r="I169" s="15">
        <v>43624</v>
      </c>
      <c r="J169" s="3" t="s">
        <v>22</v>
      </c>
      <c r="K169" s="15"/>
      <c r="L169" s="16">
        <v>69700</v>
      </c>
      <c r="M169" s="3">
        <v>3</v>
      </c>
      <c r="N169" s="3">
        <v>2</v>
      </c>
      <c r="O169" s="3" t="s">
        <v>23</v>
      </c>
      <c r="P169" s="17" t="s">
        <v>24</v>
      </c>
    </row>
    <row r="170" spans="1:16" x14ac:dyDescent="0.3">
      <c r="A170" s="14">
        <v>1169</v>
      </c>
      <c r="B170" s="3" t="s">
        <v>167</v>
      </c>
      <c r="C170" s="3" t="s">
        <v>17</v>
      </c>
      <c r="D170" s="3">
        <v>54</v>
      </c>
      <c r="E170" s="3" t="s">
        <v>55</v>
      </c>
      <c r="F170" s="3" t="s">
        <v>67</v>
      </c>
      <c r="G170" s="3" t="s">
        <v>49</v>
      </c>
      <c r="H170" s="3" t="s">
        <v>30</v>
      </c>
      <c r="I170" s="15">
        <v>43938</v>
      </c>
      <c r="J170" s="3" t="s">
        <v>23</v>
      </c>
      <c r="K170" s="15" t="s">
        <v>236</v>
      </c>
      <c r="L170" s="16">
        <v>30100</v>
      </c>
      <c r="M170" s="3">
        <v>3</v>
      </c>
      <c r="N170" s="3">
        <v>3</v>
      </c>
      <c r="O170" s="3" t="s">
        <v>22</v>
      </c>
      <c r="P170" s="17" t="s">
        <v>24</v>
      </c>
    </row>
    <row r="171" spans="1:16" x14ac:dyDescent="0.3">
      <c r="A171" s="14">
        <v>1170</v>
      </c>
      <c r="B171" s="3" t="s">
        <v>237</v>
      </c>
      <c r="C171" s="3" t="s">
        <v>17</v>
      </c>
      <c r="D171" s="3">
        <v>56</v>
      </c>
      <c r="E171" s="3" t="s">
        <v>27</v>
      </c>
      <c r="F171" s="3" t="s">
        <v>155</v>
      </c>
      <c r="G171" s="3" t="s">
        <v>20</v>
      </c>
      <c r="H171" s="3" t="s">
        <v>33</v>
      </c>
      <c r="I171" s="15">
        <v>44208</v>
      </c>
      <c r="J171" s="3" t="s">
        <v>23</v>
      </c>
      <c r="K171" s="15" t="s">
        <v>238</v>
      </c>
      <c r="L171" s="16">
        <v>45800</v>
      </c>
      <c r="M171" s="3">
        <v>4</v>
      </c>
      <c r="N171" s="3">
        <v>5</v>
      </c>
      <c r="O171" s="3" t="s">
        <v>23</v>
      </c>
      <c r="P171" s="17" t="s">
        <v>24</v>
      </c>
    </row>
    <row r="172" spans="1:16" x14ac:dyDescent="0.3">
      <c r="A172" s="14">
        <v>1171</v>
      </c>
      <c r="B172" s="3" t="s">
        <v>239</v>
      </c>
      <c r="C172" s="3" t="s">
        <v>26</v>
      </c>
      <c r="D172" s="3">
        <v>28</v>
      </c>
      <c r="E172" s="3" t="s">
        <v>35</v>
      </c>
      <c r="F172" s="3" t="s">
        <v>36</v>
      </c>
      <c r="G172" s="3" t="s">
        <v>86</v>
      </c>
      <c r="H172" s="3" t="s">
        <v>46</v>
      </c>
      <c r="I172" s="15">
        <v>43379</v>
      </c>
      <c r="J172" s="3" t="s">
        <v>22</v>
      </c>
      <c r="K172" s="15"/>
      <c r="L172" s="16">
        <v>97800</v>
      </c>
      <c r="M172" s="3">
        <v>3</v>
      </c>
      <c r="N172" s="3">
        <v>3</v>
      </c>
      <c r="O172" s="3" t="s">
        <v>23</v>
      </c>
      <c r="P172" s="17" t="s">
        <v>42</v>
      </c>
    </row>
    <row r="173" spans="1:16" x14ac:dyDescent="0.3">
      <c r="A173" s="14">
        <v>1172</v>
      </c>
      <c r="B173" s="3" t="s">
        <v>240</v>
      </c>
      <c r="C173" s="3" t="s">
        <v>26</v>
      </c>
      <c r="D173" s="3">
        <v>40</v>
      </c>
      <c r="E173" s="3" t="s">
        <v>27</v>
      </c>
      <c r="F173" s="3" t="s">
        <v>32</v>
      </c>
      <c r="G173" s="3" t="s">
        <v>60</v>
      </c>
      <c r="H173" s="3" t="s">
        <v>30</v>
      </c>
      <c r="I173" s="15">
        <v>44558</v>
      </c>
      <c r="J173" s="3" t="s">
        <v>22</v>
      </c>
      <c r="K173" s="15"/>
      <c r="L173" s="16">
        <v>72800</v>
      </c>
      <c r="M173" s="3">
        <v>5</v>
      </c>
      <c r="N173" s="3">
        <v>2</v>
      </c>
      <c r="O173" s="3" t="s">
        <v>22</v>
      </c>
      <c r="P173" s="17" t="s">
        <v>42</v>
      </c>
    </row>
    <row r="174" spans="1:16" x14ac:dyDescent="0.3">
      <c r="A174" s="14">
        <v>1173</v>
      </c>
      <c r="B174" s="3" t="s">
        <v>241</v>
      </c>
      <c r="C174" s="3" t="s">
        <v>17</v>
      </c>
      <c r="D174" s="3">
        <v>47</v>
      </c>
      <c r="E174" s="3" t="s">
        <v>55</v>
      </c>
      <c r="F174" s="3" t="s">
        <v>67</v>
      </c>
      <c r="G174" s="3" t="s">
        <v>62</v>
      </c>
      <c r="H174" s="3" t="s">
        <v>46</v>
      </c>
      <c r="I174" s="15">
        <v>44543</v>
      </c>
      <c r="J174" s="3" t="s">
        <v>22</v>
      </c>
      <c r="K174" s="15"/>
      <c r="L174" s="16">
        <v>38800</v>
      </c>
      <c r="M174" s="3">
        <v>2</v>
      </c>
      <c r="N174" s="3">
        <v>3</v>
      </c>
      <c r="O174" s="3" t="s">
        <v>23</v>
      </c>
      <c r="P174" s="17" t="s">
        <v>42</v>
      </c>
    </row>
    <row r="175" spans="1:16" x14ac:dyDescent="0.3">
      <c r="A175" s="14">
        <v>1174</v>
      </c>
      <c r="B175" s="3" t="s">
        <v>242</v>
      </c>
      <c r="C175" s="3" t="s">
        <v>26</v>
      </c>
      <c r="D175" s="3">
        <v>46</v>
      </c>
      <c r="E175" s="3" t="s">
        <v>55</v>
      </c>
      <c r="F175" s="3" t="s">
        <v>67</v>
      </c>
      <c r="G175" s="3" t="s">
        <v>49</v>
      </c>
      <c r="H175" s="3" t="s">
        <v>46</v>
      </c>
      <c r="I175" s="15">
        <v>43261</v>
      </c>
      <c r="J175" s="3" t="s">
        <v>22</v>
      </c>
      <c r="K175" s="15"/>
      <c r="L175" s="16">
        <v>34300</v>
      </c>
      <c r="M175" s="3">
        <v>4</v>
      </c>
      <c r="N175" s="3">
        <v>5</v>
      </c>
      <c r="O175" s="3" t="s">
        <v>23</v>
      </c>
      <c r="P175" s="17" t="s">
        <v>24</v>
      </c>
    </row>
    <row r="176" spans="1:16" x14ac:dyDescent="0.3">
      <c r="A176" s="14">
        <v>1175</v>
      </c>
      <c r="B176" s="3" t="s">
        <v>243</v>
      </c>
      <c r="C176" s="3" t="s">
        <v>17</v>
      </c>
      <c r="D176" s="3">
        <v>40</v>
      </c>
      <c r="E176" s="3" t="s">
        <v>55</v>
      </c>
      <c r="F176" s="3" t="s">
        <v>56</v>
      </c>
      <c r="G176" s="3" t="s">
        <v>29</v>
      </c>
      <c r="H176" s="3" t="s">
        <v>33</v>
      </c>
      <c r="I176" s="15">
        <v>43276</v>
      </c>
      <c r="J176" s="3" t="s">
        <v>22</v>
      </c>
      <c r="K176" s="15"/>
      <c r="L176" s="16">
        <v>69100</v>
      </c>
      <c r="M176" s="3">
        <v>4</v>
      </c>
      <c r="N176" s="3">
        <v>2</v>
      </c>
      <c r="O176" s="3" t="s">
        <v>23</v>
      </c>
      <c r="P176" s="17" t="s">
        <v>42</v>
      </c>
    </row>
    <row r="177" spans="1:16" x14ac:dyDescent="0.3">
      <c r="A177" s="14">
        <v>1176</v>
      </c>
      <c r="B177" s="3" t="s">
        <v>244</v>
      </c>
      <c r="C177" s="3" t="s">
        <v>26</v>
      </c>
      <c r="D177" s="3">
        <v>36</v>
      </c>
      <c r="E177" s="3" t="s">
        <v>75</v>
      </c>
      <c r="F177" s="3" t="s">
        <v>89</v>
      </c>
      <c r="G177" s="3" t="s">
        <v>57</v>
      </c>
      <c r="H177" s="3" t="s">
        <v>30</v>
      </c>
      <c r="I177" s="15">
        <v>44252</v>
      </c>
      <c r="J177" s="3" t="s">
        <v>22</v>
      </c>
      <c r="K177" s="15"/>
      <c r="L177" s="16">
        <v>40300</v>
      </c>
      <c r="M177" s="3">
        <v>3</v>
      </c>
      <c r="N177" s="3">
        <v>4</v>
      </c>
      <c r="O177" s="3" t="s">
        <v>22</v>
      </c>
      <c r="P177" s="17" t="s">
        <v>24</v>
      </c>
    </row>
    <row r="178" spans="1:16" x14ac:dyDescent="0.3">
      <c r="A178" s="14">
        <v>1177</v>
      </c>
      <c r="B178" s="3" t="s">
        <v>245</v>
      </c>
      <c r="C178" s="3" t="s">
        <v>26</v>
      </c>
      <c r="D178" s="3">
        <v>24</v>
      </c>
      <c r="E178" s="3" t="s">
        <v>55</v>
      </c>
      <c r="F178" s="3" t="s">
        <v>67</v>
      </c>
      <c r="G178" s="3" t="s">
        <v>62</v>
      </c>
      <c r="H178" s="3" t="s">
        <v>46</v>
      </c>
      <c r="I178" s="15">
        <v>45391</v>
      </c>
      <c r="J178" s="3" t="s">
        <v>22</v>
      </c>
      <c r="K178" s="15"/>
      <c r="L178" s="16">
        <v>30500</v>
      </c>
      <c r="M178" s="3">
        <v>4</v>
      </c>
      <c r="N178" s="3">
        <v>2</v>
      </c>
      <c r="O178" s="3" t="s">
        <v>22</v>
      </c>
      <c r="P178" s="17" t="s">
        <v>42</v>
      </c>
    </row>
    <row r="179" spans="1:16" x14ac:dyDescent="0.3">
      <c r="A179" s="14">
        <v>1178</v>
      </c>
      <c r="B179" s="3" t="s">
        <v>246</v>
      </c>
      <c r="C179" s="3" t="s">
        <v>17</v>
      </c>
      <c r="D179" s="3">
        <v>41</v>
      </c>
      <c r="E179" s="3" t="s">
        <v>75</v>
      </c>
      <c r="F179" s="3" t="s">
        <v>76</v>
      </c>
      <c r="G179" s="3" t="s">
        <v>20</v>
      </c>
      <c r="H179" s="3" t="s">
        <v>46</v>
      </c>
      <c r="I179" s="15">
        <v>43662</v>
      </c>
      <c r="J179" s="3" t="s">
        <v>22</v>
      </c>
      <c r="K179" s="15"/>
      <c r="L179" s="16">
        <v>61900</v>
      </c>
      <c r="M179" s="3">
        <v>4</v>
      </c>
      <c r="N179" s="3">
        <v>2</v>
      </c>
      <c r="O179" s="3" t="s">
        <v>23</v>
      </c>
      <c r="P179" s="17" t="s">
        <v>42</v>
      </c>
    </row>
    <row r="180" spans="1:16" x14ac:dyDescent="0.3">
      <c r="A180" s="14">
        <v>1179</v>
      </c>
      <c r="B180" s="3" t="s">
        <v>247</v>
      </c>
      <c r="C180" s="3" t="s">
        <v>26</v>
      </c>
      <c r="D180" s="3">
        <v>58</v>
      </c>
      <c r="E180" s="3" t="s">
        <v>75</v>
      </c>
      <c r="F180" s="3" t="s">
        <v>76</v>
      </c>
      <c r="G180" s="3" t="s">
        <v>60</v>
      </c>
      <c r="H180" s="3" t="s">
        <v>46</v>
      </c>
      <c r="I180" s="15">
        <v>44087</v>
      </c>
      <c r="J180" s="3" t="s">
        <v>22</v>
      </c>
      <c r="K180" s="15"/>
      <c r="L180" s="16">
        <v>67300</v>
      </c>
      <c r="M180" s="3">
        <v>4</v>
      </c>
      <c r="N180" s="3">
        <v>2</v>
      </c>
      <c r="O180" s="3" t="s">
        <v>23</v>
      </c>
      <c r="P180" s="17" t="s">
        <v>24</v>
      </c>
    </row>
    <row r="181" spans="1:16" x14ac:dyDescent="0.3">
      <c r="A181" s="14">
        <v>1180</v>
      </c>
      <c r="B181" s="3" t="s">
        <v>248</v>
      </c>
      <c r="C181" s="3" t="s">
        <v>26</v>
      </c>
      <c r="D181" s="3">
        <v>45</v>
      </c>
      <c r="E181" s="3" t="s">
        <v>44</v>
      </c>
      <c r="F181" s="3" t="s">
        <v>78</v>
      </c>
      <c r="G181" s="3" t="s">
        <v>49</v>
      </c>
      <c r="H181" s="3" t="s">
        <v>33</v>
      </c>
      <c r="I181" s="15">
        <v>45094</v>
      </c>
      <c r="J181" s="3" t="s">
        <v>22</v>
      </c>
      <c r="K181" s="15"/>
      <c r="L181" s="16">
        <v>39200</v>
      </c>
      <c r="M181" s="3">
        <v>2</v>
      </c>
      <c r="N181" s="3">
        <v>2</v>
      </c>
      <c r="O181" s="3" t="s">
        <v>23</v>
      </c>
      <c r="P181" s="17" t="s">
        <v>24</v>
      </c>
    </row>
    <row r="182" spans="1:16" x14ac:dyDescent="0.3">
      <c r="A182" s="14">
        <v>1181</v>
      </c>
      <c r="B182" s="3" t="s">
        <v>249</v>
      </c>
      <c r="C182" s="3" t="s">
        <v>26</v>
      </c>
      <c r="D182" s="3">
        <v>40</v>
      </c>
      <c r="E182" s="3" t="s">
        <v>75</v>
      </c>
      <c r="F182" s="3" t="s">
        <v>76</v>
      </c>
      <c r="G182" s="3" t="s">
        <v>62</v>
      </c>
      <c r="H182" s="3" t="s">
        <v>21</v>
      </c>
      <c r="I182" s="15">
        <v>43789</v>
      </c>
      <c r="J182" s="3" t="s">
        <v>22</v>
      </c>
      <c r="K182" s="15"/>
      <c r="L182" s="16">
        <v>73400</v>
      </c>
      <c r="M182" s="3">
        <v>1</v>
      </c>
      <c r="N182" s="3">
        <v>4</v>
      </c>
      <c r="O182" s="3" t="s">
        <v>23</v>
      </c>
      <c r="P182" s="17" t="s">
        <v>24</v>
      </c>
    </row>
    <row r="183" spans="1:16" x14ac:dyDescent="0.3">
      <c r="A183" s="14">
        <v>1182</v>
      </c>
      <c r="B183" s="3" t="s">
        <v>250</v>
      </c>
      <c r="C183" s="3" t="s">
        <v>17</v>
      </c>
      <c r="D183" s="3">
        <v>53</v>
      </c>
      <c r="E183" s="3" t="s">
        <v>44</v>
      </c>
      <c r="F183" s="3" t="s">
        <v>78</v>
      </c>
      <c r="G183" s="3" t="s">
        <v>62</v>
      </c>
      <c r="H183" s="3" t="s">
        <v>30</v>
      </c>
      <c r="I183" s="15">
        <v>43878</v>
      </c>
      <c r="J183" s="3" t="s">
        <v>22</v>
      </c>
      <c r="K183" s="15"/>
      <c r="L183" s="16">
        <v>48900</v>
      </c>
      <c r="M183" s="3">
        <v>3</v>
      </c>
      <c r="N183" s="3">
        <v>1</v>
      </c>
      <c r="O183" s="3" t="s">
        <v>22</v>
      </c>
      <c r="P183" s="17" t="s">
        <v>24</v>
      </c>
    </row>
    <row r="184" spans="1:16" x14ac:dyDescent="0.3">
      <c r="A184" s="14">
        <v>1183</v>
      </c>
      <c r="B184" s="3" t="s">
        <v>112</v>
      </c>
      <c r="C184" s="3" t="s">
        <v>26</v>
      </c>
      <c r="D184" s="3">
        <v>31</v>
      </c>
      <c r="E184" s="3" t="s">
        <v>35</v>
      </c>
      <c r="F184" s="3" t="s">
        <v>64</v>
      </c>
      <c r="G184" s="3" t="s">
        <v>29</v>
      </c>
      <c r="H184" s="3" t="s">
        <v>30</v>
      </c>
      <c r="I184" s="15">
        <v>44314</v>
      </c>
      <c r="J184" s="3" t="s">
        <v>22</v>
      </c>
      <c r="K184" s="15"/>
      <c r="L184" s="16">
        <v>64800</v>
      </c>
      <c r="M184" s="3">
        <v>5</v>
      </c>
      <c r="N184" s="3">
        <v>2</v>
      </c>
      <c r="O184" s="3" t="s">
        <v>23</v>
      </c>
      <c r="P184" s="17" t="s">
        <v>24</v>
      </c>
    </row>
    <row r="185" spans="1:16" x14ac:dyDescent="0.3">
      <c r="A185" s="14">
        <v>1184</v>
      </c>
      <c r="B185" s="3" t="s">
        <v>251</v>
      </c>
      <c r="C185" s="3" t="s">
        <v>17</v>
      </c>
      <c r="D185" s="3">
        <v>36</v>
      </c>
      <c r="E185" s="3" t="s">
        <v>55</v>
      </c>
      <c r="F185" s="3" t="s">
        <v>67</v>
      </c>
      <c r="G185" s="3" t="s">
        <v>86</v>
      </c>
      <c r="H185" s="3" t="s">
        <v>21</v>
      </c>
      <c r="I185" s="15">
        <v>44610</v>
      </c>
      <c r="J185" s="3" t="s">
        <v>22</v>
      </c>
      <c r="K185" s="15"/>
      <c r="L185" s="16">
        <v>28900</v>
      </c>
      <c r="M185" s="3">
        <v>5</v>
      </c>
      <c r="N185" s="3">
        <v>3</v>
      </c>
      <c r="O185" s="3" t="s">
        <v>23</v>
      </c>
      <c r="P185" s="17" t="s">
        <v>42</v>
      </c>
    </row>
    <row r="186" spans="1:16" x14ac:dyDescent="0.3">
      <c r="A186" s="14">
        <v>1185</v>
      </c>
      <c r="B186" s="3" t="s">
        <v>80</v>
      </c>
      <c r="C186" s="3" t="s">
        <v>17</v>
      </c>
      <c r="D186" s="3">
        <v>53</v>
      </c>
      <c r="E186" s="3" t="s">
        <v>18</v>
      </c>
      <c r="F186" s="3" t="s">
        <v>19</v>
      </c>
      <c r="G186" s="3" t="s">
        <v>62</v>
      </c>
      <c r="H186" s="3" t="s">
        <v>30</v>
      </c>
      <c r="I186" s="15">
        <v>43746</v>
      </c>
      <c r="J186" s="3" t="s">
        <v>22</v>
      </c>
      <c r="K186" s="15"/>
      <c r="L186" s="16">
        <v>56200</v>
      </c>
      <c r="M186" s="3">
        <v>4</v>
      </c>
      <c r="N186" s="3">
        <v>2</v>
      </c>
      <c r="O186" s="3" t="s">
        <v>23</v>
      </c>
      <c r="P186" s="17" t="s">
        <v>42</v>
      </c>
    </row>
    <row r="187" spans="1:16" x14ac:dyDescent="0.3">
      <c r="A187" s="14">
        <v>1186</v>
      </c>
      <c r="B187" s="3" t="s">
        <v>252</v>
      </c>
      <c r="C187" s="3" t="s">
        <v>17</v>
      </c>
      <c r="D187" s="3">
        <v>34</v>
      </c>
      <c r="E187" s="3" t="s">
        <v>44</v>
      </c>
      <c r="F187" s="3" t="s">
        <v>70</v>
      </c>
      <c r="G187" s="3" t="s">
        <v>62</v>
      </c>
      <c r="H187" s="3" t="s">
        <v>30</v>
      </c>
      <c r="I187" s="15">
        <v>43995</v>
      </c>
      <c r="J187" s="3" t="s">
        <v>22</v>
      </c>
      <c r="K187" s="15"/>
      <c r="L187" s="16">
        <v>47800</v>
      </c>
      <c r="M187" s="3">
        <v>1</v>
      </c>
      <c r="N187" s="3">
        <v>5</v>
      </c>
      <c r="O187" s="3" t="s">
        <v>22</v>
      </c>
      <c r="P187" s="17" t="s">
        <v>42</v>
      </c>
    </row>
    <row r="188" spans="1:16" x14ac:dyDescent="0.3">
      <c r="A188" s="14">
        <v>1187</v>
      </c>
      <c r="B188" s="3" t="s">
        <v>253</v>
      </c>
      <c r="C188" s="3" t="s">
        <v>26</v>
      </c>
      <c r="D188" s="3">
        <v>22</v>
      </c>
      <c r="E188" s="3" t="s">
        <v>55</v>
      </c>
      <c r="F188" s="3" t="s">
        <v>56</v>
      </c>
      <c r="G188" s="3" t="s">
        <v>20</v>
      </c>
      <c r="H188" s="3" t="s">
        <v>30</v>
      </c>
      <c r="I188" s="15">
        <v>43823</v>
      </c>
      <c r="J188" s="3" t="s">
        <v>22</v>
      </c>
      <c r="K188" s="15"/>
      <c r="L188" s="16">
        <v>69800</v>
      </c>
      <c r="M188" s="3">
        <v>3</v>
      </c>
      <c r="N188" s="3">
        <v>4</v>
      </c>
      <c r="O188" s="3" t="s">
        <v>22</v>
      </c>
      <c r="P188" s="17" t="s">
        <v>42</v>
      </c>
    </row>
    <row r="189" spans="1:16" x14ac:dyDescent="0.3">
      <c r="A189" s="14">
        <v>1188</v>
      </c>
      <c r="B189" s="3" t="s">
        <v>254</v>
      </c>
      <c r="C189" s="3" t="s">
        <v>17</v>
      </c>
      <c r="D189" s="3">
        <v>27</v>
      </c>
      <c r="E189" s="3" t="s">
        <v>38</v>
      </c>
      <c r="F189" s="3" t="s">
        <v>39</v>
      </c>
      <c r="G189" s="3" t="s">
        <v>60</v>
      </c>
      <c r="H189" s="3" t="s">
        <v>30</v>
      </c>
      <c r="I189" s="15">
        <v>43346</v>
      </c>
      <c r="J189" s="3" t="s">
        <v>22</v>
      </c>
      <c r="K189" s="15"/>
      <c r="L189" s="16">
        <v>54700</v>
      </c>
      <c r="M189" s="3">
        <v>3</v>
      </c>
      <c r="N189" s="3">
        <v>5</v>
      </c>
      <c r="O189" s="3" t="s">
        <v>22</v>
      </c>
      <c r="P189" s="17" t="s">
        <v>24</v>
      </c>
    </row>
    <row r="190" spans="1:16" x14ac:dyDescent="0.3">
      <c r="A190" s="14">
        <v>1189</v>
      </c>
      <c r="B190" s="3" t="s">
        <v>255</v>
      </c>
      <c r="C190" s="3" t="s">
        <v>17</v>
      </c>
      <c r="D190" s="3">
        <v>50</v>
      </c>
      <c r="E190" s="3" t="s">
        <v>75</v>
      </c>
      <c r="F190" s="3" t="s">
        <v>89</v>
      </c>
      <c r="G190" s="3" t="s">
        <v>68</v>
      </c>
      <c r="H190" s="3" t="s">
        <v>46</v>
      </c>
      <c r="I190" s="15">
        <v>43450</v>
      </c>
      <c r="J190" s="3" t="s">
        <v>22</v>
      </c>
      <c r="K190" s="15"/>
      <c r="L190" s="16">
        <v>34500</v>
      </c>
      <c r="M190" s="3">
        <v>4</v>
      </c>
      <c r="N190" s="3">
        <v>4</v>
      </c>
      <c r="O190" s="3" t="s">
        <v>22</v>
      </c>
      <c r="P190" s="17" t="s">
        <v>42</v>
      </c>
    </row>
    <row r="191" spans="1:16" x14ac:dyDescent="0.3">
      <c r="A191" s="14">
        <v>1190</v>
      </c>
      <c r="B191" s="3" t="s">
        <v>256</v>
      </c>
      <c r="C191" s="3" t="s">
        <v>17</v>
      </c>
      <c r="D191" s="3">
        <v>34</v>
      </c>
      <c r="E191" s="3" t="s">
        <v>52</v>
      </c>
      <c r="F191" s="3" t="s">
        <v>184</v>
      </c>
      <c r="G191" s="3" t="s">
        <v>68</v>
      </c>
      <c r="H191" s="3" t="s">
        <v>46</v>
      </c>
      <c r="I191" s="15">
        <v>45346</v>
      </c>
      <c r="J191" s="3" t="s">
        <v>22</v>
      </c>
      <c r="K191" s="15"/>
      <c r="L191" s="16">
        <v>57500</v>
      </c>
      <c r="M191" s="3">
        <v>3</v>
      </c>
      <c r="N191" s="3">
        <v>1</v>
      </c>
      <c r="O191" s="3" t="s">
        <v>23</v>
      </c>
      <c r="P191" s="17" t="s">
        <v>24</v>
      </c>
    </row>
    <row r="192" spans="1:16" x14ac:dyDescent="0.3">
      <c r="A192" s="14">
        <v>1191</v>
      </c>
      <c r="B192" s="3" t="s">
        <v>257</v>
      </c>
      <c r="C192" s="3" t="s">
        <v>26</v>
      </c>
      <c r="D192" s="3">
        <v>48</v>
      </c>
      <c r="E192" s="3" t="s">
        <v>38</v>
      </c>
      <c r="F192" s="3" t="s">
        <v>82</v>
      </c>
      <c r="G192" s="3" t="s">
        <v>20</v>
      </c>
      <c r="H192" s="3" t="s">
        <v>33</v>
      </c>
      <c r="I192" s="15">
        <v>43401</v>
      </c>
      <c r="J192" s="3" t="s">
        <v>22</v>
      </c>
      <c r="K192" s="15"/>
      <c r="L192" s="16">
        <v>56200</v>
      </c>
      <c r="M192" s="3">
        <v>2</v>
      </c>
      <c r="N192" s="3">
        <v>5</v>
      </c>
      <c r="O192" s="3" t="s">
        <v>23</v>
      </c>
      <c r="P192" s="17" t="s">
        <v>42</v>
      </c>
    </row>
    <row r="193" spans="1:16" x14ac:dyDescent="0.3">
      <c r="A193" s="14">
        <v>1192</v>
      </c>
      <c r="B193" s="3" t="s">
        <v>47</v>
      </c>
      <c r="C193" s="3" t="s">
        <v>26</v>
      </c>
      <c r="D193" s="3">
        <v>30</v>
      </c>
      <c r="E193" s="3" t="s">
        <v>27</v>
      </c>
      <c r="F193" s="3" t="s">
        <v>28</v>
      </c>
      <c r="G193" s="3" t="s">
        <v>62</v>
      </c>
      <c r="H193" s="3" t="s">
        <v>33</v>
      </c>
      <c r="I193" s="15">
        <v>44630</v>
      </c>
      <c r="J193" s="3" t="s">
        <v>22</v>
      </c>
      <c r="K193" s="15"/>
      <c r="L193" s="16">
        <v>46400</v>
      </c>
      <c r="M193" s="3">
        <v>2</v>
      </c>
      <c r="N193" s="3">
        <v>3</v>
      </c>
      <c r="O193" s="3" t="s">
        <v>23</v>
      </c>
      <c r="P193" s="17" t="s">
        <v>42</v>
      </c>
    </row>
    <row r="194" spans="1:16" x14ac:dyDescent="0.3">
      <c r="A194" s="14">
        <v>1193</v>
      </c>
      <c r="B194" s="3" t="s">
        <v>258</v>
      </c>
      <c r="C194" s="3" t="s">
        <v>26</v>
      </c>
      <c r="D194" s="3">
        <v>49</v>
      </c>
      <c r="E194" s="3" t="s">
        <v>38</v>
      </c>
      <c r="F194" s="3" t="s">
        <v>39</v>
      </c>
      <c r="G194" s="3" t="s">
        <v>20</v>
      </c>
      <c r="H194" s="3" t="s">
        <v>46</v>
      </c>
      <c r="I194" s="15">
        <v>43460</v>
      </c>
      <c r="J194" s="3" t="s">
        <v>22</v>
      </c>
      <c r="K194" s="15"/>
      <c r="L194" s="16">
        <v>52700</v>
      </c>
      <c r="M194" s="3">
        <v>5</v>
      </c>
      <c r="N194" s="3">
        <v>3</v>
      </c>
      <c r="O194" s="3" t="s">
        <v>23</v>
      </c>
      <c r="P194" s="17" t="s">
        <v>24</v>
      </c>
    </row>
    <row r="195" spans="1:16" x14ac:dyDescent="0.3">
      <c r="A195" s="14">
        <v>1194</v>
      </c>
      <c r="B195" s="3" t="s">
        <v>259</v>
      </c>
      <c r="C195" s="3" t="s">
        <v>26</v>
      </c>
      <c r="D195" s="3">
        <v>54</v>
      </c>
      <c r="E195" s="3" t="s">
        <v>52</v>
      </c>
      <c r="F195" s="3" t="s">
        <v>184</v>
      </c>
      <c r="G195" s="3" t="s">
        <v>68</v>
      </c>
      <c r="H195" s="3" t="s">
        <v>21</v>
      </c>
      <c r="I195" s="15">
        <v>45250</v>
      </c>
      <c r="J195" s="3" t="s">
        <v>23</v>
      </c>
      <c r="K195" s="15" t="s">
        <v>260</v>
      </c>
      <c r="L195" s="16">
        <v>61500</v>
      </c>
      <c r="M195" s="3">
        <v>4</v>
      </c>
      <c r="N195" s="3">
        <v>1</v>
      </c>
      <c r="O195" s="3" t="s">
        <v>22</v>
      </c>
      <c r="P195" s="17" t="s">
        <v>24</v>
      </c>
    </row>
    <row r="196" spans="1:16" x14ac:dyDescent="0.3">
      <c r="A196" s="14">
        <v>1195</v>
      </c>
      <c r="B196" s="3" t="s">
        <v>261</v>
      </c>
      <c r="C196" s="3" t="s">
        <v>26</v>
      </c>
      <c r="D196" s="3">
        <v>44</v>
      </c>
      <c r="E196" s="3" t="s">
        <v>18</v>
      </c>
      <c r="F196" s="3" t="s">
        <v>59</v>
      </c>
      <c r="G196" s="3" t="s">
        <v>68</v>
      </c>
      <c r="H196" s="3" t="s">
        <v>21</v>
      </c>
      <c r="I196" s="15">
        <v>43892</v>
      </c>
      <c r="J196" s="3" t="s">
        <v>22</v>
      </c>
      <c r="K196" s="15"/>
      <c r="L196" s="16">
        <v>91300</v>
      </c>
      <c r="M196" s="3">
        <v>1</v>
      </c>
      <c r="N196" s="3">
        <v>4</v>
      </c>
      <c r="O196" s="3" t="s">
        <v>23</v>
      </c>
      <c r="P196" s="17" t="s">
        <v>42</v>
      </c>
    </row>
    <row r="197" spans="1:16" x14ac:dyDescent="0.3">
      <c r="A197" s="14">
        <v>1196</v>
      </c>
      <c r="B197" s="3" t="s">
        <v>61</v>
      </c>
      <c r="C197" s="3" t="s">
        <v>26</v>
      </c>
      <c r="D197" s="3">
        <v>46</v>
      </c>
      <c r="E197" s="3" t="s">
        <v>52</v>
      </c>
      <c r="F197" s="3" t="s">
        <v>184</v>
      </c>
      <c r="G197" s="3" t="s">
        <v>60</v>
      </c>
      <c r="H197" s="3" t="s">
        <v>21</v>
      </c>
      <c r="I197" s="15">
        <v>43691</v>
      </c>
      <c r="J197" s="3" t="s">
        <v>22</v>
      </c>
      <c r="K197" s="15"/>
      <c r="L197" s="16">
        <v>54300</v>
      </c>
      <c r="M197" s="3">
        <v>3</v>
      </c>
      <c r="N197" s="3">
        <v>3</v>
      </c>
      <c r="O197" s="3" t="s">
        <v>22</v>
      </c>
      <c r="P197" s="17" t="s">
        <v>42</v>
      </c>
    </row>
    <row r="198" spans="1:16" x14ac:dyDescent="0.3">
      <c r="A198" s="14">
        <v>1197</v>
      </c>
      <c r="B198" s="3" t="s">
        <v>262</v>
      </c>
      <c r="C198" s="3" t="s">
        <v>26</v>
      </c>
      <c r="D198" s="3">
        <v>24</v>
      </c>
      <c r="E198" s="3" t="s">
        <v>38</v>
      </c>
      <c r="F198" s="3" t="s">
        <v>41</v>
      </c>
      <c r="G198" s="3" t="s">
        <v>62</v>
      </c>
      <c r="H198" s="3" t="s">
        <v>33</v>
      </c>
      <c r="I198" s="15">
        <v>43406</v>
      </c>
      <c r="J198" s="3" t="s">
        <v>22</v>
      </c>
      <c r="K198" s="15"/>
      <c r="L198" s="16">
        <v>79700</v>
      </c>
      <c r="M198" s="3">
        <v>4</v>
      </c>
      <c r="N198" s="3">
        <v>4</v>
      </c>
      <c r="O198" s="3" t="s">
        <v>22</v>
      </c>
      <c r="P198" s="17" t="s">
        <v>42</v>
      </c>
    </row>
    <row r="199" spans="1:16" x14ac:dyDescent="0.3">
      <c r="A199" s="14">
        <v>1198</v>
      </c>
      <c r="B199" s="3" t="s">
        <v>263</v>
      </c>
      <c r="C199" s="3" t="s">
        <v>17</v>
      </c>
      <c r="D199" s="3">
        <v>43</v>
      </c>
      <c r="E199" s="3" t="s">
        <v>27</v>
      </c>
      <c r="F199" s="3" t="s">
        <v>28</v>
      </c>
      <c r="G199" s="3" t="s">
        <v>20</v>
      </c>
      <c r="H199" s="3" t="s">
        <v>21</v>
      </c>
      <c r="I199" s="15">
        <v>45264</v>
      </c>
      <c r="J199" s="3" t="s">
        <v>22</v>
      </c>
      <c r="K199" s="15"/>
      <c r="L199" s="16">
        <v>37500</v>
      </c>
      <c r="M199" s="3">
        <v>5</v>
      </c>
      <c r="N199" s="3">
        <v>1</v>
      </c>
      <c r="O199" s="3" t="s">
        <v>23</v>
      </c>
      <c r="P199" s="17" t="s">
        <v>42</v>
      </c>
    </row>
    <row r="200" spans="1:16" x14ac:dyDescent="0.3">
      <c r="A200" s="14">
        <v>1199</v>
      </c>
      <c r="B200" s="3" t="s">
        <v>264</v>
      </c>
      <c r="C200" s="3" t="s">
        <v>17</v>
      </c>
      <c r="D200" s="3">
        <v>42</v>
      </c>
      <c r="E200" s="3" t="s">
        <v>75</v>
      </c>
      <c r="F200" s="3" t="s">
        <v>76</v>
      </c>
      <c r="G200" s="3" t="s">
        <v>57</v>
      </c>
      <c r="H200" s="3" t="s">
        <v>21</v>
      </c>
      <c r="I200" s="15">
        <v>43125</v>
      </c>
      <c r="J200" s="3" t="s">
        <v>22</v>
      </c>
      <c r="K200" s="15"/>
      <c r="L200" s="16">
        <v>67300</v>
      </c>
      <c r="M200" s="3">
        <v>3</v>
      </c>
      <c r="N200" s="3">
        <v>2</v>
      </c>
      <c r="O200" s="3" t="s">
        <v>22</v>
      </c>
      <c r="P200" s="17" t="s">
        <v>42</v>
      </c>
    </row>
    <row r="201" spans="1:16" x14ac:dyDescent="0.3">
      <c r="A201" s="14">
        <v>1200</v>
      </c>
      <c r="B201" s="3" t="s">
        <v>182</v>
      </c>
      <c r="C201" s="3" t="s">
        <v>26</v>
      </c>
      <c r="D201" s="3">
        <v>54</v>
      </c>
      <c r="E201" s="3" t="s">
        <v>52</v>
      </c>
      <c r="F201" s="3" t="s">
        <v>53</v>
      </c>
      <c r="G201" s="3" t="s">
        <v>49</v>
      </c>
      <c r="H201" s="3" t="s">
        <v>33</v>
      </c>
      <c r="I201" s="15">
        <v>44174</v>
      </c>
      <c r="J201" s="3" t="s">
        <v>22</v>
      </c>
      <c r="K201" s="15"/>
      <c r="L201" s="16">
        <v>49600</v>
      </c>
      <c r="M201" s="3">
        <v>4</v>
      </c>
      <c r="N201" s="3">
        <v>2</v>
      </c>
      <c r="O201" s="3" t="s">
        <v>23</v>
      </c>
      <c r="P201" s="17" t="s">
        <v>42</v>
      </c>
    </row>
    <row r="202" spans="1:16" x14ac:dyDescent="0.3">
      <c r="A202" s="14">
        <v>1201</v>
      </c>
      <c r="B202" s="3" t="s">
        <v>265</v>
      </c>
      <c r="C202" s="3" t="s">
        <v>17</v>
      </c>
      <c r="D202" s="3">
        <v>31</v>
      </c>
      <c r="E202" s="3" t="s">
        <v>44</v>
      </c>
      <c r="F202" s="3" t="s">
        <v>45</v>
      </c>
      <c r="G202" s="3" t="s">
        <v>49</v>
      </c>
      <c r="H202" s="3" t="s">
        <v>46</v>
      </c>
      <c r="I202" s="15">
        <v>43396</v>
      </c>
      <c r="J202" s="3" t="s">
        <v>22</v>
      </c>
      <c r="K202" s="15"/>
      <c r="L202" s="16">
        <v>73500</v>
      </c>
      <c r="M202" s="3">
        <v>4</v>
      </c>
      <c r="N202" s="3">
        <v>5</v>
      </c>
      <c r="O202" s="3" t="s">
        <v>23</v>
      </c>
      <c r="P202" s="17" t="s">
        <v>24</v>
      </c>
    </row>
    <row r="203" spans="1:16" x14ac:dyDescent="0.3">
      <c r="A203" s="14">
        <v>1202</v>
      </c>
      <c r="B203" s="3" t="s">
        <v>266</v>
      </c>
      <c r="C203" s="3" t="s">
        <v>17</v>
      </c>
      <c r="D203" s="3">
        <v>52</v>
      </c>
      <c r="E203" s="3" t="s">
        <v>75</v>
      </c>
      <c r="F203" s="3" t="s">
        <v>89</v>
      </c>
      <c r="G203" s="3" t="s">
        <v>86</v>
      </c>
      <c r="H203" s="3" t="s">
        <v>21</v>
      </c>
      <c r="I203" s="15">
        <v>45164</v>
      </c>
      <c r="J203" s="3" t="s">
        <v>22</v>
      </c>
      <c r="K203" s="15"/>
      <c r="L203" s="16">
        <v>37900</v>
      </c>
      <c r="M203" s="3">
        <v>3</v>
      </c>
      <c r="N203" s="3">
        <v>3</v>
      </c>
      <c r="O203" s="3" t="s">
        <v>23</v>
      </c>
      <c r="P203" s="17" t="s">
        <v>42</v>
      </c>
    </row>
    <row r="204" spans="1:16" x14ac:dyDescent="0.3">
      <c r="A204" s="14">
        <v>1203</v>
      </c>
      <c r="B204" s="3" t="s">
        <v>122</v>
      </c>
      <c r="C204" s="3" t="s">
        <v>17</v>
      </c>
      <c r="D204" s="3">
        <v>32</v>
      </c>
      <c r="E204" s="3" t="s">
        <v>55</v>
      </c>
      <c r="F204" s="3" t="s">
        <v>56</v>
      </c>
      <c r="G204" s="3" t="s">
        <v>57</v>
      </c>
      <c r="H204" s="3" t="s">
        <v>21</v>
      </c>
      <c r="I204" s="15">
        <v>43372</v>
      </c>
      <c r="J204" s="3" t="s">
        <v>22</v>
      </c>
      <c r="K204" s="15"/>
      <c r="L204" s="16">
        <v>52300</v>
      </c>
      <c r="M204" s="3">
        <v>4</v>
      </c>
      <c r="N204" s="3">
        <v>5</v>
      </c>
      <c r="O204" s="3" t="s">
        <v>22</v>
      </c>
      <c r="P204" s="17" t="s">
        <v>42</v>
      </c>
    </row>
    <row r="205" spans="1:16" x14ac:dyDescent="0.3">
      <c r="A205" s="14">
        <v>1204</v>
      </c>
      <c r="B205" s="3" t="s">
        <v>267</v>
      </c>
      <c r="C205" s="3" t="s">
        <v>26</v>
      </c>
      <c r="D205" s="3">
        <v>44</v>
      </c>
      <c r="E205" s="3" t="s">
        <v>35</v>
      </c>
      <c r="F205" s="3" t="s">
        <v>84</v>
      </c>
      <c r="G205" s="3" t="s">
        <v>86</v>
      </c>
      <c r="H205" s="3" t="s">
        <v>30</v>
      </c>
      <c r="I205" s="15">
        <v>44855</v>
      </c>
      <c r="J205" s="3" t="s">
        <v>22</v>
      </c>
      <c r="K205" s="15"/>
      <c r="L205" s="16">
        <v>74000</v>
      </c>
      <c r="M205" s="3">
        <v>5</v>
      </c>
      <c r="N205" s="3">
        <v>3</v>
      </c>
      <c r="O205" s="3" t="s">
        <v>23</v>
      </c>
      <c r="P205" s="17" t="s">
        <v>24</v>
      </c>
    </row>
    <row r="206" spans="1:16" x14ac:dyDescent="0.3">
      <c r="A206" s="14">
        <v>1205</v>
      </c>
      <c r="B206" s="3" t="s">
        <v>157</v>
      </c>
      <c r="C206" s="3" t="s">
        <v>26</v>
      </c>
      <c r="D206" s="3">
        <v>35</v>
      </c>
      <c r="E206" s="3" t="s">
        <v>35</v>
      </c>
      <c r="F206" s="3" t="s">
        <v>84</v>
      </c>
      <c r="G206" s="3" t="s">
        <v>68</v>
      </c>
      <c r="H206" s="3" t="s">
        <v>33</v>
      </c>
      <c r="I206" s="15">
        <v>43296</v>
      </c>
      <c r="J206" s="3" t="s">
        <v>22</v>
      </c>
      <c r="K206" s="15"/>
      <c r="L206" s="16">
        <v>65600</v>
      </c>
      <c r="M206" s="3">
        <v>3</v>
      </c>
      <c r="N206" s="3">
        <v>5</v>
      </c>
      <c r="O206" s="3" t="s">
        <v>23</v>
      </c>
      <c r="P206" s="17" t="s">
        <v>42</v>
      </c>
    </row>
    <row r="207" spans="1:16" x14ac:dyDescent="0.3">
      <c r="A207" s="14">
        <v>1206</v>
      </c>
      <c r="B207" s="3" t="s">
        <v>268</v>
      </c>
      <c r="C207" s="3" t="s">
        <v>26</v>
      </c>
      <c r="D207" s="3">
        <v>30</v>
      </c>
      <c r="E207" s="3" t="s">
        <v>18</v>
      </c>
      <c r="F207" s="3" t="s">
        <v>19</v>
      </c>
      <c r="G207" s="3" t="s">
        <v>20</v>
      </c>
      <c r="H207" s="3" t="s">
        <v>21</v>
      </c>
      <c r="I207" s="15">
        <v>43121</v>
      </c>
      <c r="J207" s="3" t="s">
        <v>22</v>
      </c>
      <c r="K207" s="15"/>
      <c r="L207" s="16">
        <v>41600</v>
      </c>
      <c r="M207" s="3">
        <v>4</v>
      </c>
      <c r="N207" s="3">
        <v>3</v>
      </c>
      <c r="O207" s="3" t="s">
        <v>23</v>
      </c>
      <c r="P207" s="17" t="s">
        <v>42</v>
      </c>
    </row>
    <row r="208" spans="1:16" x14ac:dyDescent="0.3">
      <c r="A208" s="14">
        <v>1207</v>
      </c>
      <c r="B208" s="3" t="s">
        <v>269</v>
      </c>
      <c r="C208" s="3" t="s">
        <v>26</v>
      </c>
      <c r="D208" s="3">
        <v>25</v>
      </c>
      <c r="E208" s="3" t="s">
        <v>38</v>
      </c>
      <c r="F208" s="3" t="s">
        <v>39</v>
      </c>
      <c r="G208" s="3" t="s">
        <v>86</v>
      </c>
      <c r="H208" s="3" t="s">
        <v>46</v>
      </c>
      <c r="I208" s="15">
        <v>44797</v>
      </c>
      <c r="J208" s="3" t="s">
        <v>22</v>
      </c>
      <c r="K208" s="15"/>
      <c r="L208" s="16">
        <v>56100</v>
      </c>
      <c r="M208" s="3">
        <v>2</v>
      </c>
      <c r="N208" s="3">
        <v>4</v>
      </c>
      <c r="O208" s="3" t="s">
        <v>22</v>
      </c>
      <c r="P208" s="17" t="s">
        <v>24</v>
      </c>
    </row>
    <row r="209" spans="1:16" x14ac:dyDescent="0.3">
      <c r="A209" s="14">
        <v>1208</v>
      </c>
      <c r="B209" s="3" t="s">
        <v>206</v>
      </c>
      <c r="C209" s="3" t="s">
        <v>26</v>
      </c>
      <c r="D209" s="3">
        <v>43</v>
      </c>
      <c r="E209" s="3" t="s">
        <v>75</v>
      </c>
      <c r="F209" s="3" t="s">
        <v>76</v>
      </c>
      <c r="G209" s="3" t="s">
        <v>29</v>
      </c>
      <c r="H209" s="3" t="s">
        <v>30</v>
      </c>
      <c r="I209" s="15">
        <v>43742</v>
      </c>
      <c r="J209" s="3" t="s">
        <v>23</v>
      </c>
      <c r="K209" s="15" t="s">
        <v>270</v>
      </c>
      <c r="L209" s="16">
        <v>60700</v>
      </c>
      <c r="M209" s="3">
        <v>3</v>
      </c>
      <c r="N209" s="3">
        <v>3</v>
      </c>
      <c r="O209" s="3" t="s">
        <v>22</v>
      </c>
      <c r="P209" s="17" t="s">
        <v>24</v>
      </c>
    </row>
    <row r="210" spans="1:16" x14ac:dyDescent="0.3">
      <c r="A210" s="14">
        <v>1209</v>
      </c>
      <c r="B210" s="3" t="s">
        <v>271</v>
      </c>
      <c r="C210" s="3" t="s">
        <v>26</v>
      </c>
      <c r="D210" s="3">
        <v>24</v>
      </c>
      <c r="E210" s="3" t="s">
        <v>75</v>
      </c>
      <c r="F210" s="3" t="s">
        <v>89</v>
      </c>
      <c r="G210" s="3" t="s">
        <v>49</v>
      </c>
      <c r="H210" s="3" t="s">
        <v>30</v>
      </c>
      <c r="I210" s="15">
        <v>44367</v>
      </c>
      <c r="J210" s="3" t="s">
        <v>22</v>
      </c>
      <c r="K210" s="15"/>
      <c r="L210" s="16">
        <v>42200</v>
      </c>
      <c r="M210" s="3">
        <v>4</v>
      </c>
      <c r="N210" s="3">
        <v>5</v>
      </c>
      <c r="O210" s="3" t="s">
        <v>22</v>
      </c>
      <c r="P210" s="17" t="s">
        <v>24</v>
      </c>
    </row>
    <row r="211" spans="1:16" x14ac:dyDescent="0.3">
      <c r="A211" s="14">
        <v>1210</v>
      </c>
      <c r="B211" s="3" t="s">
        <v>144</v>
      </c>
      <c r="C211" s="3" t="s">
        <v>17</v>
      </c>
      <c r="D211" s="3">
        <v>28</v>
      </c>
      <c r="E211" s="3" t="s">
        <v>35</v>
      </c>
      <c r="F211" s="3" t="s">
        <v>84</v>
      </c>
      <c r="G211" s="3" t="s">
        <v>29</v>
      </c>
      <c r="H211" s="3" t="s">
        <v>30</v>
      </c>
      <c r="I211" s="15">
        <v>44585</v>
      </c>
      <c r="J211" s="3" t="s">
        <v>22</v>
      </c>
      <c r="K211" s="15"/>
      <c r="L211" s="16">
        <v>59200</v>
      </c>
      <c r="M211" s="3">
        <v>4</v>
      </c>
      <c r="N211" s="3">
        <v>1</v>
      </c>
      <c r="O211" s="3" t="s">
        <v>23</v>
      </c>
      <c r="P211" s="17" t="s">
        <v>42</v>
      </c>
    </row>
    <row r="212" spans="1:16" x14ac:dyDescent="0.3">
      <c r="A212" s="14">
        <v>1211</v>
      </c>
      <c r="B212" s="3" t="s">
        <v>198</v>
      </c>
      <c r="C212" s="3" t="s">
        <v>26</v>
      </c>
      <c r="D212" s="3">
        <v>33</v>
      </c>
      <c r="E212" s="3" t="s">
        <v>35</v>
      </c>
      <c r="F212" s="3" t="s">
        <v>84</v>
      </c>
      <c r="G212" s="3" t="s">
        <v>86</v>
      </c>
      <c r="H212" s="3" t="s">
        <v>46</v>
      </c>
      <c r="I212" s="15">
        <v>43764</v>
      </c>
      <c r="J212" s="3" t="s">
        <v>22</v>
      </c>
      <c r="K212" s="15"/>
      <c r="L212" s="16">
        <v>69000</v>
      </c>
      <c r="M212" s="3">
        <v>3</v>
      </c>
      <c r="N212" s="3">
        <v>4</v>
      </c>
      <c r="O212" s="3" t="s">
        <v>22</v>
      </c>
      <c r="P212" s="17" t="s">
        <v>42</v>
      </c>
    </row>
    <row r="213" spans="1:16" x14ac:dyDescent="0.3">
      <c r="A213" s="14">
        <v>1212</v>
      </c>
      <c r="B213" s="3" t="s">
        <v>272</v>
      </c>
      <c r="C213" s="3" t="s">
        <v>17</v>
      </c>
      <c r="D213" s="3">
        <v>28</v>
      </c>
      <c r="E213" s="3" t="s">
        <v>38</v>
      </c>
      <c r="F213" s="3" t="s">
        <v>82</v>
      </c>
      <c r="G213" s="3" t="s">
        <v>86</v>
      </c>
      <c r="H213" s="3" t="s">
        <v>33</v>
      </c>
      <c r="I213" s="15">
        <v>43164</v>
      </c>
      <c r="J213" s="3" t="s">
        <v>22</v>
      </c>
      <c r="K213" s="15"/>
      <c r="L213" s="16">
        <v>42100</v>
      </c>
      <c r="M213" s="3">
        <v>4</v>
      </c>
      <c r="N213" s="3">
        <v>3</v>
      </c>
      <c r="O213" s="3" t="s">
        <v>23</v>
      </c>
      <c r="P213" s="17" t="s">
        <v>42</v>
      </c>
    </row>
    <row r="214" spans="1:16" x14ac:dyDescent="0.3">
      <c r="A214" s="14">
        <v>1213</v>
      </c>
      <c r="B214" s="3" t="s">
        <v>273</v>
      </c>
      <c r="C214" s="3" t="s">
        <v>17</v>
      </c>
      <c r="D214" s="3">
        <v>23</v>
      </c>
      <c r="E214" s="3" t="s">
        <v>55</v>
      </c>
      <c r="F214" s="3" t="s">
        <v>67</v>
      </c>
      <c r="G214" s="3" t="s">
        <v>29</v>
      </c>
      <c r="H214" s="3" t="s">
        <v>21</v>
      </c>
      <c r="I214" s="15">
        <v>44175</v>
      </c>
      <c r="J214" s="3" t="s">
        <v>22</v>
      </c>
      <c r="K214" s="15"/>
      <c r="L214" s="16">
        <v>36300</v>
      </c>
      <c r="M214" s="3">
        <v>3</v>
      </c>
      <c r="N214" s="3">
        <v>3</v>
      </c>
      <c r="O214" s="3" t="s">
        <v>22</v>
      </c>
      <c r="P214" s="17" t="s">
        <v>24</v>
      </c>
    </row>
    <row r="215" spans="1:16" x14ac:dyDescent="0.3">
      <c r="A215" s="14">
        <v>1214</v>
      </c>
      <c r="B215" s="3" t="s">
        <v>274</v>
      </c>
      <c r="C215" s="3" t="s">
        <v>26</v>
      </c>
      <c r="D215" s="3">
        <v>41</v>
      </c>
      <c r="E215" s="3" t="s">
        <v>35</v>
      </c>
      <c r="F215" s="3" t="s">
        <v>48</v>
      </c>
      <c r="G215" s="3" t="s">
        <v>49</v>
      </c>
      <c r="H215" s="3" t="s">
        <v>46</v>
      </c>
      <c r="I215" s="15">
        <v>44258</v>
      </c>
      <c r="J215" s="3" t="s">
        <v>22</v>
      </c>
      <c r="K215" s="15"/>
      <c r="L215" s="16">
        <v>103600</v>
      </c>
      <c r="M215" s="3">
        <v>1</v>
      </c>
      <c r="N215" s="3">
        <v>2</v>
      </c>
      <c r="O215" s="3" t="s">
        <v>23</v>
      </c>
      <c r="P215" s="17" t="s">
        <v>24</v>
      </c>
    </row>
    <row r="216" spans="1:16" x14ac:dyDescent="0.3">
      <c r="A216" s="14">
        <v>1215</v>
      </c>
      <c r="B216" s="3" t="s">
        <v>275</v>
      </c>
      <c r="C216" s="3" t="s">
        <v>17</v>
      </c>
      <c r="D216" s="3">
        <v>45</v>
      </c>
      <c r="E216" s="3" t="s">
        <v>27</v>
      </c>
      <c r="F216" s="3" t="s">
        <v>28</v>
      </c>
      <c r="G216" s="3" t="s">
        <v>29</v>
      </c>
      <c r="H216" s="3" t="s">
        <v>46</v>
      </c>
      <c r="I216" s="15">
        <v>43290</v>
      </c>
      <c r="J216" s="3" t="s">
        <v>22</v>
      </c>
      <c r="K216" s="15"/>
      <c r="L216" s="16">
        <v>46500</v>
      </c>
      <c r="M216" s="3">
        <v>5</v>
      </c>
      <c r="N216" s="3">
        <v>2</v>
      </c>
      <c r="O216" s="3" t="s">
        <v>22</v>
      </c>
      <c r="P216" s="17" t="s">
        <v>42</v>
      </c>
    </row>
    <row r="217" spans="1:16" x14ac:dyDescent="0.3">
      <c r="A217" s="14">
        <v>1216</v>
      </c>
      <c r="B217" s="3" t="s">
        <v>276</v>
      </c>
      <c r="C217" s="3" t="s">
        <v>26</v>
      </c>
      <c r="D217" s="3">
        <v>54</v>
      </c>
      <c r="E217" s="3" t="s">
        <v>18</v>
      </c>
      <c r="F217" s="3" t="s">
        <v>19</v>
      </c>
      <c r="G217" s="3" t="s">
        <v>49</v>
      </c>
      <c r="H217" s="3" t="s">
        <v>46</v>
      </c>
      <c r="I217" s="15">
        <v>44541</v>
      </c>
      <c r="J217" s="3" t="s">
        <v>22</v>
      </c>
      <c r="K217" s="15"/>
      <c r="L217" s="16">
        <v>40000</v>
      </c>
      <c r="M217" s="3">
        <v>3</v>
      </c>
      <c r="N217" s="3">
        <v>1</v>
      </c>
      <c r="O217" s="3" t="s">
        <v>22</v>
      </c>
      <c r="P217" s="17" t="s">
        <v>24</v>
      </c>
    </row>
    <row r="218" spans="1:16" x14ac:dyDescent="0.3">
      <c r="A218" s="14">
        <v>1217</v>
      </c>
      <c r="B218" s="3" t="s">
        <v>277</v>
      </c>
      <c r="C218" s="3" t="s">
        <v>17</v>
      </c>
      <c r="D218" s="3">
        <v>22</v>
      </c>
      <c r="E218" s="3" t="s">
        <v>18</v>
      </c>
      <c r="F218" s="3" t="s">
        <v>59</v>
      </c>
      <c r="G218" s="3" t="s">
        <v>68</v>
      </c>
      <c r="H218" s="3" t="s">
        <v>46</v>
      </c>
      <c r="I218" s="15">
        <v>43256</v>
      </c>
      <c r="J218" s="3" t="s">
        <v>22</v>
      </c>
      <c r="K218" s="15"/>
      <c r="L218" s="16">
        <v>73200</v>
      </c>
      <c r="M218" s="3">
        <v>4</v>
      </c>
      <c r="N218" s="3">
        <v>1</v>
      </c>
      <c r="O218" s="3" t="s">
        <v>23</v>
      </c>
      <c r="P218" s="17" t="s">
        <v>42</v>
      </c>
    </row>
    <row r="219" spans="1:16" x14ac:dyDescent="0.3">
      <c r="A219" s="14">
        <v>1218</v>
      </c>
      <c r="B219" s="3" t="s">
        <v>278</v>
      </c>
      <c r="C219" s="3" t="s">
        <v>26</v>
      </c>
      <c r="D219" s="3">
        <v>55</v>
      </c>
      <c r="E219" s="3" t="s">
        <v>44</v>
      </c>
      <c r="F219" s="3" t="s">
        <v>70</v>
      </c>
      <c r="G219" s="3" t="s">
        <v>62</v>
      </c>
      <c r="H219" s="3" t="s">
        <v>46</v>
      </c>
      <c r="I219" s="15">
        <v>44856</v>
      </c>
      <c r="J219" s="3" t="s">
        <v>22</v>
      </c>
      <c r="K219" s="15"/>
      <c r="L219" s="16">
        <v>35700</v>
      </c>
      <c r="M219" s="3">
        <v>3</v>
      </c>
      <c r="N219" s="3">
        <v>5</v>
      </c>
      <c r="O219" s="3" t="s">
        <v>23</v>
      </c>
      <c r="P219" s="17" t="s">
        <v>24</v>
      </c>
    </row>
    <row r="220" spans="1:16" x14ac:dyDescent="0.3">
      <c r="A220" s="14">
        <v>1219</v>
      </c>
      <c r="B220" s="3" t="s">
        <v>279</v>
      </c>
      <c r="C220" s="3" t="s">
        <v>26</v>
      </c>
      <c r="D220" s="3">
        <v>39</v>
      </c>
      <c r="E220" s="3" t="s">
        <v>75</v>
      </c>
      <c r="F220" s="3" t="s">
        <v>89</v>
      </c>
      <c r="G220" s="3" t="s">
        <v>68</v>
      </c>
      <c r="H220" s="3" t="s">
        <v>33</v>
      </c>
      <c r="I220" s="15">
        <v>43826</v>
      </c>
      <c r="J220" s="3" t="s">
        <v>22</v>
      </c>
      <c r="K220" s="15"/>
      <c r="L220" s="16">
        <v>32500</v>
      </c>
      <c r="M220" s="3">
        <v>3</v>
      </c>
      <c r="N220" s="3">
        <v>2</v>
      </c>
      <c r="O220" s="3" t="s">
        <v>23</v>
      </c>
      <c r="P220" s="17" t="s">
        <v>24</v>
      </c>
    </row>
    <row r="221" spans="1:16" x14ac:dyDescent="0.3">
      <c r="A221" s="14">
        <v>1220</v>
      </c>
      <c r="B221" s="3" t="s">
        <v>280</v>
      </c>
      <c r="C221" s="3" t="s">
        <v>17</v>
      </c>
      <c r="D221" s="3">
        <v>51</v>
      </c>
      <c r="E221" s="3" t="s">
        <v>52</v>
      </c>
      <c r="F221" s="3" t="s">
        <v>184</v>
      </c>
      <c r="G221" s="3" t="s">
        <v>86</v>
      </c>
      <c r="H221" s="3" t="s">
        <v>33</v>
      </c>
      <c r="I221" s="15">
        <v>45329</v>
      </c>
      <c r="J221" s="3" t="s">
        <v>22</v>
      </c>
      <c r="K221" s="15"/>
      <c r="L221" s="16">
        <v>48100</v>
      </c>
      <c r="M221" s="3">
        <v>3</v>
      </c>
      <c r="N221" s="3">
        <v>3</v>
      </c>
      <c r="O221" s="3" t="s">
        <v>22</v>
      </c>
      <c r="P221" s="17" t="s">
        <v>24</v>
      </c>
    </row>
    <row r="222" spans="1:16" x14ac:dyDescent="0.3">
      <c r="A222" s="14">
        <v>1221</v>
      </c>
      <c r="B222" s="3" t="s">
        <v>281</v>
      </c>
      <c r="C222" s="3" t="s">
        <v>17</v>
      </c>
      <c r="D222" s="3">
        <v>48</v>
      </c>
      <c r="E222" s="3" t="s">
        <v>55</v>
      </c>
      <c r="F222" s="3" t="s">
        <v>67</v>
      </c>
      <c r="G222" s="3" t="s">
        <v>57</v>
      </c>
      <c r="H222" s="3" t="s">
        <v>30</v>
      </c>
      <c r="I222" s="15">
        <v>43686</v>
      </c>
      <c r="J222" s="3" t="s">
        <v>22</v>
      </c>
      <c r="K222" s="15"/>
      <c r="L222" s="16">
        <v>38700</v>
      </c>
      <c r="M222" s="3">
        <v>4</v>
      </c>
      <c r="N222" s="3">
        <v>5</v>
      </c>
      <c r="O222" s="3" t="s">
        <v>22</v>
      </c>
      <c r="P222" s="17" t="s">
        <v>24</v>
      </c>
    </row>
    <row r="223" spans="1:16" x14ac:dyDescent="0.3">
      <c r="A223" s="14">
        <v>1222</v>
      </c>
      <c r="B223" s="3" t="s">
        <v>282</v>
      </c>
      <c r="C223" s="3" t="s">
        <v>26</v>
      </c>
      <c r="D223" s="3">
        <v>47</v>
      </c>
      <c r="E223" s="3" t="s">
        <v>44</v>
      </c>
      <c r="F223" s="3" t="s">
        <v>78</v>
      </c>
      <c r="G223" s="3" t="s">
        <v>29</v>
      </c>
      <c r="H223" s="3" t="s">
        <v>33</v>
      </c>
      <c r="I223" s="15">
        <v>45388</v>
      </c>
      <c r="J223" s="3" t="s">
        <v>22</v>
      </c>
      <c r="K223" s="15"/>
      <c r="L223" s="16">
        <v>41100</v>
      </c>
      <c r="M223" s="3">
        <v>4</v>
      </c>
      <c r="N223" s="3">
        <v>3</v>
      </c>
      <c r="O223" s="3" t="s">
        <v>22</v>
      </c>
      <c r="P223" s="17" t="s">
        <v>42</v>
      </c>
    </row>
    <row r="224" spans="1:16" x14ac:dyDescent="0.3">
      <c r="A224" s="14">
        <v>1223</v>
      </c>
      <c r="B224" s="3" t="s">
        <v>283</v>
      </c>
      <c r="C224" s="3" t="s">
        <v>17</v>
      </c>
      <c r="D224" s="3">
        <v>26</v>
      </c>
      <c r="E224" s="3" t="s">
        <v>55</v>
      </c>
      <c r="F224" s="3" t="s">
        <v>67</v>
      </c>
      <c r="G224" s="3" t="s">
        <v>57</v>
      </c>
      <c r="H224" s="3" t="s">
        <v>21</v>
      </c>
      <c r="I224" s="15">
        <v>44712</v>
      </c>
      <c r="J224" s="3" t="s">
        <v>22</v>
      </c>
      <c r="K224" s="15"/>
      <c r="L224" s="16">
        <v>39700</v>
      </c>
      <c r="M224" s="3">
        <v>3</v>
      </c>
      <c r="N224" s="3">
        <v>3</v>
      </c>
      <c r="O224" s="3" t="s">
        <v>23</v>
      </c>
      <c r="P224" s="17" t="s">
        <v>42</v>
      </c>
    </row>
    <row r="225" spans="1:16" x14ac:dyDescent="0.3">
      <c r="A225" s="14">
        <v>1224</v>
      </c>
      <c r="B225" s="3" t="s">
        <v>284</v>
      </c>
      <c r="C225" s="3" t="s">
        <v>17</v>
      </c>
      <c r="D225" s="3">
        <v>58</v>
      </c>
      <c r="E225" s="3" t="s">
        <v>52</v>
      </c>
      <c r="F225" s="3" t="s">
        <v>53</v>
      </c>
      <c r="G225" s="3" t="s">
        <v>86</v>
      </c>
      <c r="H225" s="3" t="s">
        <v>30</v>
      </c>
      <c r="I225" s="15">
        <v>44007</v>
      </c>
      <c r="J225" s="3" t="s">
        <v>22</v>
      </c>
      <c r="K225" s="15"/>
      <c r="L225" s="16">
        <v>62500</v>
      </c>
      <c r="M225" s="3">
        <v>2</v>
      </c>
      <c r="N225" s="3">
        <v>3</v>
      </c>
      <c r="O225" s="3" t="s">
        <v>23</v>
      </c>
      <c r="P225" s="17" t="s">
        <v>42</v>
      </c>
    </row>
    <row r="226" spans="1:16" x14ac:dyDescent="0.3">
      <c r="A226" s="14">
        <v>1225</v>
      </c>
      <c r="B226" s="3" t="s">
        <v>264</v>
      </c>
      <c r="C226" s="3" t="s">
        <v>26</v>
      </c>
      <c r="D226" s="3">
        <v>24</v>
      </c>
      <c r="E226" s="3" t="s">
        <v>35</v>
      </c>
      <c r="F226" s="3" t="s">
        <v>36</v>
      </c>
      <c r="G226" s="3" t="s">
        <v>62</v>
      </c>
      <c r="H226" s="3" t="s">
        <v>46</v>
      </c>
      <c r="I226" s="15">
        <v>44419</v>
      </c>
      <c r="J226" s="3" t="s">
        <v>22</v>
      </c>
      <c r="K226" s="15"/>
      <c r="L226" s="16">
        <v>91200</v>
      </c>
      <c r="M226" s="3">
        <v>4</v>
      </c>
      <c r="N226" s="3">
        <v>1</v>
      </c>
      <c r="O226" s="3" t="s">
        <v>22</v>
      </c>
      <c r="P226" s="17" t="s">
        <v>42</v>
      </c>
    </row>
    <row r="227" spans="1:16" x14ac:dyDescent="0.3">
      <c r="A227" s="14">
        <v>1226</v>
      </c>
      <c r="B227" s="3" t="s">
        <v>285</v>
      </c>
      <c r="C227" s="3" t="s">
        <v>17</v>
      </c>
      <c r="D227" s="3">
        <v>50</v>
      </c>
      <c r="E227" s="3" t="s">
        <v>44</v>
      </c>
      <c r="F227" s="3" t="s">
        <v>45</v>
      </c>
      <c r="G227" s="3" t="s">
        <v>86</v>
      </c>
      <c r="H227" s="3" t="s">
        <v>21</v>
      </c>
      <c r="I227" s="15">
        <v>43461</v>
      </c>
      <c r="J227" s="3" t="s">
        <v>22</v>
      </c>
      <c r="K227" s="15"/>
      <c r="L227" s="16">
        <v>72600</v>
      </c>
      <c r="M227" s="3">
        <v>3</v>
      </c>
      <c r="N227" s="3">
        <v>1</v>
      </c>
      <c r="O227" s="3" t="s">
        <v>22</v>
      </c>
      <c r="P227" s="17" t="s">
        <v>24</v>
      </c>
    </row>
    <row r="228" spans="1:16" x14ac:dyDescent="0.3">
      <c r="A228" s="14">
        <v>1227</v>
      </c>
      <c r="B228" s="3" t="s">
        <v>286</v>
      </c>
      <c r="C228" s="3" t="s">
        <v>26</v>
      </c>
      <c r="D228" s="3">
        <v>53</v>
      </c>
      <c r="E228" s="3" t="s">
        <v>18</v>
      </c>
      <c r="F228" s="3" t="s">
        <v>59</v>
      </c>
      <c r="G228" s="3" t="s">
        <v>60</v>
      </c>
      <c r="H228" s="3" t="s">
        <v>21</v>
      </c>
      <c r="I228" s="15">
        <v>45233</v>
      </c>
      <c r="J228" s="3" t="s">
        <v>22</v>
      </c>
      <c r="K228" s="15"/>
      <c r="L228" s="16">
        <v>90200</v>
      </c>
      <c r="M228" s="3">
        <v>4</v>
      </c>
      <c r="N228" s="3">
        <v>4</v>
      </c>
      <c r="O228" s="3" t="s">
        <v>22</v>
      </c>
      <c r="P228" s="17" t="s">
        <v>42</v>
      </c>
    </row>
    <row r="229" spans="1:16" x14ac:dyDescent="0.3">
      <c r="A229" s="14">
        <v>1228</v>
      </c>
      <c r="B229" s="3" t="s">
        <v>125</v>
      </c>
      <c r="C229" s="3" t="s">
        <v>26</v>
      </c>
      <c r="D229" s="3">
        <v>56</v>
      </c>
      <c r="E229" s="3" t="s">
        <v>52</v>
      </c>
      <c r="F229" s="3" t="s">
        <v>184</v>
      </c>
      <c r="G229" s="3" t="s">
        <v>60</v>
      </c>
      <c r="H229" s="3" t="s">
        <v>21</v>
      </c>
      <c r="I229" s="15">
        <v>44225</v>
      </c>
      <c r="J229" s="3" t="s">
        <v>22</v>
      </c>
      <c r="K229" s="15"/>
      <c r="L229" s="16">
        <v>60800</v>
      </c>
      <c r="M229" s="3">
        <v>3</v>
      </c>
      <c r="N229" s="3">
        <v>4</v>
      </c>
      <c r="O229" s="3" t="s">
        <v>23</v>
      </c>
      <c r="P229" s="17" t="s">
        <v>24</v>
      </c>
    </row>
    <row r="230" spans="1:16" x14ac:dyDescent="0.3">
      <c r="A230" s="14">
        <v>1229</v>
      </c>
      <c r="B230" s="3" t="s">
        <v>287</v>
      </c>
      <c r="C230" s="3" t="s">
        <v>26</v>
      </c>
      <c r="D230" s="3">
        <v>24</v>
      </c>
      <c r="E230" s="3" t="s">
        <v>35</v>
      </c>
      <c r="F230" s="3" t="s">
        <v>48</v>
      </c>
      <c r="G230" s="3" t="s">
        <v>49</v>
      </c>
      <c r="H230" s="3" t="s">
        <v>21</v>
      </c>
      <c r="I230" s="15">
        <v>44913</v>
      </c>
      <c r="J230" s="3" t="s">
        <v>22</v>
      </c>
      <c r="K230" s="15"/>
      <c r="L230" s="16">
        <v>117000</v>
      </c>
      <c r="M230" s="3">
        <v>1</v>
      </c>
      <c r="N230" s="3">
        <v>4</v>
      </c>
      <c r="O230" s="3" t="s">
        <v>22</v>
      </c>
      <c r="P230" s="17" t="s">
        <v>24</v>
      </c>
    </row>
    <row r="231" spans="1:16" x14ac:dyDescent="0.3">
      <c r="A231" s="14">
        <v>1230</v>
      </c>
      <c r="B231" s="3" t="s">
        <v>288</v>
      </c>
      <c r="C231" s="3" t="s">
        <v>17</v>
      </c>
      <c r="D231" s="3">
        <v>35</v>
      </c>
      <c r="E231" s="3" t="s">
        <v>35</v>
      </c>
      <c r="F231" s="3" t="s">
        <v>36</v>
      </c>
      <c r="G231" s="3" t="s">
        <v>86</v>
      </c>
      <c r="H231" s="3" t="s">
        <v>33</v>
      </c>
      <c r="I231" s="15">
        <v>44450</v>
      </c>
      <c r="J231" s="3" t="s">
        <v>22</v>
      </c>
      <c r="K231" s="15"/>
      <c r="L231" s="16">
        <v>108700</v>
      </c>
      <c r="M231" s="3">
        <v>2</v>
      </c>
      <c r="N231" s="3">
        <v>4</v>
      </c>
      <c r="O231" s="3" t="s">
        <v>22</v>
      </c>
      <c r="P231" s="17" t="s">
        <v>24</v>
      </c>
    </row>
    <row r="232" spans="1:16" x14ac:dyDescent="0.3">
      <c r="A232" s="14">
        <v>1231</v>
      </c>
      <c r="B232" s="3" t="s">
        <v>186</v>
      </c>
      <c r="C232" s="3" t="s">
        <v>26</v>
      </c>
      <c r="D232" s="3">
        <v>52</v>
      </c>
      <c r="E232" s="3" t="s">
        <v>38</v>
      </c>
      <c r="F232" s="3" t="s">
        <v>39</v>
      </c>
      <c r="G232" s="3" t="s">
        <v>57</v>
      </c>
      <c r="H232" s="3" t="s">
        <v>30</v>
      </c>
      <c r="I232" s="15">
        <v>43822</v>
      </c>
      <c r="J232" s="3" t="s">
        <v>22</v>
      </c>
      <c r="K232" s="15"/>
      <c r="L232" s="16">
        <v>57900</v>
      </c>
      <c r="M232" s="3">
        <v>3</v>
      </c>
      <c r="N232" s="3">
        <v>5</v>
      </c>
      <c r="O232" s="3" t="s">
        <v>23</v>
      </c>
      <c r="P232" s="17" t="s">
        <v>42</v>
      </c>
    </row>
    <row r="233" spans="1:16" x14ac:dyDescent="0.3">
      <c r="A233" s="14">
        <v>1232</v>
      </c>
      <c r="B233" s="3" t="s">
        <v>289</v>
      </c>
      <c r="C233" s="3" t="s">
        <v>17</v>
      </c>
      <c r="D233" s="3">
        <v>46</v>
      </c>
      <c r="E233" s="3" t="s">
        <v>18</v>
      </c>
      <c r="F233" s="3" t="s">
        <v>59</v>
      </c>
      <c r="G233" s="3" t="s">
        <v>49</v>
      </c>
      <c r="H233" s="3" t="s">
        <v>21</v>
      </c>
      <c r="I233" s="15">
        <v>44984</v>
      </c>
      <c r="J233" s="3" t="s">
        <v>23</v>
      </c>
      <c r="K233" s="15" t="s">
        <v>290</v>
      </c>
      <c r="L233" s="16">
        <v>72700</v>
      </c>
      <c r="M233" s="3">
        <v>3</v>
      </c>
      <c r="N233" s="3">
        <v>1</v>
      </c>
      <c r="O233" s="3" t="s">
        <v>23</v>
      </c>
      <c r="P233" s="17" t="s">
        <v>24</v>
      </c>
    </row>
    <row r="234" spans="1:16" x14ac:dyDescent="0.3">
      <c r="A234" s="14">
        <v>1233</v>
      </c>
      <c r="B234" s="3" t="s">
        <v>291</v>
      </c>
      <c r="C234" s="3" t="s">
        <v>17</v>
      </c>
      <c r="D234" s="3">
        <v>52</v>
      </c>
      <c r="E234" s="3" t="s">
        <v>18</v>
      </c>
      <c r="F234" s="3" t="s">
        <v>59</v>
      </c>
      <c r="G234" s="3" t="s">
        <v>68</v>
      </c>
      <c r="H234" s="3" t="s">
        <v>21</v>
      </c>
      <c r="I234" s="15">
        <v>43325</v>
      </c>
      <c r="J234" s="3" t="s">
        <v>22</v>
      </c>
      <c r="K234" s="15"/>
      <c r="L234" s="16">
        <v>86700</v>
      </c>
      <c r="M234" s="3">
        <v>4</v>
      </c>
      <c r="N234" s="3">
        <v>2</v>
      </c>
      <c r="O234" s="3" t="s">
        <v>22</v>
      </c>
      <c r="P234" s="17" t="s">
        <v>42</v>
      </c>
    </row>
    <row r="235" spans="1:16" x14ac:dyDescent="0.3">
      <c r="A235" s="14">
        <v>1234</v>
      </c>
      <c r="B235" s="3" t="s">
        <v>292</v>
      </c>
      <c r="C235" s="3" t="s">
        <v>17</v>
      </c>
      <c r="D235" s="3">
        <v>56</v>
      </c>
      <c r="E235" s="3" t="s">
        <v>75</v>
      </c>
      <c r="F235" s="3" t="s">
        <v>89</v>
      </c>
      <c r="G235" s="3" t="s">
        <v>29</v>
      </c>
      <c r="H235" s="3" t="s">
        <v>46</v>
      </c>
      <c r="I235" s="15">
        <v>44226</v>
      </c>
      <c r="J235" s="3" t="s">
        <v>22</v>
      </c>
      <c r="K235" s="15"/>
      <c r="L235" s="16">
        <v>40200</v>
      </c>
      <c r="M235" s="3">
        <v>2</v>
      </c>
      <c r="N235" s="3">
        <v>3</v>
      </c>
      <c r="O235" s="3" t="s">
        <v>22</v>
      </c>
      <c r="P235" s="17" t="s">
        <v>24</v>
      </c>
    </row>
    <row r="236" spans="1:16" x14ac:dyDescent="0.3">
      <c r="A236" s="14">
        <v>1235</v>
      </c>
      <c r="B236" s="3" t="s">
        <v>293</v>
      </c>
      <c r="C236" s="3" t="s">
        <v>17</v>
      </c>
      <c r="D236" s="3">
        <v>56</v>
      </c>
      <c r="E236" s="3" t="s">
        <v>52</v>
      </c>
      <c r="F236" s="3" t="s">
        <v>184</v>
      </c>
      <c r="G236" s="3" t="s">
        <v>57</v>
      </c>
      <c r="H236" s="3" t="s">
        <v>30</v>
      </c>
      <c r="I236" s="15">
        <v>44154</v>
      </c>
      <c r="J236" s="3" t="s">
        <v>22</v>
      </c>
      <c r="K236" s="15"/>
      <c r="L236" s="16">
        <v>48600</v>
      </c>
      <c r="M236" s="3">
        <v>2</v>
      </c>
      <c r="N236" s="3">
        <v>3</v>
      </c>
      <c r="O236" s="3" t="s">
        <v>22</v>
      </c>
      <c r="P236" s="17" t="s">
        <v>24</v>
      </c>
    </row>
    <row r="237" spans="1:16" x14ac:dyDescent="0.3">
      <c r="A237" s="14">
        <v>1236</v>
      </c>
      <c r="B237" s="3" t="s">
        <v>294</v>
      </c>
      <c r="C237" s="3" t="s">
        <v>26</v>
      </c>
      <c r="D237" s="3">
        <v>57</v>
      </c>
      <c r="E237" s="3" t="s">
        <v>75</v>
      </c>
      <c r="F237" s="3" t="s">
        <v>76</v>
      </c>
      <c r="G237" s="3" t="s">
        <v>68</v>
      </c>
      <c r="H237" s="3" t="s">
        <v>30</v>
      </c>
      <c r="I237" s="15">
        <v>43310</v>
      </c>
      <c r="J237" s="3" t="s">
        <v>23</v>
      </c>
      <c r="K237" s="15" t="s">
        <v>295</v>
      </c>
      <c r="L237" s="16">
        <v>78100</v>
      </c>
      <c r="M237" s="3">
        <v>1</v>
      </c>
      <c r="N237" s="3">
        <v>3</v>
      </c>
      <c r="O237" s="3" t="s">
        <v>23</v>
      </c>
      <c r="P237" s="17" t="s">
        <v>24</v>
      </c>
    </row>
    <row r="238" spans="1:16" x14ac:dyDescent="0.3">
      <c r="A238" s="14">
        <v>1237</v>
      </c>
      <c r="B238" s="3" t="s">
        <v>296</v>
      </c>
      <c r="C238" s="3" t="s">
        <v>17</v>
      </c>
      <c r="D238" s="3">
        <v>47</v>
      </c>
      <c r="E238" s="3" t="s">
        <v>27</v>
      </c>
      <c r="F238" s="3" t="s">
        <v>28</v>
      </c>
      <c r="G238" s="3" t="s">
        <v>68</v>
      </c>
      <c r="H238" s="3" t="s">
        <v>30</v>
      </c>
      <c r="I238" s="15">
        <v>44923</v>
      </c>
      <c r="J238" s="3" t="s">
        <v>22</v>
      </c>
      <c r="K238" s="15"/>
      <c r="L238" s="16">
        <v>37300</v>
      </c>
      <c r="M238" s="3">
        <v>3</v>
      </c>
      <c r="N238" s="3">
        <v>1</v>
      </c>
      <c r="O238" s="3" t="s">
        <v>23</v>
      </c>
      <c r="P238" s="17" t="s">
        <v>42</v>
      </c>
    </row>
    <row r="239" spans="1:16" x14ac:dyDescent="0.3">
      <c r="A239" s="14">
        <v>1238</v>
      </c>
      <c r="B239" s="3" t="s">
        <v>287</v>
      </c>
      <c r="C239" s="3" t="s">
        <v>17</v>
      </c>
      <c r="D239" s="3">
        <v>36</v>
      </c>
      <c r="E239" s="3" t="s">
        <v>35</v>
      </c>
      <c r="F239" s="3" t="s">
        <v>64</v>
      </c>
      <c r="G239" s="3" t="s">
        <v>60</v>
      </c>
      <c r="H239" s="3" t="s">
        <v>30</v>
      </c>
      <c r="I239" s="15">
        <v>44308</v>
      </c>
      <c r="J239" s="3" t="s">
        <v>23</v>
      </c>
      <c r="K239" s="15" t="s">
        <v>297</v>
      </c>
      <c r="L239" s="16">
        <v>76100</v>
      </c>
      <c r="M239" s="3">
        <v>4</v>
      </c>
      <c r="N239" s="3">
        <v>2</v>
      </c>
      <c r="O239" s="3" t="s">
        <v>23</v>
      </c>
      <c r="P239" s="17" t="s">
        <v>24</v>
      </c>
    </row>
    <row r="240" spans="1:16" x14ac:dyDescent="0.3">
      <c r="A240" s="14">
        <v>1239</v>
      </c>
      <c r="B240" s="3" t="s">
        <v>298</v>
      </c>
      <c r="C240" s="3" t="s">
        <v>26</v>
      </c>
      <c r="D240" s="3">
        <v>50</v>
      </c>
      <c r="E240" s="3" t="s">
        <v>18</v>
      </c>
      <c r="F240" s="3" t="s">
        <v>124</v>
      </c>
      <c r="G240" s="3" t="s">
        <v>68</v>
      </c>
      <c r="H240" s="3" t="s">
        <v>21</v>
      </c>
      <c r="I240" s="15">
        <v>44840</v>
      </c>
      <c r="J240" s="3" t="s">
        <v>22</v>
      </c>
      <c r="K240" s="15"/>
      <c r="L240" s="16">
        <v>73900</v>
      </c>
      <c r="M240" s="3">
        <v>2</v>
      </c>
      <c r="N240" s="3">
        <v>1</v>
      </c>
      <c r="O240" s="3" t="s">
        <v>23</v>
      </c>
      <c r="P240" s="17" t="s">
        <v>24</v>
      </c>
    </row>
    <row r="241" spans="1:16" x14ac:dyDescent="0.3">
      <c r="A241" s="14">
        <v>1240</v>
      </c>
      <c r="B241" s="3" t="s">
        <v>299</v>
      </c>
      <c r="C241" s="3" t="s">
        <v>17</v>
      </c>
      <c r="D241" s="3">
        <v>57</v>
      </c>
      <c r="E241" s="3" t="s">
        <v>35</v>
      </c>
      <c r="F241" s="3" t="s">
        <v>84</v>
      </c>
      <c r="G241" s="3" t="s">
        <v>49</v>
      </c>
      <c r="H241" s="3" t="s">
        <v>21</v>
      </c>
      <c r="I241" s="15">
        <v>43979</v>
      </c>
      <c r="J241" s="3" t="s">
        <v>22</v>
      </c>
      <c r="K241" s="15"/>
      <c r="L241" s="16">
        <v>59200</v>
      </c>
      <c r="M241" s="3">
        <v>4</v>
      </c>
      <c r="N241" s="3">
        <v>4</v>
      </c>
      <c r="O241" s="3" t="s">
        <v>23</v>
      </c>
      <c r="P241" s="17" t="s">
        <v>24</v>
      </c>
    </row>
    <row r="242" spans="1:16" x14ac:dyDescent="0.3">
      <c r="A242" s="14">
        <v>1241</v>
      </c>
      <c r="B242" s="3" t="s">
        <v>88</v>
      </c>
      <c r="C242" s="3" t="s">
        <v>17</v>
      </c>
      <c r="D242" s="3">
        <v>51</v>
      </c>
      <c r="E242" s="3" t="s">
        <v>27</v>
      </c>
      <c r="F242" s="3" t="s">
        <v>28</v>
      </c>
      <c r="G242" s="3" t="s">
        <v>20</v>
      </c>
      <c r="H242" s="3" t="s">
        <v>46</v>
      </c>
      <c r="I242" s="15">
        <v>43710</v>
      </c>
      <c r="J242" s="3" t="s">
        <v>22</v>
      </c>
      <c r="K242" s="15"/>
      <c r="L242" s="16">
        <v>45700</v>
      </c>
      <c r="M242" s="3">
        <v>3</v>
      </c>
      <c r="N242" s="3">
        <v>1</v>
      </c>
      <c r="O242" s="3" t="s">
        <v>23</v>
      </c>
      <c r="P242" s="17" t="s">
        <v>24</v>
      </c>
    </row>
    <row r="243" spans="1:16" x14ac:dyDescent="0.3">
      <c r="A243" s="14">
        <v>1242</v>
      </c>
      <c r="B243" s="3" t="s">
        <v>298</v>
      </c>
      <c r="C243" s="3" t="s">
        <v>26</v>
      </c>
      <c r="D243" s="3">
        <v>53</v>
      </c>
      <c r="E243" s="3" t="s">
        <v>52</v>
      </c>
      <c r="F243" s="3" t="s">
        <v>53</v>
      </c>
      <c r="G243" s="3" t="s">
        <v>86</v>
      </c>
      <c r="H243" s="3" t="s">
        <v>33</v>
      </c>
      <c r="I243" s="15">
        <v>43481</v>
      </c>
      <c r="J243" s="3" t="s">
        <v>22</v>
      </c>
      <c r="K243" s="15"/>
      <c r="L243" s="16">
        <v>46500</v>
      </c>
      <c r="M243" s="3">
        <v>3</v>
      </c>
      <c r="N243" s="3">
        <v>5</v>
      </c>
      <c r="O243" s="3" t="s">
        <v>23</v>
      </c>
      <c r="P243" s="17" t="s">
        <v>42</v>
      </c>
    </row>
    <row r="244" spans="1:16" x14ac:dyDescent="0.3">
      <c r="A244" s="14">
        <v>1243</v>
      </c>
      <c r="B244" s="3" t="s">
        <v>189</v>
      </c>
      <c r="C244" s="3" t="s">
        <v>17</v>
      </c>
      <c r="D244" s="3">
        <v>28</v>
      </c>
      <c r="E244" s="3" t="s">
        <v>27</v>
      </c>
      <c r="F244" s="3" t="s">
        <v>28</v>
      </c>
      <c r="G244" s="3" t="s">
        <v>49</v>
      </c>
      <c r="H244" s="3" t="s">
        <v>33</v>
      </c>
      <c r="I244" s="15">
        <v>43106</v>
      </c>
      <c r="J244" s="3" t="s">
        <v>22</v>
      </c>
      <c r="K244" s="15"/>
      <c r="L244" s="16">
        <v>39500</v>
      </c>
      <c r="M244" s="3">
        <v>5</v>
      </c>
      <c r="N244" s="3">
        <v>1</v>
      </c>
      <c r="O244" s="3" t="s">
        <v>23</v>
      </c>
      <c r="P244" s="17" t="s">
        <v>24</v>
      </c>
    </row>
    <row r="245" spans="1:16" x14ac:dyDescent="0.3">
      <c r="A245" s="14">
        <v>1244</v>
      </c>
      <c r="B245" s="3" t="s">
        <v>300</v>
      </c>
      <c r="C245" s="3" t="s">
        <v>17</v>
      </c>
      <c r="D245" s="3">
        <v>29</v>
      </c>
      <c r="E245" s="3" t="s">
        <v>27</v>
      </c>
      <c r="F245" s="3" t="s">
        <v>32</v>
      </c>
      <c r="G245" s="3" t="s">
        <v>86</v>
      </c>
      <c r="H245" s="3" t="s">
        <v>46</v>
      </c>
      <c r="I245" s="15">
        <v>44322</v>
      </c>
      <c r="J245" s="3" t="s">
        <v>22</v>
      </c>
      <c r="K245" s="15"/>
      <c r="L245" s="16">
        <v>84500</v>
      </c>
      <c r="M245" s="3">
        <v>4</v>
      </c>
      <c r="N245" s="3">
        <v>5</v>
      </c>
      <c r="O245" s="3" t="s">
        <v>23</v>
      </c>
      <c r="P245" s="17" t="s">
        <v>42</v>
      </c>
    </row>
    <row r="246" spans="1:16" x14ac:dyDescent="0.3">
      <c r="A246" s="14">
        <v>1245</v>
      </c>
      <c r="B246" s="3" t="s">
        <v>301</v>
      </c>
      <c r="C246" s="3" t="s">
        <v>17</v>
      </c>
      <c r="D246" s="3">
        <v>48</v>
      </c>
      <c r="E246" s="3" t="s">
        <v>18</v>
      </c>
      <c r="F246" s="3" t="s">
        <v>19</v>
      </c>
      <c r="G246" s="3" t="s">
        <v>29</v>
      </c>
      <c r="H246" s="3" t="s">
        <v>33</v>
      </c>
      <c r="I246" s="15">
        <v>43641</v>
      </c>
      <c r="J246" s="3" t="s">
        <v>23</v>
      </c>
      <c r="K246" s="15" t="s">
        <v>302</v>
      </c>
      <c r="L246" s="16">
        <v>45700</v>
      </c>
      <c r="M246" s="3">
        <v>4</v>
      </c>
      <c r="N246" s="3">
        <v>3</v>
      </c>
      <c r="O246" s="3" t="s">
        <v>23</v>
      </c>
      <c r="P246" s="17" t="s">
        <v>42</v>
      </c>
    </row>
    <row r="247" spans="1:16" x14ac:dyDescent="0.3">
      <c r="A247" s="14">
        <v>1246</v>
      </c>
      <c r="B247" s="3" t="s">
        <v>201</v>
      </c>
      <c r="C247" s="3" t="s">
        <v>17</v>
      </c>
      <c r="D247" s="3">
        <v>28</v>
      </c>
      <c r="E247" s="3" t="s">
        <v>52</v>
      </c>
      <c r="F247" s="3" t="s">
        <v>184</v>
      </c>
      <c r="G247" s="3" t="s">
        <v>49</v>
      </c>
      <c r="H247" s="3" t="s">
        <v>33</v>
      </c>
      <c r="I247" s="15">
        <v>44078</v>
      </c>
      <c r="J247" s="3" t="s">
        <v>22</v>
      </c>
      <c r="K247" s="15"/>
      <c r="L247" s="16">
        <v>44800</v>
      </c>
      <c r="M247" s="3">
        <v>3</v>
      </c>
      <c r="N247" s="3">
        <v>1</v>
      </c>
      <c r="O247" s="3" t="s">
        <v>22</v>
      </c>
      <c r="P247" s="17" t="s">
        <v>24</v>
      </c>
    </row>
    <row r="248" spans="1:16" x14ac:dyDescent="0.3">
      <c r="A248" s="14">
        <v>1247</v>
      </c>
      <c r="B248" s="3" t="s">
        <v>303</v>
      </c>
      <c r="C248" s="3" t="s">
        <v>26</v>
      </c>
      <c r="D248" s="3">
        <v>47</v>
      </c>
      <c r="E248" s="3" t="s">
        <v>52</v>
      </c>
      <c r="F248" s="3" t="s">
        <v>53</v>
      </c>
      <c r="G248" s="3" t="s">
        <v>68</v>
      </c>
      <c r="H248" s="3" t="s">
        <v>21</v>
      </c>
      <c r="I248" s="15">
        <v>45375</v>
      </c>
      <c r="J248" s="3" t="s">
        <v>22</v>
      </c>
      <c r="K248" s="15"/>
      <c r="L248" s="16">
        <v>46600</v>
      </c>
      <c r="M248" s="3">
        <v>2</v>
      </c>
      <c r="N248" s="3">
        <v>5</v>
      </c>
      <c r="O248" s="3" t="s">
        <v>23</v>
      </c>
      <c r="P248" s="17" t="s">
        <v>42</v>
      </c>
    </row>
    <row r="249" spans="1:16" x14ac:dyDescent="0.3">
      <c r="A249" s="14">
        <v>1248</v>
      </c>
      <c r="B249" s="3" t="s">
        <v>304</v>
      </c>
      <c r="C249" s="3" t="s">
        <v>26</v>
      </c>
      <c r="D249" s="3">
        <v>27</v>
      </c>
      <c r="E249" s="3" t="s">
        <v>38</v>
      </c>
      <c r="F249" s="3" t="s">
        <v>41</v>
      </c>
      <c r="G249" s="3" t="s">
        <v>68</v>
      </c>
      <c r="H249" s="3" t="s">
        <v>46</v>
      </c>
      <c r="I249" s="15">
        <v>43802</v>
      </c>
      <c r="J249" s="3" t="s">
        <v>23</v>
      </c>
      <c r="K249" s="15" t="s">
        <v>305</v>
      </c>
      <c r="L249" s="16">
        <v>78800</v>
      </c>
      <c r="M249" s="3">
        <v>3</v>
      </c>
      <c r="N249" s="3">
        <v>5</v>
      </c>
      <c r="O249" s="3" t="s">
        <v>23</v>
      </c>
      <c r="P249" s="17" t="s">
        <v>24</v>
      </c>
    </row>
    <row r="250" spans="1:16" x14ac:dyDescent="0.3">
      <c r="A250" s="14">
        <v>1249</v>
      </c>
      <c r="B250" s="3" t="s">
        <v>306</v>
      </c>
      <c r="C250" s="3" t="s">
        <v>26</v>
      </c>
      <c r="D250" s="3">
        <v>37</v>
      </c>
      <c r="E250" s="3" t="s">
        <v>27</v>
      </c>
      <c r="F250" s="3" t="s">
        <v>155</v>
      </c>
      <c r="G250" s="3" t="s">
        <v>68</v>
      </c>
      <c r="H250" s="3" t="s">
        <v>33</v>
      </c>
      <c r="I250" s="15">
        <v>43400</v>
      </c>
      <c r="J250" s="3" t="s">
        <v>23</v>
      </c>
      <c r="K250" s="15" t="s">
        <v>307</v>
      </c>
      <c r="L250" s="16">
        <v>43600</v>
      </c>
      <c r="M250" s="3">
        <v>5</v>
      </c>
      <c r="N250" s="3">
        <v>3</v>
      </c>
      <c r="O250" s="3" t="s">
        <v>22</v>
      </c>
      <c r="P250" s="17" t="s">
        <v>42</v>
      </c>
    </row>
    <row r="251" spans="1:16" x14ac:dyDescent="0.3">
      <c r="A251" s="14">
        <v>1250</v>
      </c>
      <c r="B251" s="3" t="s">
        <v>308</v>
      </c>
      <c r="C251" s="3" t="s">
        <v>26</v>
      </c>
      <c r="D251" s="3">
        <v>24</v>
      </c>
      <c r="E251" s="3" t="s">
        <v>18</v>
      </c>
      <c r="F251" s="3" t="s">
        <v>124</v>
      </c>
      <c r="G251" s="3" t="s">
        <v>57</v>
      </c>
      <c r="H251" s="3" t="s">
        <v>30</v>
      </c>
      <c r="I251" s="15">
        <v>43461</v>
      </c>
      <c r="J251" s="3" t="s">
        <v>22</v>
      </c>
      <c r="K251" s="15"/>
      <c r="L251" s="16">
        <v>94400</v>
      </c>
      <c r="M251" s="3">
        <v>2</v>
      </c>
      <c r="N251" s="3">
        <v>2</v>
      </c>
      <c r="O251" s="3" t="s">
        <v>23</v>
      </c>
      <c r="P251" s="17" t="s">
        <v>24</v>
      </c>
    </row>
    <row r="252" spans="1:16" x14ac:dyDescent="0.3">
      <c r="A252" s="14">
        <v>1251</v>
      </c>
      <c r="B252" s="3" t="s">
        <v>309</v>
      </c>
      <c r="C252" s="3" t="s">
        <v>26</v>
      </c>
      <c r="D252" s="3">
        <v>22</v>
      </c>
      <c r="E252" s="3" t="s">
        <v>27</v>
      </c>
      <c r="F252" s="3" t="s">
        <v>155</v>
      </c>
      <c r="G252" s="3" t="s">
        <v>86</v>
      </c>
      <c r="H252" s="3" t="s">
        <v>33</v>
      </c>
      <c r="I252" s="15">
        <v>45065</v>
      </c>
      <c r="J252" s="3" t="s">
        <v>22</v>
      </c>
      <c r="K252" s="15"/>
      <c r="L252" s="16">
        <v>34600</v>
      </c>
      <c r="M252" s="3">
        <v>4</v>
      </c>
      <c r="N252" s="3">
        <v>1</v>
      </c>
      <c r="O252" s="3" t="s">
        <v>23</v>
      </c>
      <c r="P252" s="17" t="s">
        <v>42</v>
      </c>
    </row>
    <row r="253" spans="1:16" x14ac:dyDescent="0.3">
      <c r="A253" s="14">
        <v>1252</v>
      </c>
      <c r="B253" s="3" t="s">
        <v>310</v>
      </c>
      <c r="C253" s="3" t="s">
        <v>17</v>
      </c>
      <c r="D253" s="3">
        <v>53</v>
      </c>
      <c r="E253" s="3" t="s">
        <v>55</v>
      </c>
      <c r="F253" s="3" t="s">
        <v>67</v>
      </c>
      <c r="G253" s="3" t="s">
        <v>86</v>
      </c>
      <c r="H253" s="3" t="s">
        <v>46</v>
      </c>
      <c r="I253" s="15">
        <v>45133</v>
      </c>
      <c r="J253" s="3" t="s">
        <v>22</v>
      </c>
      <c r="K253" s="15"/>
      <c r="L253" s="16">
        <v>28900</v>
      </c>
      <c r="M253" s="3">
        <v>4</v>
      </c>
      <c r="N253" s="3">
        <v>1</v>
      </c>
      <c r="O253" s="3" t="s">
        <v>22</v>
      </c>
      <c r="P253" s="17" t="s">
        <v>42</v>
      </c>
    </row>
    <row r="254" spans="1:16" x14ac:dyDescent="0.3">
      <c r="A254" s="14">
        <v>1253</v>
      </c>
      <c r="B254" s="3" t="s">
        <v>311</v>
      </c>
      <c r="C254" s="3" t="s">
        <v>17</v>
      </c>
      <c r="D254" s="3">
        <v>37</v>
      </c>
      <c r="E254" s="3" t="s">
        <v>44</v>
      </c>
      <c r="F254" s="3" t="s">
        <v>70</v>
      </c>
      <c r="G254" s="3" t="s">
        <v>49</v>
      </c>
      <c r="H254" s="3" t="s">
        <v>46</v>
      </c>
      <c r="I254" s="15">
        <v>43912</v>
      </c>
      <c r="J254" s="3" t="s">
        <v>22</v>
      </c>
      <c r="K254" s="15"/>
      <c r="L254" s="16">
        <v>45600</v>
      </c>
      <c r="M254" s="3">
        <v>4</v>
      </c>
      <c r="N254" s="3">
        <v>5</v>
      </c>
      <c r="O254" s="3" t="s">
        <v>23</v>
      </c>
      <c r="P254" s="17" t="s">
        <v>24</v>
      </c>
    </row>
    <row r="255" spans="1:16" x14ac:dyDescent="0.3">
      <c r="A255" s="14">
        <v>1254</v>
      </c>
      <c r="B255" s="3" t="s">
        <v>312</v>
      </c>
      <c r="C255" s="3" t="s">
        <v>17</v>
      </c>
      <c r="D255" s="3">
        <v>43</v>
      </c>
      <c r="E255" s="3" t="s">
        <v>55</v>
      </c>
      <c r="F255" s="3" t="s">
        <v>56</v>
      </c>
      <c r="G255" s="3" t="s">
        <v>20</v>
      </c>
      <c r="H255" s="3" t="s">
        <v>46</v>
      </c>
      <c r="I255" s="15">
        <v>44848</v>
      </c>
      <c r="J255" s="3" t="s">
        <v>22</v>
      </c>
      <c r="K255" s="15"/>
      <c r="L255" s="16">
        <v>67200</v>
      </c>
      <c r="M255" s="3">
        <v>1</v>
      </c>
      <c r="N255" s="3">
        <v>1</v>
      </c>
      <c r="O255" s="3" t="s">
        <v>23</v>
      </c>
      <c r="P255" s="17" t="s">
        <v>24</v>
      </c>
    </row>
    <row r="256" spans="1:16" x14ac:dyDescent="0.3">
      <c r="A256" s="14">
        <v>1255</v>
      </c>
      <c r="B256" s="3" t="s">
        <v>313</v>
      </c>
      <c r="C256" s="3" t="s">
        <v>17</v>
      </c>
      <c r="D256" s="3">
        <v>27</v>
      </c>
      <c r="E256" s="3" t="s">
        <v>38</v>
      </c>
      <c r="F256" s="3" t="s">
        <v>82</v>
      </c>
      <c r="G256" s="3" t="s">
        <v>86</v>
      </c>
      <c r="H256" s="3" t="s">
        <v>46</v>
      </c>
      <c r="I256" s="15">
        <v>44549</v>
      </c>
      <c r="J256" s="3" t="s">
        <v>23</v>
      </c>
      <c r="K256" s="15" t="s">
        <v>314</v>
      </c>
      <c r="L256" s="16">
        <v>48400</v>
      </c>
      <c r="M256" s="3">
        <v>3</v>
      </c>
      <c r="N256" s="3">
        <v>1</v>
      </c>
      <c r="O256" s="3" t="s">
        <v>22</v>
      </c>
      <c r="P256" s="17" t="s">
        <v>42</v>
      </c>
    </row>
    <row r="257" spans="1:16" x14ac:dyDescent="0.3">
      <c r="A257" s="14">
        <v>1256</v>
      </c>
      <c r="B257" s="3" t="s">
        <v>263</v>
      </c>
      <c r="C257" s="3" t="s">
        <v>17</v>
      </c>
      <c r="D257" s="3">
        <v>46</v>
      </c>
      <c r="E257" s="3" t="s">
        <v>27</v>
      </c>
      <c r="F257" s="3" t="s">
        <v>155</v>
      </c>
      <c r="G257" s="3" t="s">
        <v>68</v>
      </c>
      <c r="H257" s="3" t="s">
        <v>33</v>
      </c>
      <c r="I257" s="15">
        <v>43855</v>
      </c>
      <c r="J257" s="3" t="s">
        <v>23</v>
      </c>
      <c r="K257" s="15" t="s">
        <v>315</v>
      </c>
      <c r="L257" s="16">
        <v>40200</v>
      </c>
      <c r="M257" s="3">
        <v>3</v>
      </c>
      <c r="N257" s="3">
        <v>2</v>
      </c>
      <c r="O257" s="3" t="s">
        <v>22</v>
      </c>
      <c r="P257" s="17" t="s">
        <v>24</v>
      </c>
    </row>
    <row r="258" spans="1:16" x14ac:dyDescent="0.3">
      <c r="A258" s="14">
        <v>1257</v>
      </c>
      <c r="B258" s="3" t="s">
        <v>274</v>
      </c>
      <c r="C258" s="3" t="s">
        <v>17</v>
      </c>
      <c r="D258" s="3">
        <v>22</v>
      </c>
      <c r="E258" s="3" t="s">
        <v>27</v>
      </c>
      <c r="F258" s="3" t="s">
        <v>155</v>
      </c>
      <c r="G258" s="3" t="s">
        <v>57</v>
      </c>
      <c r="H258" s="3" t="s">
        <v>33</v>
      </c>
      <c r="I258" s="15">
        <v>43819</v>
      </c>
      <c r="J258" s="3" t="s">
        <v>22</v>
      </c>
      <c r="K258" s="15"/>
      <c r="L258" s="16">
        <v>35700</v>
      </c>
      <c r="M258" s="3">
        <v>3</v>
      </c>
      <c r="N258" s="3">
        <v>3</v>
      </c>
      <c r="O258" s="3" t="s">
        <v>22</v>
      </c>
      <c r="P258" s="17" t="s">
        <v>42</v>
      </c>
    </row>
    <row r="259" spans="1:16" x14ac:dyDescent="0.3">
      <c r="A259" s="14">
        <v>1258</v>
      </c>
      <c r="B259" s="3" t="s">
        <v>316</v>
      </c>
      <c r="C259" s="3" t="s">
        <v>17</v>
      </c>
      <c r="D259" s="3">
        <v>54</v>
      </c>
      <c r="E259" s="3" t="s">
        <v>35</v>
      </c>
      <c r="F259" s="3" t="s">
        <v>84</v>
      </c>
      <c r="G259" s="3" t="s">
        <v>57</v>
      </c>
      <c r="H259" s="3" t="s">
        <v>33</v>
      </c>
      <c r="I259" s="15">
        <v>44457</v>
      </c>
      <c r="J259" s="3" t="s">
        <v>22</v>
      </c>
      <c r="K259" s="15"/>
      <c r="L259" s="16">
        <v>66800</v>
      </c>
      <c r="M259" s="3">
        <v>5</v>
      </c>
      <c r="N259" s="3">
        <v>4</v>
      </c>
      <c r="O259" s="3" t="s">
        <v>23</v>
      </c>
      <c r="P259" s="17" t="s">
        <v>24</v>
      </c>
    </row>
    <row r="260" spans="1:16" x14ac:dyDescent="0.3">
      <c r="A260" s="14">
        <v>1259</v>
      </c>
      <c r="B260" s="3" t="s">
        <v>317</v>
      </c>
      <c r="C260" s="3" t="s">
        <v>26</v>
      </c>
      <c r="D260" s="3">
        <v>50</v>
      </c>
      <c r="E260" s="3" t="s">
        <v>18</v>
      </c>
      <c r="F260" s="3" t="s">
        <v>59</v>
      </c>
      <c r="G260" s="3" t="s">
        <v>20</v>
      </c>
      <c r="H260" s="3" t="s">
        <v>30</v>
      </c>
      <c r="I260" s="15">
        <v>44375</v>
      </c>
      <c r="J260" s="3" t="s">
        <v>22</v>
      </c>
      <c r="K260" s="15"/>
      <c r="L260" s="16">
        <v>93200</v>
      </c>
      <c r="M260" s="3">
        <v>5</v>
      </c>
      <c r="N260" s="3">
        <v>4</v>
      </c>
      <c r="O260" s="3" t="s">
        <v>23</v>
      </c>
      <c r="P260" s="17" t="s">
        <v>24</v>
      </c>
    </row>
    <row r="261" spans="1:16" x14ac:dyDescent="0.3">
      <c r="A261" s="14">
        <v>1260</v>
      </c>
      <c r="B261" s="3" t="s">
        <v>255</v>
      </c>
      <c r="C261" s="3" t="s">
        <v>26</v>
      </c>
      <c r="D261" s="3">
        <v>47</v>
      </c>
      <c r="E261" s="3" t="s">
        <v>52</v>
      </c>
      <c r="F261" s="3" t="s">
        <v>184</v>
      </c>
      <c r="G261" s="3" t="s">
        <v>68</v>
      </c>
      <c r="H261" s="3" t="s">
        <v>33</v>
      </c>
      <c r="I261" s="15">
        <v>43811</v>
      </c>
      <c r="J261" s="3" t="s">
        <v>22</v>
      </c>
      <c r="K261" s="15"/>
      <c r="L261" s="16">
        <v>57400</v>
      </c>
      <c r="M261" s="3">
        <v>4</v>
      </c>
      <c r="N261" s="3">
        <v>2</v>
      </c>
      <c r="O261" s="3" t="s">
        <v>22</v>
      </c>
      <c r="P261" s="17" t="s">
        <v>42</v>
      </c>
    </row>
    <row r="262" spans="1:16" x14ac:dyDescent="0.3">
      <c r="A262" s="14">
        <v>1261</v>
      </c>
      <c r="B262" s="3" t="s">
        <v>318</v>
      </c>
      <c r="C262" s="3" t="s">
        <v>17</v>
      </c>
      <c r="D262" s="3">
        <v>45</v>
      </c>
      <c r="E262" s="3" t="s">
        <v>44</v>
      </c>
      <c r="F262" s="3" t="s">
        <v>78</v>
      </c>
      <c r="G262" s="3" t="s">
        <v>57</v>
      </c>
      <c r="H262" s="3" t="s">
        <v>30</v>
      </c>
      <c r="I262" s="15">
        <v>44237</v>
      </c>
      <c r="J262" s="3" t="s">
        <v>22</v>
      </c>
      <c r="K262" s="15"/>
      <c r="L262" s="16">
        <v>41100</v>
      </c>
      <c r="M262" s="3">
        <v>4</v>
      </c>
      <c r="N262" s="3">
        <v>1</v>
      </c>
      <c r="O262" s="3" t="s">
        <v>22</v>
      </c>
      <c r="P262" s="17" t="s">
        <v>42</v>
      </c>
    </row>
    <row r="263" spans="1:16" x14ac:dyDescent="0.3">
      <c r="A263" s="14">
        <v>1262</v>
      </c>
      <c r="B263" s="3" t="s">
        <v>63</v>
      </c>
      <c r="C263" s="3" t="s">
        <v>26</v>
      </c>
      <c r="D263" s="3">
        <v>25</v>
      </c>
      <c r="E263" s="3" t="s">
        <v>35</v>
      </c>
      <c r="F263" s="3" t="s">
        <v>84</v>
      </c>
      <c r="G263" s="3" t="s">
        <v>60</v>
      </c>
      <c r="H263" s="3" t="s">
        <v>21</v>
      </c>
      <c r="I263" s="15">
        <v>44320</v>
      </c>
      <c r="J263" s="3" t="s">
        <v>22</v>
      </c>
      <c r="K263" s="15"/>
      <c r="L263" s="16">
        <v>80500</v>
      </c>
      <c r="M263" s="3">
        <v>4</v>
      </c>
      <c r="N263" s="3">
        <v>2</v>
      </c>
      <c r="O263" s="3" t="s">
        <v>22</v>
      </c>
      <c r="P263" s="17" t="s">
        <v>24</v>
      </c>
    </row>
    <row r="264" spans="1:16" x14ac:dyDescent="0.3">
      <c r="A264" s="14">
        <v>1263</v>
      </c>
      <c r="B264" s="3" t="s">
        <v>319</v>
      </c>
      <c r="C264" s="3" t="s">
        <v>26</v>
      </c>
      <c r="D264" s="3">
        <v>38</v>
      </c>
      <c r="E264" s="3" t="s">
        <v>75</v>
      </c>
      <c r="F264" s="3" t="s">
        <v>76</v>
      </c>
      <c r="G264" s="3" t="s">
        <v>57</v>
      </c>
      <c r="H264" s="3" t="s">
        <v>33</v>
      </c>
      <c r="I264" s="15">
        <v>44582</v>
      </c>
      <c r="J264" s="3" t="s">
        <v>22</v>
      </c>
      <c r="K264" s="15"/>
      <c r="L264" s="16">
        <v>68900</v>
      </c>
      <c r="M264" s="3">
        <v>3</v>
      </c>
      <c r="N264" s="3">
        <v>3</v>
      </c>
      <c r="O264" s="3" t="s">
        <v>23</v>
      </c>
      <c r="P264" s="17" t="s">
        <v>42</v>
      </c>
    </row>
    <row r="265" spans="1:16" x14ac:dyDescent="0.3">
      <c r="A265" s="14">
        <v>1264</v>
      </c>
      <c r="B265" s="3" t="s">
        <v>284</v>
      </c>
      <c r="C265" s="3" t="s">
        <v>17</v>
      </c>
      <c r="D265" s="3">
        <v>31</v>
      </c>
      <c r="E265" s="3" t="s">
        <v>55</v>
      </c>
      <c r="F265" s="3" t="s">
        <v>67</v>
      </c>
      <c r="G265" s="3" t="s">
        <v>86</v>
      </c>
      <c r="H265" s="3" t="s">
        <v>33</v>
      </c>
      <c r="I265" s="15">
        <v>44243</v>
      </c>
      <c r="J265" s="3" t="s">
        <v>22</v>
      </c>
      <c r="K265" s="15"/>
      <c r="L265" s="16">
        <v>36900</v>
      </c>
      <c r="M265" s="3">
        <v>3</v>
      </c>
      <c r="N265" s="3">
        <v>4</v>
      </c>
      <c r="O265" s="3" t="s">
        <v>23</v>
      </c>
      <c r="P265" s="17" t="s">
        <v>24</v>
      </c>
    </row>
    <row r="266" spans="1:16" x14ac:dyDescent="0.3">
      <c r="A266" s="14">
        <v>1265</v>
      </c>
      <c r="B266" s="3" t="s">
        <v>149</v>
      </c>
      <c r="C266" s="3" t="s">
        <v>17</v>
      </c>
      <c r="D266" s="3">
        <v>50</v>
      </c>
      <c r="E266" s="3" t="s">
        <v>52</v>
      </c>
      <c r="F266" s="3" t="s">
        <v>93</v>
      </c>
      <c r="G266" s="3" t="s">
        <v>20</v>
      </c>
      <c r="H266" s="3" t="s">
        <v>21</v>
      </c>
      <c r="I266" s="15">
        <v>43149</v>
      </c>
      <c r="J266" s="3" t="s">
        <v>22</v>
      </c>
      <c r="K266" s="15"/>
      <c r="L266" s="16">
        <v>78000</v>
      </c>
      <c r="M266" s="3">
        <v>4</v>
      </c>
      <c r="N266" s="3">
        <v>3</v>
      </c>
      <c r="O266" s="3" t="s">
        <v>22</v>
      </c>
      <c r="P266" s="17" t="s">
        <v>24</v>
      </c>
    </row>
    <row r="267" spans="1:16" x14ac:dyDescent="0.3">
      <c r="A267" s="14">
        <v>1266</v>
      </c>
      <c r="B267" s="3" t="s">
        <v>320</v>
      </c>
      <c r="C267" s="3" t="s">
        <v>26</v>
      </c>
      <c r="D267" s="3">
        <v>33</v>
      </c>
      <c r="E267" s="3" t="s">
        <v>55</v>
      </c>
      <c r="F267" s="3" t="s">
        <v>67</v>
      </c>
      <c r="G267" s="3" t="s">
        <v>49</v>
      </c>
      <c r="H267" s="3" t="s">
        <v>46</v>
      </c>
      <c r="I267" s="15">
        <v>43583</v>
      </c>
      <c r="J267" s="3" t="s">
        <v>22</v>
      </c>
      <c r="K267" s="15"/>
      <c r="L267" s="16">
        <v>37100</v>
      </c>
      <c r="M267" s="3">
        <v>3</v>
      </c>
      <c r="N267" s="3">
        <v>3</v>
      </c>
      <c r="O267" s="3" t="s">
        <v>22</v>
      </c>
      <c r="P267" s="17" t="s">
        <v>24</v>
      </c>
    </row>
    <row r="268" spans="1:16" x14ac:dyDescent="0.3">
      <c r="A268" s="14">
        <v>1267</v>
      </c>
      <c r="B268" s="3" t="s">
        <v>321</v>
      </c>
      <c r="C268" s="3" t="s">
        <v>17</v>
      </c>
      <c r="D268" s="3">
        <v>30</v>
      </c>
      <c r="E268" s="3" t="s">
        <v>35</v>
      </c>
      <c r="F268" s="3" t="s">
        <v>36</v>
      </c>
      <c r="G268" s="3" t="s">
        <v>57</v>
      </c>
      <c r="H268" s="3" t="s">
        <v>21</v>
      </c>
      <c r="I268" s="15">
        <v>43973</v>
      </c>
      <c r="J268" s="3" t="s">
        <v>22</v>
      </c>
      <c r="K268" s="15"/>
      <c r="L268" s="16">
        <v>89700</v>
      </c>
      <c r="M268" s="3">
        <v>2</v>
      </c>
      <c r="N268" s="3">
        <v>5</v>
      </c>
      <c r="O268" s="3" t="s">
        <v>23</v>
      </c>
      <c r="P268" s="17" t="s">
        <v>42</v>
      </c>
    </row>
    <row r="269" spans="1:16" x14ac:dyDescent="0.3">
      <c r="A269" s="14">
        <v>1268</v>
      </c>
      <c r="B269" s="3" t="s">
        <v>322</v>
      </c>
      <c r="C269" s="3" t="s">
        <v>17</v>
      </c>
      <c r="D269" s="3">
        <v>31</v>
      </c>
      <c r="E269" s="3" t="s">
        <v>27</v>
      </c>
      <c r="F269" s="3" t="s">
        <v>28</v>
      </c>
      <c r="G269" s="3" t="s">
        <v>49</v>
      </c>
      <c r="H269" s="3" t="s">
        <v>46</v>
      </c>
      <c r="I269" s="15">
        <v>44011</v>
      </c>
      <c r="J269" s="3" t="s">
        <v>22</v>
      </c>
      <c r="K269" s="15"/>
      <c r="L269" s="16">
        <v>44700</v>
      </c>
      <c r="M269" s="3">
        <v>4</v>
      </c>
      <c r="N269" s="3">
        <v>3</v>
      </c>
      <c r="O269" s="3" t="s">
        <v>23</v>
      </c>
      <c r="P269" s="17" t="s">
        <v>24</v>
      </c>
    </row>
    <row r="270" spans="1:16" x14ac:dyDescent="0.3">
      <c r="A270" s="14">
        <v>1269</v>
      </c>
      <c r="B270" s="3" t="s">
        <v>323</v>
      </c>
      <c r="C270" s="3" t="s">
        <v>26</v>
      </c>
      <c r="D270" s="3">
        <v>35</v>
      </c>
      <c r="E270" s="3" t="s">
        <v>55</v>
      </c>
      <c r="F270" s="3" t="s">
        <v>56</v>
      </c>
      <c r="G270" s="3" t="s">
        <v>20</v>
      </c>
      <c r="H270" s="3" t="s">
        <v>21</v>
      </c>
      <c r="I270" s="15">
        <v>44017</v>
      </c>
      <c r="J270" s="3" t="s">
        <v>22</v>
      </c>
      <c r="K270" s="15"/>
      <c r="L270" s="16">
        <v>56100</v>
      </c>
      <c r="M270" s="3">
        <v>3</v>
      </c>
      <c r="N270" s="3">
        <v>1</v>
      </c>
      <c r="O270" s="3" t="s">
        <v>22</v>
      </c>
      <c r="P270" s="17" t="s">
        <v>42</v>
      </c>
    </row>
    <row r="271" spans="1:16" x14ac:dyDescent="0.3">
      <c r="A271" s="14">
        <v>1270</v>
      </c>
      <c r="B271" s="3" t="s">
        <v>243</v>
      </c>
      <c r="C271" s="3" t="s">
        <v>26</v>
      </c>
      <c r="D271" s="3">
        <v>51</v>
      </c>
      <c r="E271" s="3" t="s">
        <v>44</v>
      </c>
      <c r="F271" s="3" t="s">
        <v>45</v>
      </c>
      <c r="G271" s="3" t="s">
        <v>68</v>
      </c>
      <c r="H271" s="3" t="s">
        <v>33</v>
      </c>
      <c r="I271" s="15">
        <v>43669</v>
      </c>
      <c r="J271" s="3" t="s">
        <v>22</v>
      </c>
      <c r="K271" s="15"/>
      <c r="L271" s="16">
        <v>77800</v>
      </c>
      <c r="M271" s="3">
        <v>4</v>
      </c>
      <c r="N271" s="3">
        <v>5</v>
      </c>
      <c r="O271" s="3" t="s">
        <v>23</v>
      </c>
      <c r="P271" s="17" t="s">
        <v>42</v>
      </c>
    </row>
    <row r="272" spans="1:16" x14ac:dyDescent="0.3">
      <c r="A272" s="14">
        <v>1271</v>
      </c>
      <c r="B272" s="3" t="s">
        <v>324</v>
      </c>
      <c r="C272" s="3" t="s">
        <v>26</v>
      </c>
      <c r="D272" s="3">
        <v>43</v>
      </c>
      <c r="E272" s="3" t="s">
        <v>38</v>
      </c>
      <c r="F272" s="3" t="s">
        <v>82</v>
      </c>
      <c r="G272" s="3" t="s">
        <v>49</v>
      </c>
      <c r="H272" s="3" t="s">
        <v>21</v>
      </c>
      <c r="I272" s="15">
        <v>45274</v>
      </c>
      <c r="J272" s="3" t="s">
        <v>22</v>
      </c>
      <c r="K272" s="15"/>
      <c r="L272" s="16">
        <v>51700</v>
      </c>
      <c r="M272" s="3">
        <v>3</v>
      </c>
      <c r="N272" s="3">
        <v>2</v>
      </c>
      <c r="O272" s="3" t="s">
        <v>22</v>
      </c>
      <c r="P272" s="17" t="s">
        <v>42</v>
      </c>
    </row>
    <row r="273" spans="1:16" x14ac:dyDescent="0.3">
      <c r="A273" s="14">
        <v>1272</v>
      </c>
      <c r="B273" s="3" t="s">
        <v>303</v>
      </c>
      <c r="C273" s="3" t="s">
        <v>26</v>
      </c>
      <c r="D273" s="3">
        <v>39</v>
      </c>
      <c r="E273" s="3" t="s">
        <v>52</v>
      </c>
      <c r="F273" s="3" t="s">
        <v>53</v>
      </c>
      <c r="G273" s="3" t="s">
        <v>86</v>
      </c>
      <c r="H273" s="3" t="s">
        <v>33</v>
      </c>
      <c r="I273" s="15">
        <v>43467</v>
      </c>
      <c r="J273" s="3" t="s">
        <v>22</v>
      </c>
      <c r="K273" s="15"/>
      <c r="L273" s="16">
        <v>54200</v>
      </c>
      <c r="M273" s="3">
        <v>3</v>
      </c>
      <c r="N273" s="3">
        <v>5</v>
      </c>
      <c r="O273" s="3" t="s">
        <v>22</v>
      </c>
      <c r="P273" s="17" t="s">
        <v>42</v>
      </c>
    </row>
    <row r="274" spans="1:16" x14ac:dyDescent="0.3">
      <c r="A274" s="14">
        <v>1273</v>
      </c>
      <c r="B274" s="3" t="s">
        <v>293</v>
      </c>
      <c r="C274" s="3" t="s">
        <v>17</v>
      </c>
      <c r="D274" s="3">
        <v>58</v>
      </c>
      <c r="E274" s="3" t="s">
        <v>75</v>
      </c>
      <c r="F274" s="3" t="s">
        <v>76</v>
      </c>
      <c r="G274" s="3" t="s">
        <v>20</v>
      </c>
      <c r="H274" s="3" t="s">
        <v>30</v>
      </c>
      <c r="I274" s="15">
        <v>43648</v>
      </c>
      <c r="J274" s="3" t="s">
        <v>22</v>
      </c>
      <c r="K274" s="15"/>
      <c r="L274" s="16">
        <v>69900</v>
      </c>
      <c r="M274" s="3">
        <v>5</v>
      </c>
      <c r="N274" s="3">
        <v>5</v>
      </c>
      <c r="O274" s="3" t="s">
        <v>22</v>
      </c>
      <c r="P274" s="17" t="s">
        <v>42</v>
      </c>
    </row>
    <row r="275" spans="1:16" x14ac:dyDescent="0.3">
      <c r="A275" s="14">
        <v>1274</v>
      </c>
      <c r="B275" s="3" t="s">
        <v>325</v>
      </c>
      <c r="C275" s="3" t="s">
        <v>26</v>
      </c>
      <c r="D275" s="3">
        <v>34</v>
      </c>
      <c r="E275" s="3" t="s">
        <v>44</v>
      </c>
      <c r="F275" s="3" t="s">
        <v>45</v>
      </c>
      <c r="G275" s="3" t="s">
        <v>60</v>
      </c>
      <c r="H275" s="3" t="s">
        <v>21</v>
      </c>
      <c r="I275" s="15">
        <v>43414</v>
      </c>
      <c r="J275" s="3" t="s">
        <v>22</v>
      </c>
      <c r="K275" s="15"/>
      <c r="L275" s="16">
        <v>86500</v>
      </c>
      <c r="M275" s="3">
        <v>4</v>
      </c>
      <c r="N275" s="3">
        <v>2</v>
      </c>
      <c r="O275" s="3" t="s">
        <v>23</v>
      </c>
      <c r="P275" s="17" t="s">
        <v>24</v>
      </c>
    </row>
    <row r="276" spans="1:16" x14ac:dyDescent="0.3">
      <c r="A276" s="14">
        <v>1275</v>
      </c>
      <c r="B276" s="3" t="s">
        <v>326</v>
      </c>
      <c r="C276" s="3" t="s">
        <v>17</v>
      </c>
      <c r="D276" s="3">
        <v>44</v>
      </c>
      <c r="E276" s="3" t="s">
        <v>18</v>
      </c>
      <c r="F276" s="3" t="s">
        <v>59</v>
      </c>
      <c r="G276" s="3" t="s">
        <v>29</v>
      </c>
      <c r="H276" s="3" t="s">
        <v>33</v>
      </c>
      <c r="I276" s="15">
        <v>43943</v>
      </c>
      <c r="J276" s="3" t="s">
        <v>22</v>
      </c>
      <c r="K276" s="15"/>
      <c r="L276" s="16">
        <v>82400</v>
      </c>
      <c r="M276" s="3">
        <v>4</v>
      </c>
      <c r="N276" s="3">
        <v>5</v>
      </c>
      <c r="O276" s="3" t="s">
        <v>22</v>
      </c>
      <c r="P276" s="17" t="s">
        <v>24</v>
      </c>
    </row>
    <row r="277" spans="1:16" x14ac:dyDescent="0.3">
      <c r="A277" s="14">
        <v>1276</v>
      </c>
      <c r="B277" s="3" t="s">
        <v>138</v>
      </c>
      <c r="C277" s="3" t="s">
        <v>17</v>
      </c>
      <c r="D277" s="3">
        <v>33</v>
      </c>
      <c r="E277" s="3" t="s">
        <v>75</v>
      </c>
      <c r="F277" s="3" t="s">
        <v>76</v>
      </c>
      <c r="G277" s="3" t="s">
        <v>20</v>
      </c>
      <c r="H277" s="3" t="s">
        <v>33</v>
      </c>
      <c r="I277" s="15">
        <v>44556</v>
      </c>
      <c r="J277" s="3" t="s">
        <v>22</v>
      </c>
      <c r="K277" s="15"/>
      <c r="L277" s="16">
        <v>69700</v>
      </c>
      <c r="M277" s="3">
        <v>1</v>
      </c>
      <c r="N277" s="3">
        <v>1</v>
      </c>
      <c r="O277" s="3" t="s">
        <v>22</v>
      </c>
      <c r="P277" s="17" t="s">
        <v>42</v>
      </c>
    </row>
    <row r="278" spans="1:16" x14ac:dyDescent="0.3">
      <c r="A278" s="14">
        <v>1277</v>
      </c>
      <c r="B278" s="3" t="s">
        <v>292</v>
      </c>
      <c r="C278" s="3" t="s">
        <v>17</v>
      </c>
      <c r="D278" s="3">
        <v>42</v>
      </c>
      <c r="E278" s="3" t="s">
        <v>38</v>
      </c>
      <c r="F278" s="3" t="s">
        <v>39</v>
      </c>
      <c r="G278" s="3" t="s">
        <v>20</v>
      </c>
      <c r="H278" s="3" t="s">
        <v>21</v>
      </c>
      <c r="I278" s="15">
        <v>45051</v>
      </c>
      <c r="J278" s="3" t="s">
        <v>22</v>
      </c>
      <c r="K278" s="15"/>
      <c r="L278" s="16">
        <v>58000</v>
      </c>
      <c r="M278" s="3">
        <v>5</v>
      </c>
      <c r="N278" s="3">
        <v>5</v>
      </c>
      <c r="O278" s="3" t="s">
        <v>22</v>
      </c>
      <c r="P278" s="17" t="s">
        <v>24</v>
      </c>
    </row>
    <row r="279" spans="1:16" x14ac:dyDescent="0.3">
      <c r="A279" s="14">
        <v>1278</v>
      </c>
      <c r="B279" s="3" t="s">
        <v>327</v>
      </c>
      <c r="C279" s="3" t="s">
        <v>17</v>
      </c>
      <c r="D279" s="3">
        <v>46</v>
      </c>
      <c r="E279" s="3" t="s">
        <v>18</v>
      </c>
      <c r="F279" s="3" t="s">
        <v>19</v>
      </c>
      <c r="G279" s="3" t="s">
        <v>49</v>
      </c>
      <c r="H279" s="3" t="s">
        <v>30</v>
      </c>
      <c r="I279" s="15">
        <v>43760</v>
      </c>
      <c r="J279" s="3" t="s">
        <v>23</v>
      </c>
      <c r="K279" s="15" t="s">
        <v>328</v>
      </c>
      <c r="L279" s="16">
        <v>52900</v>
      </c>
      <c r="M279" s="3">
        <v>4</v>
      </c>
      <c r="N279" s="3">
        <v>1</v>
      </c>
      <c r="O279" s="3" t="s">
        <v>23</v>
      </c>
      <c r="P279" s="17" t="s">
        <v>24</v>
      </c>
    </row>
    <row r="280" spans="1:16" x14ac:dyDescent="0.3">
      <c r="A280" s="14">
        <v>1279</v>
      </c>
      <c r="B280" s="3" t="s">
        <v>73</v>
      </c>
      <c r="C280" s="3" t="s">
        <v>26</v>
      </c>
      <c r="D280" s="3">
        <v>42</v>
      </c>
      <c r="E280" s="3" t="s">
        <v>38</v>
      </c>
      <c r="F280" s="3" t="s">
        <v>82</v>
      </c>
      <c r="G280" s="3" t="s">
        <v>68</v>
      </c>
      <c r="H280" s="3" t="s">
        <v>33</v>
      </c>
      <c r="I280" s="15">
        <v>44487</v>
      </c>
      <c r="J280" s="3" t="s">
        <v>22</v>
      </c>
      <c r="K280" s="15"/>
      <c r="L280" s="16">
        <v>52800</v>
      </c>
      <c r="M280" s="3">
        <v>5</v>
      </c>
      <c r="N280" s="3">
        <v>2</v>
      </c>
      <c r="O280" s="3" t="s">
        <v>23</v>
      </c>
      <c r="P280" s="17" t="s">
        <v>42</v>
      </c>
    </row>
    <row r="281" spans="1:16" x14ac:dyDescent="0.3">
      <c r="A281" s="14">
        <v>1280</v>
      </c>
      <c r="B281" s="3" t="s">
        <v>327</v>
      </c>
      <c r="C281" s="3" t="s">
        <v>17</v>
      </c>
      <c r="D281" s="3">
        <v>50</v>
      </c>
      <c r="E281" s="3" t="s">
        <v>44</v>
      </c>
      <c r="F281" s="3" t="s">
        <v>70</v>
      </c>
      <c r="G281" s="3" t="s">
        <v>60</v>
      </c>
      <c r="H281" s="3" t="s">
        <v>46</v>
      </c>
      <c r="I281" s="15">
        <v>44970</v>
      </c>
      <c r="J281" s="3" t="s">
        <v>22</v>
      </c>
      <c r="K281" s="15"/>
      <c r="L281" s="16">
        <v>45300</v>
      </c>
      <c r="M281" s="3">
        <v>5</v>
      </c>
      <c r="N281" s="3">
        <v>4</v>
      </c>
      <c r="O281" s="3" t="s">
        <v>23</v>
      </c>
      <c r="P281" s="17" t="s">
        <v>42</v>
      </c>
    </row>
    <row r="282" spans="1:16" x14ac:dyDescent="0.3">
      <c r="A282" s="14">
        <v>1281</v>
      </c>
      <c r="B282" s="3" t="s">
        <v>329</v>
      </c>
      <c r="C282" s="3" t="s">
        <v>26</v>
      </c>
      <c r="D282" s="3">
        <v>31</v>
      </c>
      <c r="E282" s="3" t="s">
        <v>55</v>
      </c>
      <c r="F282" s="3" t="s">
        <v>67</v>
      </c>
      <c r="G282" s="3" t="s">
        <v>62</v>
      </c>
      <c r="H282" s="3" t="s">
        <v>30</v>
      </c>
      <c r="I282" s="15">
        <v>43585</v>
      </c>
      <c r="J282" s="3" t="s">
        <v>23</v>
      </c>
      <c r="K282" s="15" t="s">
        <v>330</v>
      </c>
      <c r="L282" s="16">
        <v>38800</v>
      </c>
      <c r="M282" s="3">
        <v>4</v>
      </c>
      <c r="N282" s="3">
        <v>2</v>
      </c>
      <c r="O282" s="3" t="s">
        <v>23</v>
      </c>
      <c r="P282" s="17" t="s">
        <v>24</v>
      </c>
    </row>
    <row r="283" spans="1:16" x14ac:dyDescent="0.3">
      <c r="A283" s="14">
        <v>1282</v>
      </c>
      <c r="B283" s="3" t="s">
        <v>331</v>
      </c>
      <c r="C283" s="3" t="s">
        <v>26</v>
      </c>
      <c r="D283" s="3">
        <v>24</v>
      </c>
      <c r="E283" s="3" t="s">
        <v>27</v>
      </c>
      <c r="F283" s="3" t="s">
        <v>155</v>
      </c>
      <c r="G283" s="3" t="s">
        <v>68</v>
      </c>
      <c r="H283" s="3" t="s">
        <v>33</v>
      </c>
      <c r="I283" s="15">
        <v>45011</v>
      </c>
      <c r="J283" s="3" t="s">
        <v>22</v>
      </c>
      <c r="K283" s="15"/>
      <c r="L283" s="16">
        <v>34800</v>
      </c>
      <c r="M283" s="3">
        <v>3</v>
      </c>
      <c r="N283" s="3">
        <v>2</v>
      </c>
      <c r="O283" s="3" t="s">
        <v>23</v>
      </c>
      <c r="P283" s="17" t="s">
        <v>24</v>
      </c>
    </row>
    <row r="284" spans="1:16" x14ac:dyDescent="0.3">
      <c r="A284" s="14">
        <v>1283</v>
      </c>
      <c r="B284" s="3" t="s">
        <v>332</v>
      </c>
      <c r="C284" s="3" t="s">
        <v>26</v>
      </c>
      <c r="D284" s="3">
        <v>28</v>
      </c>
      <c r="E284" s="3" t="s">
        <v>38</v>
      </c>
      <c r="F284" s="3" t="s">
        <v>82</v>
      </c>
      <c r="G284" s="3" t="s">
        <v>62</v>
      </c>
      <c r="H284" s="3" t="s">
        <v>33</v>
      </c>
      <c r="I284" s="15">
        <v>43866</v>
      </c>
      <c r="J284" s="3" t="s">
        <v>22</v>
      </c>
      <c r="K284" s="15"/>
      <c r="L284" s="16">
        <v>43600</v>
      </c>
      <c r="M284" s="3">
        <v>4</v>
      </c>
      <c r="N284" s="3">
        <v>3</v>
      </c>
      <c r="O284" s="3" t="s">
        <v>23</v>
      </c>
      <c r="P284" s="17" t="s">
        <v>24</v>
      </c>
    </row>
    <row r="285" spans="1:16" x14ac:dyDescent="0.3">
      <c r="A285" s="14">
        <v>1284</v>
      </c>
      <c r="B285" s="3" t="s">
        <v>186</v>
      </c>
      <c r="C285" s="3" t="s">
        <v>26</v>
      </c>
      <c r="D285" s="3">
        <v>25</v>
      </c>
      <c r="E285" s="3" t="s">
        <v>18</v>
      </c>
      <c r="F285" s="3" t="s">
        <v>59</v>
      </c>
      <c r="G285" s="3" t="s">
        <v>20</v>
      </c>
      <c r="H285" s="3" t="s">
        <v>33</v>
      </c>
      <c r="I285" s="15">
        <v>45335</v>
      </c>
      <c r="J285" s="3" t="s">
        <v>22</v>
      </c>
      <c r="K285" s="15"/>
      <c r="L285" s="16">
        <v>88800</v>
      </c>
      <c r="M285" s="3">
        <v>3</v>
      </c>
      <c r="N285" s="3">
        <v>5</v>
      </c>
      <c r="O285" s="3" t="s">
        <v>23</v>
      </c>
      <c r="P285" s="17" t="s">
        <v>42</v>
      </c>
    </row>
    <row r="286" spans="1:16" x14ac:dyDescent="0.3">
      <c r="A286" s="14">
        <v>1285</v>
      </c>
      <c r="B286" s="3" t="s">
        <v>333</v>
      </c>
      <c r="C286" s="3" t="s">
        <v>17</v>
      </c>
      <c r="D286" s="3">
        <v>29</v>
      </c>
      <c r="E286" s="3" t="s">
        <v>27</v>
      </c>
      <c r="F286" s="3" t="s">
        <v>155</v>
      </c>
      <c r="G286" s="3" t="s">
        <v>68</v>
      </c>
      <c r="H286" s="3" t="s">
        <v>30</v>
      </c>
      <c r="I286" s="15">
        <v>43454</v>
      </c>
      <c r="J286" s="3" t="s">
        <v>23</v>
      </c>
      <c r="K286" s="15" t="s">
        <v>334</v>
      </c>
      <c r="L286" s="16">
        <v>42700</v>
      </c>
      <c r="M286" s="3">
        <v>3</v>
      </c>
      <c r="N286" s="3">
        <v>1</v>
      </c>
      <c r="O286" s="3" t="s">
        <v>23</v>
      </c>
      <c r="P286" s="17" t="s">
        <v>24</v>
      </c>
    </row>
    <row r="287" spans="1:16" x14ac:dyDescent="0.3">
      <c r="A287" s="14">
        <v>1286</v>
      </c>
      <c r="B287" s="3" t="s">
        <v>335</v>
      </c>
      <c r="C287" s="3" t="s">
        <v>17</v>
      </c>
      <c r="D287" s="3">
        <v>34</v>
      </c>
      <c r="E287" s="3" t="s">
        <v>52</v>
      </c>
      <c r="F287" s="3" t="s">
        <v>184</v>
      </c>
      <c r="G287" s="3" t="s">
        <v>62</v>
      </c>
      <c r="H287" s="3" t="s">
        <v>21</v>
      </c>
      <c r="I287" s="15">
        <v>43129</v>
      </c>
      <c r="J287" s="3" t="s">
        <v>22</v>
      </c>
      <c r="K287" s="15"/>
      <c r="L287" s="16">
        <v>44100</v>
      </c>
      <c r="M287" s="3">
        <v>1</v>
      </c>
      <c r="N287" s="3">
        <v>5</v>
      </c>
      <c r="O287" s="3" t="s">
        <v>23</v>
      </c>
      <c r="P287" s="17" t="s">
        <v>24</v>
      </c>
    </row>
    <row r="288" spans="1:16" x14ac:dyDescent="0.3">
      <c r="A288" s="14">
        <v>1287</v>
      </c>
      <c r="B288" s="3" t="s">
        <v>336</v>
      </c>
      <c r="C288" s="3" t="s">
        <v>26</v>
      </c>
      <c r="D288" s="3">
        <v>30</v>
      </c>
      <c r="E288" s="3" t="s">
        <v>44</v>
      </c>
      <c r="F288" s="3" t="s">
        <v>70</v>
      </c>
      <c r="G288" s="3" t="s">
        <v>29</v>
      </c>
      <c r="H288" s="3" t="s">
        <v>33</v>
      </c>
      <c r="I288" s="15">
        <v>44865</v>
      </c>
      <c r="J288" s="3" t="s">
        <v>22</v>
      </c>
      <c r="K288" s="15"/>
      <c r="L288" s="16">
        <v>49200</v>
      </c>
      <c r="M288" s="3">
        <v>2</v>
      </c>
      <c r="N288" s="3">
        <v>3</v>
      </c>
      <c r="O288" s="3" t="s">
        <v>22</v>
      </c>
      <c r="P288" s="17" t="s">
        <v>24</v>
      </c>
    </row>
    <row r="289" spans="1:16" x14ac:dyDescent="0.3">
      <c r="A289" s="14">
        <v>1288</v>
      </c>
      <c r="B289" s="3" t="s">
        <v>337</v>
      </c>
      <c r="C289" s="3" t="s">
        <v>17</v>
      </c>
      <c r="D289" s="3">
        <v>46</v>
      </c>
      <c r="E289" s="3" t="s">
        <v>52</v>
      </c>
      <c r="F289" s="3" t="s">
        <v>53</v>
      </c>
      <c r="G289" s="3" t="s">
        <v>29</v>
      </c>
      <c r="H289" s="3" t="s">
        <v>21</v>
      </c>
      <c r="I289" s="15">
        <v>43488</v>
      </c>
      <c r="J289" s="3" t="s">
        <v>22</v>
      </c>
      <c r="K289" s="15"/>
      <c r="L289" s="16">
        <v>45700</v>
      </c>
      <c r="M289" s="3">
        <v>3</v>
      </c>
      <c r="N289" s="3">
        <v>4</v>
      </c>
      <c r="O289" s="3" t="s">
        <v>22</v>
      </c>
      <c r="P289" s="17" t="s">
        <v>24</v>
      </c>
    </row>
    <row r="290" spans="1:16" x14ac:dyDescent="0.3">
      <c r="A290" s="14">
        <v>1289</v>
      </c>
      <c r="B290" s="3" t="s">
        <v>233</v>
      </c>
      <c r="C290" s="3" t="s">
        <v>26</v>
      </c>
      <c r="D290" s="3">
        <v>56</v>
      </c>
      <c r="E290" s="3" t="s">
        <v>55</v>
      </c>
      <c r="F290" s="3" t="s">
        <v>67</v>
      </c>
      <c r="G290" s="3" t="s">
        <v>86</v>
      </c>
      <c r="H290" s="3" t="s">
        <v>46</v>
      </c>
      <c r="I290" s="15">
        <v>44562</v>
      </c>
      <c r="J290" s="3" t="s">
        <v>22</v>
      </c>
      <c r="K290" s="15"/>
      <c r="L290" s="16">
        <v>39000</v>
      </c>
      <c r="M290" s="3">
        <v>3</v>
      </c>
      <c r="N290" s="3">
        <v>2</v>
      </c>
      <c r="O290" s="3" t="s">
        <v>22</v>
      </c>
      <c r="P290" s="17" t="s">
        <v>42</v>
      </c>
    </row>
    <row r="291" spans="1:16" x14ac:dyDescent="0.3">
      <c r="A291" s="14">
        <v>1290</v>
      </c>
      <c r="B291" s="3" t="s">
        <v>31</v>
      </c>
      <c r="C291" s="3" t="s">
        <v>26</v>
      </c>
      <c r="D291" s="3">
        <v>45</v>
      </c>
      <c r="E291" s="3" t="s">
        <v>18</v>
      </c>
      <c r="F291" s="3" t="s">
        <v>124</v>
      </c>
      <c r="G291" s="3" t="s">
        <v>57</v>
      </c>
      <c r="H291" s="3" t="s">
        <v>21</v>
      </c>
      <c r="I291" s="15">
        <v>43364</v>
      </c>
      <c r="J291" s="3" t="s">
        <v>23</v>
      </c>
      <c r="K291" s="15" t="s">
        <v>338</v>
      </c>
      <c r="L291" s="16">
        <v>86300</v>
      </c>
      <c r="M291" s="3">
        <v>5</v>
      </c>
      <c r="N291" s="3">
        <v>1</v>
      </c>
      <c r="O291" s="3" t="s">
        <v>23</v>
      </c>
      <c r="P291" s="17" t="s">
        <v>24</v>
      </c>
    </row>
    <row r="292" spans="1:16" x14ac:dyDescent="0.3">
      <c r="A292" s="14">
        <v>1291</v>
      </c>
      <c r="B292" s="3" t="s">
        <v>339</v>
      </c>
      <c r="C292" s="3" t="s">
        <v>26</v>
      </c>
      <c r="D292" s="3">
        <v>38</v>
      </c>
      <c r="E292" s="3" t="s">
        <v>27</v>
      </c>
      <c r="F292" s="3" t="s">
        <v>155</v>
      </c>
      <c r="G292" s="3" t="s">
        <v>49</v>
      </c>
      <c r="H292" s="3" t="s">
        <v>33</v>
      </c>
      <c r="I292" s="15">
        <v>44867</v>
      </c>
      <c r="J292" s="3" t="s">
        <v>23</v>
      </c>
      <c r="K292" s="15" t="s">
        <v>340</v>
      </c>
      <c r="L292" s="16">
        <v>45500</v>
      </c>
      <c r="M292" s="3">
        <v>5</v>
      </c>
      <c r="N292" s="3">
        <v>5</v>
      </c>
      <c r="O292" s="3" t="s">
        <v>23</v>
      </c>
      <c r="P292" s="17" t="s">
        <v>24</v>
      </c>
    </row>
    <row r="293" spans="1:16" x14ac:dyDescent="0.3">
      <c r="A293" s="14">
        <v>1292</v>
      </c>
      <c r="B293" s="3" t="s">
        <v>341</v>
      </c>
      <c r="C293" s="3" t="s">
        <v>26</v>
      </c>
      <c r="D293" s="3">
        <v>35</v>
      </c>
      <c r="E293" s="3" t="s">
        <v>75</v>
      </c>
      <c r="F293" s="3" t="s">
        <v>76</v>
      </c>
      <c r="G293" s="3" t="s">
        <v>29</v>
      </c>
      <c r="H293" s="3" t="s">
        <v>33</v>
      </c>
      <c r="I293" s="15">
        <v>44163</v>
      </c>
      <c r="J293" s="3" t="s">
        <v>22</v>
      </c>
      <c r="K293" s="15"/>
      <c r="L293" s="16">
        <v>75100</v>
      </c>
      <c r="M293" s="3">
        <v>4</v>
      </c>
      <c r="N293" s="3">
        <v>2</v>
      </c>
      <c r="O293" s="3" t="s">
        <v>23</v>
      </c>
      <c r="P293" s="17" t="s">
        <v>42</v>
      </c>
    </row>
    <row r="294" spans="1:16" x14ac:dyDescent="0.3">
      <c r="A294" s="14">
        <v>1293</v>
      </c>
      <c r="B294" s="3" t="s">
        <v>342</v>
      </c>
      <c r="C294" s="3" t="s">
        <v>17</v>
      </c>
      <c r="D294" s="3">
        <v>26</v>
      </c>
      <c r="E294" s="3" t="s">
        <v>44</v>
      </c>
      <c r="F294" s="3" t="s">
        <v>70</v>
      </c>
      <c r="G294" s="3" t="s">
        <v>20</v>
      </c>
      <c r="H294" s="3" t="s">
        <v>33</v>
      </c>
      <c r="I294" s="15">
        <v>44581</v>
      </c>
      <c r="J294" s="3" t="s">
        <v>22</v>
      </c>
      <c r="K294" s="15"/>
      <c r="L294" s="16">
        <v>37000</v>
      </c>
      <c r="M294" s="3">
        <v>4</v>
      </c>
      <c r="N294" s="3">
        <v>5</v>
      </c>
      <c r="O294" s="3" t="s">
        <v>22</v>
      </c>
      <c r="P294" s="17" t="s">
        <v>24</v>
      </c>
    </row>
    <row r="295" spans="1:16" x14ac:dyDescent="0.3">
      <c r="A295" s="14">
        <v>1294</v>
      </c>
      <c r="B295" s="3" t="s">
        <v>166</v>
      </c>
      <c r="C295" s="3" t="s">
        <v>17</v>
      </c>
      <c r="D295" s="3">
        <v>50</v>
      </c>
      <c r="E295" s="3" t="s">
        <v>52</v>
      </c>
      <c r="F295" s="3" t="s">
        <v>53</v>
      </c>
      <c r="G295" s="3" t="s">
        <v>57</v>
      </c>
      <c r="H295" s="3" t="s">
        <v>46</v>
      </c>
      <c r="I295" s="15">
        <v>43489</v>
      </c>
      <c r="J295" s="3" t="s">
        <v>22</v>
      </c>
      <c r="K295" s="15"/>
      <c r="L295" s="16">
        <v>59700</v>
      </c>
      <c r="M295" s="3">
        <v>3</v>
      </c>
      <c r="N295" s="3">
        <v>2</v>
      </c>
      <c r="O295" s="3" t="s">
        <v>23</v>
      </c>
      <c r="P295" s="17" t="s">
        <v>24</v>
      </c>
    </row>
    <row r="296" spans="1:16" x14ac:dyDescent="0.3">
      <c r="A296" s="14">
        <v>1295</v>
      </c>
      <c r="B296" s="3" t="s">
        <v>343</v>
      </c>
      <c r="C296" s="3" t="s">
        <v>26</v>
      </c>
      <c r="D296" s="3">
        <v>22</v>
      </c>
      <c r="E296" s="3" t="s">
        <v>27</v>
      </c>
      <c r="F296" s="3" t="s">
        <v>32</v>
      </c>
      <c r="G296" s="3" t="s">
        <v>86</v>
      </c>
      <c r="H296" s="3" t="s">
        <v>21</v>
      </c>
      <c r="I296" s="15">
        <v>43879</v>
      </c>
      <c r="J296" s="3" t="s">
        <v>22</v>
      </c>
      <c r="K296" s="15"/>
      <c r="L296" s="16">
        <v>63300</v>
      </c>
      <c r="M296" s="3">
        <v>2</v>
      </c>
      <c r="N296" s="3">
        <v>5</v>
      </c>
      <c r="O296" s="3" t="s">
        <v>22</v>
      </c>
      <c r="P296" s="17" t="s">
        <v>24</v>
      </c>
    </row>
    <row r="297" spans="1:16" x14ac:dyDescent="0.3">
      <c r="A297" s="14">
        <v>1296</v>
      </c>
      <c r="B297" s="3" t="s">
        <v>344</v>
      </c>
      <c r="C297" s="3" t="s">
        <v>26</v>
      </c>
      <c r="D297" s="3">
        <v>38</v>
      </c>
      <c r="E297" s="3" t="s">
        <v>38</v>
      </c>
      <c r="F297" s="3" t="s">
        <v>82</v>
      </c>
      <c r="G297" s="3" t="s">
        <v>29</v>
      </c>
      <c r="H297" s="3" t="s">
        <v>30</v>
      </c>
      <c r="I297" s="15">
        <v>43465</v>
      </c>
      <c r="J297" s="3" t="s">
        <v>23</v>
      </c>
      <c r="K297" s="15" t="s">
        <v>345</v>
      </c>
      <c r="L297" s="16">
        <v>51700</v>
      </c>
      <c r="M297" s="3">
        <v>3</v>
      </c>
      <c r="N297" s="3">
        <v>3</v>
      </c>
      <c r="O297" s="3" t="s">
        <v>23</v>
      </c>
      <c r="P297" s="17" t="s">
        <v>24</v>
      </c>
    </row>
    <row r="298" spans="1:16" x14ac:dyDescent="0.3">
      <c r="A298" s="14">
        <v>1297</v>
      </c>
      <c r="B298" s="3" t="s">
        <v>271</v>
      </c>
      <c r="C298" s="3" t="s">
        <v>26</v>
      </c>
      <c r="D298" s="3">
        <v>45</v>
      </c>
      <c r="E298" s="3" t="s">
        <v>35</v>
      </c>
      <c r="F298" s="3" t="s">
        <v>84</v>
      </c>
      <c r="G298" s="3" t="s">
        <v>49</v>
      </c>
      <c r="H298" s="3" t="s">
        <v>21</v>
      </c>
      <c r="I298" s="15">
        <v>43781</v>
      </c>
      <c r="J298" s="3" t="s">
        <v>22</v>
      </c>
      <c r="K298" s="15"/>
      <c r="L298" s="16">
        <v>68800</v>
      </c>
      <c r="M298" s="3">
        <v>2</v>
      </c>
      <c r="N298" s="3">
        <v>2</v>
      </c>
      <c r="O298" s="3" t="s">
        <v>22</v>
      </c>
      <c r="P298" s="17" t="s">
        <v>24</v>
      </c>
    </row>
    <row r="299" spans="1:16" x14ac:dyDescent="0.3">
      <c r="A299" s="14">
        <v>1298</v>
      </c>
      <c r="B299" s="3" t="s">
        <v>186</v>
      </c>
      <c r="C299" s="3" t="s">
        <v>26</v>
      </c>
      <c r="D299" s="3">
        <v>37</v>
      </c>
      <c r="E299" s="3" t="s">
        <v>27</v>
      </c>
      <c r="F299" s="3" t="s">
        <v>155</v>
      </c>
      <c r="G299" s="3" t="s">
        <v>57</v>
      </c>
      <c r="H299" s="3" t="s">
        <v>21</v>
      </c>
      <c r="I299" s="15">
        <v>45033</v>
      </c>
      <c r="J299" s="3" t="s">
        <v>23</v>
      </c>
      <c r="K299" s="15" t="s">
        <v>346</v>
      </c>
      <c r="L299" s="16">
        <v>38200</v>
      </c>
      <c r="M299" s="3">
        <v>1</v>
      </c>
      <c r="N299" s="3">
        <v>3</v>
      </c>
      <c r="O299" s="3" t="s">
        <v>23</v>
      </c>
      <c r="P299" s="17" t="s">
        <v>24</v>
      </c>
    </row>
    <row r="300" spans="1:16" x14ac:dyDescent="0.3">
      <c r="A300" s="14">
        <v>1299</v>
      </c>
      <c r="B300" s="3" t="s">
        <v>133</v>
      </c>
      <c r="C300" s="3" t="s">
        <v>17</v>
      </c>
      <c r="D300" s="3">
        <v>57</v>
      </c>
      <c r="E300" s="3" t="s">
        <v>38</v>
      </c>
      <c r="F300" s="3" t="s">
        <v>82</v>
      </c>
      <c r="G300" s="3" t="s">
        <v>20</v>
      </c>
      <c r="H300" s="3" t="s">
        <v>30</v>
      </c>
      <c r="I300" s="15">
        <v>45116</v>
      </c>
      <c r="J300" s="3" t="s">
        <v>22</v>
      </c>
      <c r="K300" s="15"/>
      <c r="L300" s="16">
        <v>42600</v>
      </c>
      <c r="M300" s="3">
        <v>2</v>
      </c>
      <c r="N300" s="3">
        <v>2</v>
      </c>
      <c r="O300" s="3" t="s">
        <v>23</v>
      </c>
      <c r="P300" s="17" t="s">
        <v>24</v>
      </c>
    </row>
    <row r="301" spans="1:16" x14ac:dyDescent="0.3">
      <c r="A301" s="14">
        <v>1300</v>
      </c>
      <c r="B301" s="3" t="s">
        <v>170</v>
      </c>
      <c r="C301" s="3" t="s">
        <v>26</v>
      </c>
      <c r="D301" s="3">
        <v>50</v>
      </c>
      <c r="E301" s="3" t="s">
        <v>27</v>
      </c>
      <c r="F301" s="3" t="s">
        <v>155</v>
      </c>
      <c r="G301" s="3" t="s">
        <v>49</v>
      </c>
      <c r="H301" s="3" t="s">
        <v>21</v>
      </c>
      <c r="I301" s="15">
        <v>45022</v>
      </c>
      <c r="J301" s="3" t="s">
        <v>23</v>
      </c>
      <c r="K301" s="15" t="s">
        <v>347</v>
      </c>
      <c r="L301" s="16">
        <v>37800</v>
      </c>
      <c r="M301" s="3">
        <v>3</v>
      </c>
      <c r="N301" s="3">
        <v>2</v>
      </c>
      <c r="O301" s="3" t="s">
        <v>22</v>
      </c>
      <c r="P301" s="17" t="s">
        <v>42</v>
      </c>
    </row>
    <row r="302" spans="1:16" x14ac:dyDescent="0.3">
      <c r="A302" s="14">
        <v>1301</v>
      </c>
      <c r="B302" s="3" t="s">
        <v>348</v>
      </c>
      <c r="C302" s="3" t="s">
        <v>17</v>
      </c>
      <c r="D302" s="3">
        <v>37</v>
      </c>
      <c r="E302" s="3" t="s">
        <v>44</v>
      </c>
      <c r="F302" s="3" t="s">
        <v>70</v>
      </c>
      <c r="G302" s="3" t="s">
        <v>57</v>
      </c>
      <c r="H302" s="3" t="s">
        <v>33</v>
      </c>
      <c r="I302" s="15">
        <v>45237</v>
      </c>
      <c r="J302" s="3" t="s">
        <v>22</v>
      </c>
      <c r="K302" s="15"/>
      <c r="L302" s="16">
        <v>38600</v>
      </c>
      <c r="M302" s="3">
        <v>5</v>
      </c>
      <c r="N302" s="3">
        <v>1</v>
      </c>
      <c r="O302" s="3" t="s">
        <v>22</v>
      </c>
      <c r="P302" s="17" t="s">
        <v>24</v>
      </c>
    </row>
    <row r="303" spans="1:16" x14ac:dyDescent="0.3">
      <c r="A303" s="14">
        <v>1302</v>
      </c>
      <c r="B303" s="3" t="s">
        <v>349</v>
      </c>
      <c r="C303" s="3" t="s">
        <v>26</v>
      </c>
      <c r="D303" s="3">
        <v>35</v>
      </c>
      <c r="E303" s="3" t="s">
        <v>44</v>
      </c>
      <c r="F303" s="3" t="s">
        <v>45</v>
      </c>
      <c r="G303" s="3" t="s">
        <v>86</v>
      </c>
      <c r="H303" s="3" t="s">
        <v>33</v>
      </c>
      <c r="I303" s="15">
        <v>44250</v>
      </c>
      <c r="J303" s="3" t="s">
        <v>23</v>
      </c>
      <c r="K303" s="15" t="s">
        <v>350</v>
      </c>
      <c r="L303" s="16">
        <v>84300</v>
      </c>
      <c r="M303" s="3">
        <v>3</v>
      </c>
      <c r="N303" s="3">
        <v>4</v>
      </c>
      <c r="O303" s="3" t="s">
        <v>22</v>
      </c>
      <c r="P303" s="17" t="s">
        <v>42</v>
      </c>
    </row>
    <row r="304" spans="1:16" x14ac:dyDescent="0.3">
      <c r="A304" s="14">
        <v>1303</v>
      </c>
      <c r="B304" s="3" t="s">
        <v>351</v>
      </c>
      <c r="C304" s="3" t="s">
        <v>26</v>
      </c>
      <c r="D304" s="3">
        <v>53</v>
      </c>
      <c r="E304" s="3" t="s">
        <v>38</v>
      </c>
      <c r="F304" s="3" t="s">
        <v>41</v>
      </c>
      <c r="G304" s="3" t="s">
        <v>29</v>
      </c>
      <c r="H304" s="3" t="s">
        <v>46</v>
      </c>
      <c r="I304" s="15">
        <v>43671</v>
      </c>
      <c r="J304" s="3" t="s">
        <v>22</v>
      </c>
      <c r="K304" s="15"/>
      <c r="L304" s="16">
        <v>95900</v>
      </c>
      <c r="M304" s="3">
        <v>2</v>
      </c>
      <c r="N304" s="3">
        <v>3</v>
      </c>
      <c r="O304" s="3" t="s">
        <v>23</v>
      </c>
      <c r="P304" s="17" t="s">
        <v>24</v>
      </c>
    </row>
    <row r="305" spans="1:16" x14ac:dyDescent="0.3">
      <c r="A305" s="14">
        <v>1304</v>
      </c>
      <c r="B305" s="3" t="s">
        <v>352</v>
      </c>
      <c r="C305" s="3" t="s">
        <v>26</v>
      </c>
      <c r="D305" s="3">
        <v>50</v>
      </c>
      <c r="E305" s="3" t="s">
        <v>18</v>
      </c>
      <c r="F305" s="3" t="s">
        <v>59</v>
      </c>
      <c r="G305" s="3" t="s">
        <v>62</v>
      </c>
      <c r="H305" s="3" t="s">
        <v>33</v>
      </c>
      <c r="I305" s="15">
        <v>43989</v>
      </c>
      <c r="J305" s="3" t="s">
        <v>22</v>
      </c>
      <c r="K305" s="15"/>
      <c r="L305" s="16">
        <v>96400</v>
      </c>
      <c r="M305" s="3">
        <v>3</v>
      </c>
      <c r="N305" s="3">
        <v>2</v>
      </c>
      <c r="O305" s="3" t="s">
        <v>22</v>
      </c>
      <c r="P305" s="17" t="s">
        <v>24</v>
      </c>
    </row>
    <row r="306" spans="1:16" x14ac:dyDescent="0.3">
      <c r="A306" s="14">
        <v>1305</v>
      </c>
      <c r="B306" s="3" t="s">
        <v>230</v>
      </c>
      <c r="C306" s="3" t="s">
        <v>26</v>
      </c>
      <c r="D306" s="3">
        <v>45</v>
      </c>
      <c r="E306" s="3" t="s">
        <v>55</v>
      </c>
      <c r="F306" s="3" t="s">
        <v>67</v>
      </c>
      <c r="G306" s="3" t="s">
        <v>60</v>
      </c>
      <c r="H306" s="3" t="s">
        <v>33</v>
      </c>
      <c r="I306" s="15">
        <v>45084</v>
      </c>
      <c r="J306" s="3" t="s">
        <v>22</v>
      </c>
      <c r="K306" s="15"/>
      <c r="L306" s="16">
        <v>30200</v>
      </c>
      <c r="M306" s="3">
        <v>3</v>
      </c>
      <c r="N306" s="3">
        <v>4</v>
      </c>
      <c r="O306" s="3" t="s">
        <v>23</v>
      </c>
      <c r="P306" s="17" t="s">
        <v>42</v>
      </c>
    </row>
    <row r="307" spans="1:16" x14ac:dyDescent="0.3">
      <c r="A307" s="14">
        <v>1306</v>
      </c>
      <c r="B307" s="3" t="s">
        <v>178</v>
      </c>
      <c r="C307" s="3" t="s">
        <v>26</v>
      </c>
      <c r="D307" s="3">
        <v>42</v>
      </c>
      <c r="E307" s="3" t="s">
        <v>52</v>
      </c>
      <c r="F307" s="3" t="s">
        <v>53</v>
      </c>
      <c r="G307" s="3" t="s">
        <v>49</v>
      </c>
      <c r="H307" s="3" t="s">
        <v>46</v>
      </c>
      <c r="I307" s="15">
        <v>43231</v>
      </c>
      <c r="J307" s="3" t="s">
        <v>22</v>
      </c>
      <c r="K307" s="15"/>
      <c r="L307" s="16">
        <v>50600</v>
      </c>
      <c r="M307" s="3">
        <v>3</v>
      </c>
      <c r="N307" s="3">
        <v>1</v>
      </c>
      <c r="O307" s="3" t="s">
        <v>22</v>
      </c>
      <c r="P307" s="17" t="s">
        <v>42</v>
      </c>
    </row>
    <row r="308" spans="1:16" x14ac:dyDescent="0.3">
      <c r="A308" s="14">
        <v>1307</v>
      </c>
      <c r="B308" s="3" t="s">
        <v>353</v>
      </c>
      <c r="C308" s="3" t="s">
        <v>26</v>
      </c>
      <c r="D308" s="3">
        <v>57</v>
      </c>
      <c r="E308" s="3" t="s">
        <v>52</v>
      </c>
      <c r="F308" s="3" t="s">
        <v>93</v>
      </c>
      <c r="G308" s="3" t="s">
        <v>62</v>
      </c>
      <c r="H308" s="3" t="s">
        <v>30</v>
      </c>
      <c r="I308" s="15">
        <v>45345</v>
      </c>
      <c r="J308" s="3" t="s">
        <v>22</v>
      </c>
      <c r="K308" s="15"/>
      <c r="L308" s="16">
        <v>102100</v>
      </c>
      <c r="M308" s="3">
        <v>2</v>
      </c>
      <c r="N308" s="3">
        <v>1</v>
      </c>
      <c r="O308" s="3" t="s">
        <v>22</v>
      </c>
      <c r="P308" s="17" t="s">
        <v>24</v>
      </c>
    </row>
    <row r="309" spans="1:16" x14ac:dyDescent="0.3">
      <c r="A309" s="14">
        <v>1308</v>
      </c>
      <c r="B309" s="3" t="s">
        <v>354</v>
      </c>
      <c r="C309" s="3" t="s">
        <v>26</v>
      </c>
      <c r="D309" s="3">
        <v>49</v>
      </c>
      <c r="E309" s="3" t="s">
        <v>75</v>
      </c>
      <c r="F309" s="3" t="s">
        <v>89</v>
      </c>
      <c r="G309" s="3" t="s">
        <v>60</v>
      </c>
      <c r="H309" s="3" t="s">
        <v>46</v>
      </c>
      <c r="I309" s="15">
        <v>43787</v>
      </c>
      <c r="J309" s="3" t="s">
        <v>22</v>
      </c>
      <c r="K309" s="15"/>
      <c r="L309" s="16">
        <v>33500</v>
      </c>
      <c r="M309" s="3">
        <v>4</v>
      </c>
      <c r="N309" s="3">
        <v>3</v>
      </c>
      <c r="O309" s="3" t="s">
        <v>23</v>
      </c>
      <c r="P309" s="17" t="s">
        <v>42</v>
      </c>
    </row>
    <row r="310" spans="1:16" x14ac:dyDescent="0.3">
      <c r="A310" s="14">
        <v>1309</v>
      </c>
      <c r="B310" s="3" t="s">
        <v>355</v>
      </c>
      <c r="C310" s="3" t="s">
        <v>17</v>
      </c>
      <c r="D310" s="3">
        <v>23</v>
      </c>
      <c r="E310" s="3" t="s">
        <v>44</v>
      </c>
      <c r="F310" s="3" t="s">
        <v>70</v>
      </c>
      <c r="G310" s="3" t="s">
        <v>57</v>
      </c>
      <c r="H310" s="3" t="s">
        <v>33</v>
      </c>
      <c r="I310" s="15">
        <v>44287</v>
      </c>
      <c r="J310" s="3" t="s">
        <v>23</v>
      </c>
      <c r="K310" s="15" t="s">
        <v>356</v>
      </c>
      <c r="L310" s="16">
        <v>36900</v>
      </c>
      <c r="M310" s="3">
        <v>4</v>
      </c>
      <c r="N310" s="3">
        <v>4</v>
      </c>
      <c r="O310" s="3" t="s">
        <v>23</v>
      </c>
      <c r="P310" s="17" t="s">
        <v>24</v>
      </c>
    </row>
    <row r="311" spans="1:16" x14ac:dyDescent="0.3">
      <c r="A311" s="14">
        <v>1310</v>
      </c>
      <c r="B311" s="3" t="s">
        <v>357</v>
      </c>
      <c r="C311" s="3" t="s">
        <v>26</v>
      </c>
      <c r="D311" s="3">
        <v>55</v>
      </c>
      <c r="E311" s="3" t="s">
        <v>38</v>
      </c>
      <c r="F311" s="3" t="s">
        <v>82</v>
      </c>
      <c r="G311" s="3" t="s">
        <v>62</v>
      </c>
      <c r="H311" s="3" t="s">
        <v>21</v>
      </c>
      <c r="I311" s="15">
        <v>45387</v>
      </c>
      <c r="J311" s="3" t="s">
        <v>22</v>
      </c>
      <c r="K311" s="15"/>
      <c r="L311" s="16">
        <v>44500</v>
      </c>
      <c r="M311" s="3">
        <v>2</v>
      </c>
      <c r="N311" s="3">
        <v>5</v>
      </c>
      <c r="O311" s="3" t="s">
        <v>22</v>
      </c>
      <c r="P311" s="17" t="s">
        <v>42</v>
      </c>
    </row>
    <row r="312" spans="1:16" x14ac:dyDescent="0.3">
      <c r="A312" s="14">
        <v>1311</v>
      </c>
      <c r="B312" s="3" t="s">
        <v>225</v>
      </c>
      <c r="C312" s="3" t="s">
        <v>26</v>
      </c>
      <c r="D312" s="3">
        <v>25</v>
      </c>
      <c r="E312" s="3" t="s">
        <v>55</v>
      </c>
      <c r="F312" s="3" t="s">
        <v>56</v>
      </c>
      <c r="G312" s="3" t="s">
        <v>49</v>
      </c>
      <c r="H312" s="3" t="s">
        <v>33</v>
      </c>
      <c r="I312" s="15">
        <v>45033</v>
      </c>
      <c r="J312" s="3" t="s">
        <v>22</v>
      </c>
      <c r="K312" s="15"/>
      <c r="L312" s="16">
        <v>53900</v>
      </c>
      <c r="M312" s="3">
        <v>3</v>
      </c>
      <c r="N312" s="3">
        <v>4</v>
      </c>
      <c r="O312" s="3" t="s">
        <v>22</v>
      </c>
      <c r="P312" s="17" t="s">
        <v>24</v>
      </c>
    </row>
    <row r="313" spans="1:16" x14ac:dyDescent="0.3">
      <c r="A313" s="14">
        <v>1312</v>
      </c>
      <c r="B313" s="3" t="s">
        <v>352</v>
      </c>
      <c r="C313" s="3" t="s">
        <v>17</v>
      </c>
      <c r="D313" s="3">
        <v>35</v>
      </c>
      <c r="E313" s="3" t="s">
        <v>75</v>
      </c>
      <c r="F313" s="3" t="s">
        <v>89</v>
      </c>
      <c r="G313" s="3" t="s">
        <v>57</v>
      </c>
      <c r="H313" s="3" t="s">
        <v>33</v>
      </c>
      <c r="I313" s="15">
        <v>45323</v>
      </c>
      <c r="J313" s="3" t="s">
        <v>22</v>
      </c>
      <c r="K313" s="15"/>
      <c r="L313" s="16">
        <v>38500</v>
      </c>
      <c r="M313" s="3">
        <v>5</v>
      </c>
      <c r="N313" s="3">
        <v>2</v>
      </c>
      <c r="O313" s="3" t="s">
        <v>22</v>
      </c>
      <c r="P313" s="17" t="s">
        <v>24</v>
      </c>
    </row>
    <row r="314" spans="1:16" x14ac:dyDescent="0.3">
      <c r="A314" s="14">
        <v>1313</v>
      </c>
      <c r="B314" s="3" t="s">
        <v>358</v>
      </c>
      <c r="C314" s="3" t="s">
        <v>17</v>
      </c>
      <c r="D314" s="3">
        <v>29</v>
      </c>
      <c r="E314" s="3" t="s">
        <v>35</v>
      </c>
      <c r="F314" s="3" t="s">
        <v>36</v>
      </c>
      <c r="G314" s="3" t="s">
        <v>68</v>
      </c>
      <c r="H314" s="3" t="s">
        <v>21</v>
      </c>
      <c r="I314" s="15">
        <v>43247</v>
      </c>
      <c r="J314" s="3" t="s">
        <v>22</v>
      </c>
      <c r="K314" s="15"/>
      <c r="L314" s="16">
        <v>95900</v>
      </c>
      <c r="M314" s="3">
        <v>5</v>
      </c>
      <c r="N314" s="3">
        <v>1</v>
      </c>
      <c r="O314" s="3" t="s">
        <v>22</v>
      </c>
      <c r="P314" s="17" t="s">
        <v>24</v>
      </c>
    </row>
    <row r="315" spans="1:16" x14ac:dyDescent="0.3">
      <c r="A315" s="14">
        <v>1314</v>
      </c>
      <c r="B315" s="3" t="s">
        <v>359</v>
      </c>
      <c r="C315" s="3" t="s">
        <v>17</v>
      </c>
      <c r="D315" s="3">
        <v>52</v>
      </c>
      <c r="E315" s="3" t="s">
        <v>75</v>
      </c>
      <c r="F315" s="3" t="s">
        <v>76</v>
      </c>
      <c r="G315" s="3" t="s">
        <v>86</v>
      </c>
      <c r="H315" s="3" t="s">
        <v>46</v>
      </c>
      <c r="I315" s="15">
        <v>43173</v>
      </c>
      <c r="J315" s="3" t="s">
        <v>22</v>
      </c>
      <c r="K315" s="15"/>
      <c r="L315" s="16">
        <v>76600</v>
      </c>
      <c r="M315" s="3">
        <v>4</v>
      </c>
      <c r="N315" s="3">
        <v>1</v>
      </c>
      <c r="O315" s="3" t="s">
        <v>22</v>
      </c>
      <c r="P315" s="17" t="s">
        <v>42</v>
      </c>
    </row>
    <row r="316" spans="1:16" x14ac:dyDescent="0.3">
      <c r="A316" s="14">
        <v>1315</v>
      </c>
      <c r="B316" s="3" t="s">
        <v>112</v>
      </c>
      <c r="C316" s="3" t="s">
        <v>26</v>
      </c>
      <c r="D316" s="3">
        <v>26</v>
      </c>
      <c r="E316" s="3" t="s">
        <v>75</v>
      </c>
      <c r="F316" s="3" t="s">
        <v>76</v>
      </c>
      <c r="G316" s="3" t="s">
        <v>49</v>
      </c>
      <c r="H316" s="3" t="s">
        <v>46</v>
      </c>
      <c r="I316" s="15">
        <v>44964</v>
      </c>
      <c r="J316" s="3" t="s">
        <v>22</v>
      </c>
      <c r="K316" s="15"/>
      <c r="L316" s="16">
        <v>81400</v>
      </c>
      <c r="M316" s="3">
        <v>5</v>
      </c>
      <c r="N316" s="3">
        <v>2</v>
      </c>
      <c r="O316" s="3" t="s">
        <v>23</v>
      </c>
      <c r="P316" s="17" t="s">
        <v>24</v>
      </c>
    </row>
    <row r="317" spans="1:16" x14ac:dyDescent="0.3">
      <c r="A317" s="14">
        <v>1316</v>
      </c>
      <c r="B317" s="3" t="s">
        <v>360</v>
      </c>
      <c r="C317" s="3" t="s">
        <v>17</v>
      </c>
      <c r="D317" s="3">
        <v>27</v>
      </c>
      <c r="E317" s="3" t="s">
        <v>18</v>
      </c>
      <c r="F317" s="3" t="s">
        <v>19</v>
      </c>
      <c r="G317" s="3" t="s">
        <v>29</v>
      </c>
      <c r="H317" s="3" t="s">
        <v>46</v>
      </c>
      <c r="I317" s="15">
        <v>44120</v>
      </c>
      <c r="J317" s="3" t="s">
        <v>22</v>
      </c>
      <c r="K317" s="15"/>
      <c r="L317" s="16">
        <v>38300</v>
      </c>
      <c r="M317" s="3">
        <v>3</v>
      </c>
      <c r="N317" s="3">
        <v>2</v>
      </c>
      <c r="O317" s="3" t="s">
        <v>23</v>
      </c>
      <c r="P317" s="17" t="s">
        <v>42</v>
      </c>
    </row>
    <row r="318" spans="1:16" x14ac:dyDescent="0.3">
      <c r="A318" s="14">
        <v>1317</v>
      </c>
      <c r="B318" s="3" t="s">
        <v>361</v>
      </c>
      <c r="C318" s="3" t="s">
        <v>26</v>
      </c>
      <c r="D318" s="3">
        <v>26</v>
      </c>
      <c r="E318" s="3" t="s">
        <v>27</v>
      </c>
      <c r="F318" s="3" t="s">
        <v>155</v>
      </c>
      <c r="G318" s="3" t="s">
        <v>62</v>
      </c>
      <c r="H318" s="3" t="s">
        <v>21</v>
      </c>
      <c r="I318" s="15">
        <v>45240</v>
      </c>
      <c r="J318" s="3" t="s">
        <v>22</v>
      </c>
      <c r="K318" s="15"/>
      <c r="L318" s="16">
        <v>39600</v>
      </c>
      <c r="M318" s="3">
        <v>3</v>
      </c>
      <c r="N318" s="3">
        <v>3</v>
      </c>
      <c r="O318" s="3" t="s">
        <v>22</v>
      </c>
      <c r="P318" s="17" t="s">
        <v>42</v>
      </c>
    </row>
    <row r="319" spans="1:16" x14ac:dyDescent="0.3">
      <c r="A319" s="14">
        <v>1318</v>
      </c>
      <c r="B319" s="3" t="s">
        <v>362</v>
      </c>
      <c r="C319" s="3" t="s">
        <v>17</v>
      </c>
      <c r="D319" s="3">
        <v>25</v>
      </c>
      <c r="E319" s="3" t="s">
        <v>35</v>
      </c>
      <c r="F319" s="3" t="s">
        <v>84</v>
      </c>
      <c r="G319" s="3" t="s">
        <v>20</v>
      </c>
      <c r="H319" s="3" t="s">
        <v>33</v>
      </c>
      <c r="I319" s="15">
        <v>44178</v>
      </c>
      <c r="J319" s="3" t="s">
        <v>22</v>
      </c>
      <c r="K319" s="15"/>
      <c r="L319" s="16">
        <v>58700</v>
      </c>
      <c r="M319" s="3">
        <v>5</v>
      </c>
      <c r="N319" s="3">
        <v>5</v>
      </c>
      <c r="O319" s="3" t="s">
        <v>22</v>
      </c>
      <c r="P319" s="17" t="s">
        <v>42</v>
      </c>
    </row>
    <row r="320" spans="1:16" x14ac:dyDescent="0.3">
      <c r="A320" s="14">
        <v>1319</v>
      </c>
      <c r="B320" s="3" t="s">
        <v>207</v>
      </c>
      <c r="C320" s="3" t="s">
        <v>26</v>
      </c>
      <c r="D320" s="3">
        <v>23</v>
      </c>
      <c r="E320" s="3" t="s">
        <v>35</v>
      </c>
      <c r="F320" s="3" t="s">
        <v>48</v>
      </c>
      <c r="G320" s="3" t="s">
        <v>57</v>
      </c>
      <c r="H320" s="3" t="s">
        <v>21</v>
      </c>
      <c r="I320" s="15">
        <v>44040</v>
      </c>
      <c r="J320" s="3" t="s">
        <v>22</v>
      </c>
      <c r="K320" s="15"/>
      <c r="L320" s="16">
        <v>114000</v>
      </c>
      <c r="M320" s="3">
        <v>2</v>
      </c>
      <c r="N320" s="3">
        <v>1</v>
      </c>
      <c r="O320" s="3" t="s">
        <v>23</v>
      </c>
      <c r="P320" s="17" t="s">
        <v>42</v>
      </c>
    </row>
    <row r="321" spans="1:16" x14ac:dyDescent="0.3">
      <c r="A321" s="14">
        <v>1320</v>
      </c>
      <c r="B321" s="3" t="s">
        <v>308</v>
      </c>
      <c r="C321" s="3" t="s">
        <v>17</v>
      </c>
      <c r="D321" s="3">
        <v>58</v>
      </c>
      <c r="E321" s="3" t="s">
        <v>27</v>
      </c>
      <c r="F321" s="3" t="s">
        <v>28</v>
      </c>
      <c r="G321" s="3" t="s">
        <v>20</v>
      </c>
      <c r="H321" s="3" t="s">
        <v>30</v>
      </c>
      <c r="I321" s="15">
        <v>44884</v>
      </c>
      <c r="J321" s="3" t="s">
        <v>22</v>
      </c>
      <c r="K321" s="15"/>
      <c r="L321" s="16">
        <v>36200</v>
      </c>
      <c r="M321" s="3">
        <v>3</v>
      </c>
      <c r="N321" s="3">
        <v>1</v>
      </c>
      <c r="O321" s="3" t="s">
        <v>22</v>
      </c>
      <c r="P321" s="17" t="s">
        <v>42</v>
      </c>
    </row>
    <row r="322" spans="1:16" x14ac:dyDescent="0.3">
      <c r="A322" s="14">
        <v>1321</v>
      </c>
      <c r="B322" s="3" t="s">
        <v>363</v>
      </c>
      <c r="C322" s="3" t="s">
        <v>17</v>
      </c>
      <c r="D322" s="3">
        <v>23</v>
      </c>
      <c r="E322" s="3" t="s">
        <v>75</v>
      </c>
      <c r="F322" s="3" t="s">
        <v>89</v>
      </c>
      <c r="G322" s="3" t="s">
        <v>29</v>
      </c>
      <c r="H322" s="3" t="s">
        <v>46</v>
      </c>
      <c r="I322" s="15">
        <v>44006</v>
      </c>
      <c r="J322" s="3" t="s">
        <v>22</v>
      </c>
      <c r="K322" s="15"/>
      <c r="L322" s="16">
        <v>40100</v>
      </c>
      <c r="M322" s="3">
        <v>3</v>
      </c>
      <c r="N322" s="3">
        <v>4</v>
      </c>
      <c r="O322" s="3" t="s">
        <v>23</v>
      </c>
      <c r="P322" s="17" t="s">
        <v>42</v>
      </c>
    </row>
    <row r="323" spans="1:16" x14ac:dyDescent="0.3">
      <c r="A323" s="14">
        <v>1322</v>
      </c>
      <c r="B323" s="3" t="s">
        <v>364</v>
      </c>
      <c r="C323" s="3" t="s">
        <v>17</v>
      </c>
      <c r="D323" s="3">
        <v>51</v>
      </c>
      <c r="E323" s="3" t="s">
        <v>35</v>
      </c>
      <c r="F323" s="3" t="s">
        <v>36</v>
      </c>
      <c r="G323" s="3" t="s">
        <v>29</v>
      </c>
      <c r="H323" s="3" t="s">
        <v>46</v>
      </c>
      <c r="I323" s="15">
        <v>44489</v>
      </c>
      <c r="J323" s="3" t="s">
        <v>22</v>
      </c>
      <c r="K323" s="15"/>
      <c r="L323" s="16">
        <v>107500</v>
      </c>
      <c r="M323" s="3">
        <v>4</v>
      </c>
      <c r="N323" s="3">
        <v>3</v>
      </c>
      <c r="O323" s="3" t="s">
        <v>22</v>
      </c>
      <c r="P323" s="17" t="s">
        <v>24</v>
      </c>
    </row>
    <row r="324" spans="1:16" x14ac:dyDescent="0.3">
      <c r="A324" s="14">
        <v>1323</v>
      </c>
      <c r="B324" s="3" t="s">
        <v>365</v>
      </c>
      <c r="C324" s="3" t="s">
        <v>26</v>
      </c>
      <c r="D324" s="3">
        <v>42</v>
      </c>
      <c r="E324" s="3" t="s">
        <v>75</v>
      </c>
      <c r="F324" s="3" t="s">
        <v>89</v>
      </c>
      <c r="G324" s="3" t="s">
        <v>49</v>
      </c>
      <c r="H324" s="3" t="s">
        <v>33</v>
      </c>
      <c r="I324" s="15">
        <v>45205</v>
      </c>
      <c r="J324" s="3" t="s">
        <v>22</v>
      </c>
      <c r="K324" s="15"/>
      <c r="L324" s="16">
        <v>35900</v>
      </c>
      <c r="M324" s="3">
        <v>3</v>
      </c>
      <c r="N324" s="3">
        <v>2</v>
      </c>
      <c r="O324" s="3" t="s">
        <v>22</v>
      </c>
      <c r="P324" s="17" t="s">
        <v>42</v>
      </c>
    </row>
    <row r="325" spans="1:16" x14ac:dyDescent="0.3">
      <c r="A325" s="14">
        <v>1324</v>
      </c>
      <c r="B325" s="3" t="s">
        <v>366</v>
      </c>
      <c r="C325" s="3" t="s">
        <v>26</v>
      </c>
      <c r="D325" s="3">
        <v>28</v>
      </c>
      <c r="E325" s="3" t="s">
        <v>75</v>
      </c>
      <c r="F325" s="3" t="s">
        <v>76</v>
      </c>
      <c r="G325" s="3" t="s">
        <v>49</v>
      </c>
      <c r="H325" s="3" t="s">
        <v>33</v>
      </c>
      <c r="I325" s="15">
        <v>43387</v>
      </c>
      <c r="J325" s="3" t="s">
        <v>23</v>
      </c>
      <c r="K325" s="15" t="s">
        <v>367</v>
      </c>
      <c r="L325" s="16">
        <v>75200</v>
      </c>
      <c r="M325" s="3">
        <v>3</v>
      </c>
      <c r="N325" s="3">
        <v>2</v>
      </c>
      <c r="O325" s="3" t="s">
        <v>22</v>
      </c>
      <c r="P325" s="17" t="s">
        <v>24</v>
      </c>
    </row>
    <row r="326" spans="1:16" x14ac:dyDescent="0.3">
      <c r="A326" s="14">
        <v>1325</v>
      </c>
      <c r="B326" s="3" t="s">
        <v>329</v>
      </c>
      <c r="C326" s="3" t="s">
        <v>17</v>
      </c>
      <c r="D326" s="3">
        <v>28</v>
      </c>
      <c r="E326" s="3" t="s">
        <v>75</v>
      </c>
      <c r="F326" s="3" t="s">
        <v>76</v>
      </c>
      <c r="G326" s="3" t="s">
        <v>86</v>
      </c>
      <c r="H326" s="3" t="s">
        <v>33</v>
      </c>
      <c r="I326" s="15">
        <v>44967</v>
      </c>
      <c r="J326" s="3" t="s">
        <v>23</v>
      </c>
      <c r="K326" s="15" t="s">
        <v>368</v>
      </c>
      <c r="L326" s="16">
        <v>60500</v>
      </c>
      <c r="M326" s="3">
        <v>5</v>
      </c>
      <c r="N326" s="3">
        <v>2</v>
      </c>
      <c r="O326" s="3" t="s">
        <v>23</v>
      </c>
      <c r="P326" s="17" t="s">
        <v>24</v>
      </c>
    </row>
    <row r="327" spans="1:16" x14ac:dyDescent="0.3">
      <c r="A327" s="14">
        <v>1326</v>
      </c>
      <c r="B327" s="3" t="s">
        <v>275</v>
      </c>
      <c r="C327" s="3" t="s">
        <v>26</v>
      </c>
      <c r="D327" s="3">
        <v>49</v>
      </c>
      <c r="E327" s="3" t="s">
        <v>52</v>
      </c>
      <c r="F327" s="3" t="s">
        <v>93</v>
      </c>
      <c r="G327" s="3" t="s">
        <v>20</v>
      </c>
      <c r="H327" s="3" t="s">
        <v>21</v>
      </c>
      <c r="I327" s="15">
        <v>45230</v>
      </c>
      <c r="J327" s="3" t="s">
        <v>23</v>
      </c>
      <c r="K327" s="15" t="s">
        <v>369</v>
      </c>
      <c r="L327" s="16">
        <v>79600</v>
      </c>
      <c r="M327" s="3">
        <v>3</v>
      </c>
      <c r="N327" s="3">
        <v>1</v>
      </c>
      <c r="O327" s="3" t="s">
        <v>22</v>
      </c>
      <c r="P327" s="17" t="s">
        <v>42</v>
      </c>
    </row>
    <row r="328" spans="1:16" x14ac:dyDescent="0.3">
      <c r="A328" s="14">
        <v>1327</v>
      </c>
      <c r="B328" s="3" t="s">
        <v>370</v>
      </c>
      <c r="C328" s="3" t="s">
        <v>26</v>
      </c>
      <c r="D328" s="3">
        <v>37</v>
      </c>
      <c r="E328" s="3" t="s">
        <v>75</v>
      </c>
      <c r="F328" s="3" t="s">
        <v>89</v>
      </c>
      <c r="G328" s="3" t="s">
        <v>57</v>
      </c>
      <c r="H328" s="3" t="s">
        <v>46</v>
      </c>
      <c r="I328" s="15">
        <v>43812</v>
      </c>
      <c r="J328" s="3" t="s">
        <v>22</v>
      </c>
      <c r="K328" s="15"/>
      <c r="L328" s="16">
        <v>38200</v>
      </c>
      <c r="M328" s="3">
        <v>4</v>
      </c>
      <c r="N328" s="3">
        <v>3</v>
      </c>
      <c r="O328" s="3" t="s">
        <v>23</v>
      </c>
      <c r="P328" s="17" t="s">
        <v>42</v>
      </c>
    </row>
    <row r="329" spans="1:16" x14ac:dyDescent="0.3">
      <c r="A329" s="14">
        <v>1328</v>
      </c>
      <c r="B329" s="3" t="s">
        <v>371</v>
      </c>
      <c r="C329" s="3" t="s">
        <v>26</v>
      </c>
      <c r="D329" s="3">
        <v>36</v>
      </c>
      <c r="E329" s="3" t="s">
        <v>44</v>
      </c>
      <c r="F329" s="3" t="s">
        <v>45</v>
      </c>
      <c r="G329" s="3" t="s">
        <v>57</v>
      </c>
      <c r="H329" s="3" t="s">
        <v>30</v>
      </c>
      <c r="I329" s="15">
        <v>43858</v>
      </c>
      <c r="J329" s="3" t="s">
        <v>22</v>
      </c>
      <c r="K329" s="15"/>
      <c r="L329" s="16">
        <v>82500</v>
      </c>
      <c r="M329" s="3">
        <v>3</v>
      </c>
      <c r="N329" s="3">
        <v>2</v>
      </c>
      <c r="O329" s="3" t="s">
        <v>23</v>
      </c>
      <c r="P329" s="17" t="s">
        <v>42</v>
      </c>
    </row>
    <row r="330" spans="1:16" x14ac:dyDescent="0.3">
      <c r="A330" s="14">
        <v>1329</v>
      </c>
      <c r="B330" s="3" t="s">
        <v>372</v>
      </c>
      <c r="C330" s="3" t="s">
        <v>26</v>
      </c>
      <c r="D330" s="3">
        <v>54</v>
      </c>
      <c r="E330" s="3" t="s">
        <v>75</v>
      </c>
      <c r="F330" s="3" t="s">
        <v>89</v>
      </c>
      <c r="G330" s="3" t="s">
        <v>29</v>
      </c>
      <c r="H330" s="3" t="s">
        <v>21</v>
      </c>
      <c r="I330" s="15">
        <v>45022</v>
      </c>
      <c r="J330" s="3" t="s">
        <v>22</v>
      </c>
      <c r="K330" s="15"/>
      <c r="L330" s="16">
        <v>44700</v>
      </c>
      <c r="M330" s="3">
        <v>4</v>
      </c>
      <c r="N330" s="3">
        <v>5</v>
      </c>
      <c r="O330" s="3" t="s">
        <v>22</v>
      </c>
      <c r="P330" s="17" t="s">
        <v>24</v>
      </c>
    </row>
    <row r="331" spans="1:16" x14ac:dyDescent="0.3">
      <c r="A331" s="14">
        <v>1330</v>
      </c>
      <c r="B331" s="3" t="s">
        <v>37</v>
      </c>
      <c r="C331" s="3" t="s">
        <v>26</v>
      </c>
      <c r="D331" s="3">
        <v>58</v>
      </c>
      <c r="E331" s="3" t="s">
        <v>55</v>
      </c>
      <c r="F331" s="3" t="s">
        <v>67</v>
      </c>
      <c r="G331" s="3" t="s">
        <v>29</v>
      </c>
      <c r="H331" s="3" t="s">
        <v>46</v>
      </c>
      <c r="I331" s="15">
        <v>44509</v>
      </c>
      <c r="J331" s="3" t="s">
        <v>22</v>
      </c>
      <c r="K331" s="15"/>
      <c r="L331" s="16">
        <v>27300</v>
      </c>
      <c r="M331" s="3">
        <v>4</v>
      </c>
      <c r="N331" s="3">
        <v>1</v>
      </c>
      <c r="O331" s="3" t="s">
        <v>22</v>
      </c>
      <c r="P331" s="17" t="s">
        <v>42</v>
      </c>
    </row>
    <row r="332" spans="1:16" x14ac:dyDescent="0.3">
      <c r="A332" s="14">
        <v>1331</v>
      </c>
      <c r="B332" s="3" t="s">
        <v>129</v>
      </c>
      <c r="C332" s="3" t="s">
        <v>17</v>
      </c>
      <c r="D332" s="3">
        <v>47</v>
      </c>
      <c r="E332" s="3" t="s">
        <v>75</v>
      </c>
      <c r="F332" s="3" t="s">
        <v>76</v>
      </c>
      <c r="G332" s="3" t="s">
        <v>86</v>
      </c>
      <c r="H332" s="3" t="s">
        <v>21</v>
      </c>
      <c r="I332" s="15">
        <v>44650</v>
      </c>
      <c r="J332" s="3" t="s">
        <v>23</v>
      </c>
      <c r="K332" s="15" t="s">
        <v>367</v>
      </c>
      <c r="L332" s="16">
        <v>65900</v>
      </c>
      <c r="M332" s="3">
        <v>5</v>
      </c>
      <c r="N332" s="3">
        <v>5</v>
      </c>
      <c r="O332" s="3" t="s">
        <v>23</v>
      </c>
      <c r="P332" s="17" t="s">
        <v>42</v>
      </c>
    </row>
    <row r="333" spans="1:16" x14ac:dyDescent="0.3">
      <c r="A333" s="14">
        <v>1332</v>
      </c>
      <c r="B333" s="3" t="s">
        <v>373</v>
      </c>
      <c r="C333" s="3" t="s">
        <v>26</v>
      </c>
      <c r="D333" s="3">
        <v>49</v>
      </c>
      <c r="E333" s="3" t="s">
        <v>52</v>
      </c>
      <c r="F333" s="3" t="s">
        <v>53</v>
      </c>
      <c r="G333" s="3" t="s">
        <v>86</v>
      </c>
      <c r="H333" s="3" t="s">
        <v>30</v>
      </c>
      <c r="I333" s="15">
        <v>44358</v>
      </c>
      <c r="J333" s="3" t="s">
        <v>22</v>
      </c>
      <c r="K333" s="15"/>
      <c r="L333" s="16">
        <v>45200</v>
      </c>
      <c r="M333" s="3">
        <v>4</v>
      </c>
      <c r="N333" s="3">
        <v>1</v>
      </c>
      <c r="O333" s="3" t="s">
        <v>22</v>
      </c>
      <c r="P333" s="17" t="s">
        <v>42</v>
      </c>
    </row>
    <row r="334" spans="1:16" x14ac:dyDescent="0.3">
      <c r="A334" s="14">
        <v>1333</v>
      </c>
      <c r="B334" s="3" t="s">
        <v>129</v>
      </c>
      <c r="C334" s="3" t="s">
        <v>26</v>
      </c>
      <c r="D334" s="3">
        <v>52</v>
      </c>
      <c r="E334" s="3" t="s">
        <v>18</v>
      </c>
      <c r="F334" s="3" t="s">
        <v>59</v>
      </c>
      <c r="G334" s="3" t="s">
        <v>62</v>
      </c>
      <c r="H334" s="3" t="s">
        <v>21</v>
      </c>
      <c r="I334" s="15">
        <v>44992</v>
      </c>
      <c r="J334" s="3" t="s">
        <v>22</v>
      </c>
      <c r="K334" s="15"/>
      <c r="L334" s="16">
        <v>94200</v>
      </c>
      <c r="M334" s="3">
        <v>5</v>
      </c>
      <c r="N334" s="3">
        <v>3</v>
      </c>
      <c r="O334" s="3" t="s">
        <v>22</v>
      </c>
      <c r="P334" s="17" t="s">
        <v>42</v>
      </c>
    </row>
    <row r="335" spans="1:16" x14ac:dyDescent="0.3">
      <c r="A335" s="14">
        <v>1334</v>
      </c>
      <c r="B335" s="3" t="s">
        <v>374</v>
      </c>
      <c r="C335" s="3" t="s">
        <v>26</v>
      </c>
      <c r="D335" s="3">
        <v>45</v>
      </c>
      <c r="E335" s="3" t="s">
        <v>75</v>
      </c>
      <c r="F335" s="3" t="s">
        <v>89</v>
      </c>
      <c r="G335" s="3" t="s">
        <v>29</v>
      </c>
      <c r="H335" s="3" t="s">
        <v>46</v>
      </c>
      <c r="I335" s="15">
        <v>43390</v>
      </c>
      <c r="J335" s="3" t="s">
        <v>23</v>
      </c>
      <c r="K335" s="15" t="s">
        <v>369</v>
      </c>
      <c r="L335" s="16">
        <v>41600</v>
      </c>
      <c r="M335" s="3">
        <v>3</v>
      </c>
      <c r="N335" s="3">
        <v>4</v>
      </c>
      <c r="O335" s="3" t="s">
        <v>22</v>
      </c>
      <c r="P335" s="17" t="s">
        <v>24</v>
      </c>
    </row>
    <row r="336" spans="1:16" x14ac:dyDescent="0.3">
      <c r="A336" s="14">
        <v>1335</v>
      </c>
      <c r="B336" s="3" t="s">
        <v>375</v>
      </c>
      <c r="C336" s="3" t="s">
        <v>17</v>
      </c>
      <c r="D336" s="3">
        <v>58</v>
      </c>
      <c r="E336" s="3" t="s">
        <v>75</v>
      </c>
      <c r="F336" s="3" t="s">
        <v>76</v>
      </c>
      <c r="G336" s="3" t="s">
        <v>49</v>
      </c>
      <c r="H336" s="3" t="s">
        <v>21</v>
      </c>
      <c r="I336" s="15">
        <v>43534</v>
      </c>
      <c r="J336" s="3" t="s">
        <v>22</v>
      </c>
      <c r="K336" s="15"/>
      <c r="L336" s="16">
        <v>74600</v>
      </c>
      <c r="M336" s="3">
        <v>5</v>
      </c>
      <c r="N336" s="3">
        <v>1</v>
      </c>
      <c r="O336" s="3" t="s">
        <v>22</v>
      </c>
      <c r="P336" s="17" t="s">
        <v>24</v>
      </c>
    </row>
    <row r="337" spans="1:16" x14ac:dyDescent="0.3">
      <c r="A337" s="14">
        <v>1336</v>
      </c>
      <c r="B337" s="3" t="s">
        <v>376</v>
      </c>
      <c r="C337" s="3" t="s">
        <v>26</v>
      </c>
      <c r="D337" s="3">
        <v>29</v>
      </c>
      <c r="E337" s="3" t="s">
        <v>27</v>
      </c>
      <c r="F337" s="3" t="s">
        <v>155</v>
      </c>
      <c r="G337" s="3" t="s">
        <v>86</v>
      </c>
      <c r="H337" s="3" t="s">
        <v>21</v>
      </c>
      <c r="I337" s="15">
        <v>45429</v>
      </c>
      <c r="J337" s="3" t="s">
        <v>22</v>
      </c>
      <c r="K337" s="15"/>
      <c r="L337" s="16">
        <v>34600</v>
      </c>
      <c r="M337" s="3">
        <v>4</v>
      </c>
      <c r="N337" s="3">
        <v>2</v>
      </c>
      <c r="O337" s="3" t="s">
        <v>22</v>
      </c>
      <c r="P337" s="17" t="s">
        <v>42</v>
      </c>
    </row>
    <row r="338" spans="1:16" x14ac:dyDescent="0.3">
      <c r="A338" s="14">
        <v>1337</v>
      </c>
      <c r="B338" s="3" t="s">
        <v>333</v>
      </c>
      <c r="C338" s="3" t="s">
        <v>17</v>
      </c>
      <c r="D338" s="3">
        <v>36</v>
      </c>
      <c r="E338" s="3" t="s">
        <v>75</v>
      </c>
      <c r="F338" s="3" t="s">
        <v>89</v>
      </c>
      <c r="G338" s="3" t="s">
        <v>68</v>
      </c>
      <c r="H338" s="3" t="s">
        <v>33</v>
      </c>
      <c r="I338" s="15">
        <v>44603</v>
      </c>
      <c r="J338" s="3" t="s">
        <v>22</v>
      </c>
      <c r="K338" s="15"/>
      <c r="L338" s="16">
        <v>45700</v>
      </c>
      <c r="M338" s="3">
        <v>5</v>
      </c>
      <c r="N338" s="3">
        <v>4</v>
      </c>
      <c r="O338" s="3" t="s">
        <v>23</v>
      </c>
      <c r="P338" s="17" t="s">
        <v>24</v>
      </c>
    </row>
    <row r="339" spans="1:16" x14ac:dyDescent="0.3">
      <c r="A339" s="14">
        <v>1338</v>
      </c>
      <c r="B339" s="3" t="s">
        <v>366</v>
      </c>
      <c r="C339" s="3" t="s">
        <v>17</v>
      </c>
      <c r="D339" s="3">
        <v>31</v>
      </c>
      <c r="E339" s="3" t="s">
        <v>75</v>
      </c>
      <c r="F339" s="3" t="s">
        <v>89</v>
      </c>
      <c r="G339" s="3" t="s">
        <v>62</v>
      </c>
      <c r="H339" s="3" t="s">
        <v>33</v>
      </c>
      <c r="I339" s="15">
        <v>44649</v>
      </c>
      <c r="J339" s="3" t="s">
        <v>22</v>
      </c>
      <c r="K339" s="15"/>
      <c r="L339" s="16">
        <v>47500</v>
      </c>
      <c r="M339" s="3">
        <v>4</v>
      </c>
      <c r="N339" s="3">
        <v>2</v>
      </c>
      <c r="O339" s="3" t="s">
        <v>23</v>
      </c>
      <c r="P339" s="17" t="s">
        <v>42</v>
      </c>
    </row>
    <row r="340" spans="1:16" x14ac:dyDescent="0.3">
      <c r="A340" s="14">
        <v>1339</v>
      </c>
      <c r="B340" s="3" t="s">
        <v>377</v>
      </c>
      <c r="C340" s="3" t="s">
        <v>17</v>
      </c>
      <c r="D340" s="3">
        <v>54</v>
      </c>
      <c r="E340" s="3" t="s">
        <v>18</v>
      </c>
      <c r="F340" s="3" t="s">
        <v>19</v>
      </c>
      <c r="G340" s="3" t="s">
        <v>68</v>
      </c>
      <c r="H340" s="3" t="s">
        <v>33</v>
      </c>
      <c r="I340" s="15">
        <v>43982</v>
      </c>
      <c r="J340" s="3" t="s">
        <v>22</v>
      </c>
      <c r="K340" s="15"/>
      <c r="L340" s="16">
        <v>47400</v>
      </c>
      <c r="M340" s="3">
        <v>5</v>
      </c>
      <c r="N340" s="3">
        <v>2</v>
      </c>
      <c r="O340" s="3" t="s">
        <v>23</v>
      </c>
      <c r="P340" s="17" t="s">
        <v>24</v>
      </c>
    </row>
    <row r="341" spans="1:16" x14ac:dyDescent="0.3">
      <c r="A341" s="14">
        <v>1340</v>
      </c>
      <c r="B341" s="3" t="s">
        <v>378</v>
      </c>
      <c r="C341" s="3" t="s">
        <v>17</v>
      </c>
      <c r="D341" s="3">
        <v>48</v>
      </c>
      <c r="E341" s="3" t="s">
        <v>35</v>
      </c>
      <c r="F341" s="3" t="s">
        <v>84</v>
      </c>
      <c r="G341" s="3" t="s">
        <v>49</v>
      </c>
      <c r="H341" s="3" t="s">
        <v>46</v>
      </c>
      <c r="I341" s="15">
        <v>43987</v>
      </c>
      <c r="J341" s="3" t="s">
        <v>23</v>
      </c>
      <c r="K341" s="15" t="s">
        <v>379</v>
      </c>
      <c r="L341" s="16">
        <v>68600</v>
      </c>
      <c r="M341" s="3">
        <v>3</v>
      </c>
      <c r="N341" s="3">
        <v>3</v>
      </c>
      <c r="O341" s="3" t="s">
        <v>23</v>
      </c>
      <c r="P341" s="17" t="s">
        <v>42</v>
      </c>
    </row>
    <row r="342" spans="1:16" x14ac:dyDescent="0.3">
      <c r="A342" s="14">
        <v>1341</v>
      </c>
      <c r="B342" s="3" t="s">
        <v>380</v>
      </c>
      <c r="C342" s="3" t="s">
        <v>26</v>
      </c>
      <c r="D342" s="3">
        <v>29</v>
      </c>
      <c r="E342" s="3" t="s">
        <v>35</v>
      </c>
      <c r="F342" s="3" t="s">
        <v>36</v>
      </c>
      <c r="G342" s="3" t="s">
        <v>60</v>
      </c>
      <c r="H342" s="3" t="s">
        <v>46</v>
      </c>
      <c r="I342" s="15">
        <v>44994</v>
      </c>
      <c r="J342" s="3" t="s">
        <v>22</v>
      </c>
      <c r="K342" s="15"/>
      <c r="L342" s="16">
        <v>103300</v>
      </c>
      <c r="M342" s="3">
        <v>4</v>
      </c>
      <c r="N342" s="3">
        <v>4</v>
      </c>
      <c r="O342" s="3" t="s">
        <v>23</v>
      </c>
      <c r="P342" s="17" t="s">
        <v>24</v>
      </c>
    </row>
    <row r="343" spans="1:16" x14ac:dyDescent="0.3">
      <c r="A343" s="14">
        <v>1342</v>
      </c>
      <c r="B343" s="3" t="s">
        <v>102</v>
      </c>
      <c r="C343" s="3" t="s">
        <v>26</v>
      </c>
      <c r="D343" s="3">
        <v>42</v>
      </c>
      <c r="E343" s="3" t="s">
        <v>44</v>
      </c>
      <c r="F343" s="3" t="s">
        <v>78</v>
      </c>
      <c r="G343" s="3" t="s">
        <v>57</v>
      </c>
      <c r="H343" s="3" t="s">
        <v>46</v>
      </c>
      <c r="I343" s="15">
        <v>44985</v>
      </c>
      <c r="J343" s="3" t="s">
        <v>22</v>
      </c>
      <c r="K343" s="15"/>
      <c r="L343" s="16">
        <v>38600</v>
      </c>
      <c r="M343" s="3">
        <v>3</v>
      </c>
      <c r="N343" s="3">
        <v>4</v>
      </c>
      <c r="O343" s="3" t="s">
        <v>23</v>
      </c>
      <c r="P343" s="17" t="s">
        <v>42</v>
      </c>
    </row>
    <row r="344" spans="1:16" x14ac:dyDescent="0.3">
      <c r="A344" s="14">
        <v>1343</v>
      </c>
      <c r="B344" s="3" t="s">
        <v>303</v>
      </c>
      <c r="C344" s="3" t="s">
        <v>17</v>
      </c>
      <c r="D344" s="3">
        <v>32</v>
      </c>
      <c r="E344" s="3" t="s">
        <v>75</v>
      </c>
      <c r="F344" s="3" t="s">
        <v>76</v>
      </c>
      <c r="G344" s="3" t="s">
        <v>49</v>
      </c>
      <c r="H344" s="3" t="s">
        <v>21</v>
      </c>
      <c r="I344" s="15">
        <v>43996</v>
      </c>
      <c r="J344" s="3" t="s">
        <v>22</v>
      </c>
      <c r="K344" s="15"/>
      <c r="L344" s="16">
        <v>70300</v>
      </c>
      <c r="M344" s="3">
        <v>2</v>
      </c>
      <c r="N344" s="3">
        <v>1</v>
      </c>
      <c r="O344" s="3" t="s">
        <v>22</v>
      </c>
      <c r="P344" s="17" t="s">
        <v>42</v>
      </c>
    </row>
    <row r="345" spans="1:16" x14ac:dyDescent="0.3">
      <c r="A345" s="14">
        <v>1344</v>
      </c>
      <c r="B345" s="3" t="s">
        <v>228</v>
      </c>
      <c r="C345" s="3" t="s">
        <v>17</v>
      </c>
      <c r="D345" s="3">
        <v>55</v>
      </c>
      <c r="E345" s="3" t="s">
        <v>38</v>
      </c>
      <c r="F345" s="3" t="s">
        <v>39</v>
      </c>
      <c r="G345" s="3" t="s">
        <v>49</v>
      </c>
      <c r="H345" s="3" t="s">
        <v>30</v>
      </c>
      <c r="I345" s="15">
        <v>43911</v>
      </c>
      <c r="J345" s="3" t="s">
        <v>22</v>
      </c>
      <c r="K345" s="15"/>
      <c r="L345" s="16">
        <v>49900</v>
      </c>
      <c r="M345" s="3">
        <v>4</v>
      </c>
      <c r="N345" s="3">
        <v>2</v>
      </c>
      <c r="O345" s="3" t="s">
        <v>23</v>
      </c>
      <c r="P345" s="17" t="s">
        <v>24</v>
      </c>
    </row>
    <row r="346" spans="1:16" x14ac:dyDescent="0.3">
      <c r="A346" s="14">
        <v>1345</v>
      </c>
      <c r="B346" s="3" t="s">
        <v>342</v>
      </c>
      <c r="C346" s="3" t="s">
        <v>26</v>
      </c>
      <c r="D346" s="3">
        <v>43</v>
      </c>
      <c r="E346" s="3" t="s">
        <v>55</v>
      </c>
      <c r="F346" s="3" t="s">
        <v>67</v>
      </c>
      <c r="G346" s="3" t="s">
        <v>86</v>
      </c>
      <c r="H346" s="3" t="s">
        <v>30</v>
      </c>
      <c r="I346" s="15">
        <v>44542</v>
      </c>
      <c r="J346" s="3" t="s">
        <v>22</v>
      </c>
      <c r="K346" s="15"/>
      <c r="L346" s="16">
        <v>36200</v>
      </c>
      <c r="M346" s="3">
        <v>4</v>
      </c>
      <c r="N346" s="3">
        <v>4</v>
      </c>
      <c r="O346" s="3" t="s">
        <v>23</v>
      </c>
      <c r="P346" s="17" t="s">
        <v>42</v>
      </c>
    </row>
    <row r="347" spans="1:16" x14ac:dyDescent="0.3">
      <c r="A347" s="14">
        <v>1346</v>
      </c>
      <c r="B347" s="3" t="s">
        <v>329</v>
      </c>
      <c r="C347" s="3" t="s">
        <v>17</v>
      </c>
      <c r="D347" s="3">
        <v>57</v>
      </c>
      <c r="E347" s="3" t="s">
        <v>55</v>
      </c>
      <c r="F347" s="3" t="s">
        <v>56</v>
      </c>
      <c r="G347" s="3" t="s">
        <v>49</v>
      </c>
      <c r="H347" s="3" t="s">
        <v>46</v>
      </c>
      <c r="I347" s="15">
        <v>43117</v>
      </c>
      <c r="J347" s="3" t="s">
        <v>22</v>
      </c>
      <c r="K347" s="15"/>
      <c r="L347" s="16">
        <v>70800</v>
      </c>
      <c r="M347" s="3">
        <v>2</v>
      </c>
      <c r="N347" s="3">
        <v>4</v>
      </c>
      <c r="O347" s="3" t="s">
        <v>22</v>
      </c>
      <c r="P347" s="17" t="s">
        <v>42</v>
      </c>
    </row>
    <row r="348" spans="1:16" x14ac:dyDescent="0.3">
      <c r="A348" s="14">
        <v>1347</v>
      </c>
      <c r="B348" s="3" t="s">
        <v>381</v>
      </c>
      <c r="C348" s="3" t="s">
        <v>17</v>
      </c>
      <c r="D348" s="3">
        <v>23</v>
      </c>
      <c r="E348" s="3" t="s">
        <v>35</v>
      </c>
      <c r="F348" s="3" t="s">
        <v>84</v>
      </c>
      <c r="G348" s="3" t="s">
        <v>20</v>
      </c>
      <c r="H348" s="3" t="s">
        <v>46</v>
      </c>
      <c r="I348" s="15">
        <v>44424</v>
      </c>
      <c r="J348" s="3" t="s">
        <v>22</v>
      </c>
      <c r="K348" s="15"/>
      <c r="L348" s="16">
        <v>76200</v>
      </c>
      <c r="M348" s="3">
        <v>3</v>
      </c>
      <c r="N348" s="3">
        <v>5</v>
      </c>
      <c r="O348" s="3" t="s">
        <v>23</v>
      </c>
      <c r="P348" s="17" t="s">
        <v>24</v>
      </c>
    </row>
    <row r="349" spans="1:16" x14ac:dyDescent="0.3">
      <c r="A349" s="14">
        <v>1348</v>
      </c>
      <c r="B349" s="3" t="s">
        <v>382</v>
      </c>
      <c r="C349" s="3" t="s">
        <v>17</v>
      </c>
      <c r="D349" s="3">
        <v>46</v>
      </c>
      <c r="E349" s="3" t="s">
        <v>38</v>
      </c>
      <c r="F349" s="3" t="s">
        <v>82</v>
      </c>
      <c r="G349" s="3" t="s">
        <v>86</v>
      </c>
      <c r="H349" s="3" t="s">
        <v>21</v>
      </c>
      <c r="I349" s="15">
        <v>45416</v>
      </c>
      <c r="J349" s="3" t="s">
        <v>22</v>
      </c>
      <c r="K349" s="15"/>
      <c r="L349" s="16">
        <v>55900</v>
      </c>
      <c r="M349" s="3">
        <v>3</v>
      </c>
      <c r="N349" s="3">
        <v>4</v>
      </c>
      <c r="O349" s="3" t="s">
        <v>23</v>
      </c>
      <c r="P349" s="17" t="s">
        <v>24</v>
      </c>
    </row>
    <row r="350" spans="1:16" x14ac:dyDescent="0.3">
      <c r="A350" s="14">
        <v>1349</v>
      </c>
      <c r="B350" s="3" t="s">
        <v>280</v>
      </c>
      <c r="C350" s="3" t="s">
        <v>26</v>
      </c>
      <c r="D350" s="3">
        <v>32</v>
      </c>
      <c r="E350" s="3" t="s">
        <v>52</v>
      </c>
      <c r="F350" s="3" t="s">
        <v>53</v>
      </c>
      <c r="G350" s="3" t="s">
        <v>49</v>
      </c>
      <c r="H350" s="3" t="s">
        <v>30</v>
      </c>
      <c r="I350" s="15">
        <v>44646</v>
      </c>
      <c r="J350" s="3" t="s">
        <v>23</v>
      </c>
      <c r="K350" s="15" t="s">
        <v>90</v>
      </c>
      <c r="L350" s="16">
        <v>42900</v>
      </c>
      <c r="M350" s="3">
        <v>3</v>
      </c>
      <c r="N350" s="3">
        <v>2</v>
      </c>
      <c r="O350" s="3" t="s">
        <v>22</v>
      </c>
      <c r="P350" s="17" t="s">
        <v>42</v>
      </c>
    </row>
    <row r="351" spans="1:16" x14ac:dyDescent="0.3">
      <c r="A351" s="14">
        <v>1350</v>
      </c>
      <c r="B351" s="3" t="s">
        <v>268</v>
      </c>
      <c r="C351" s="3" t="s">
        <v>17</v>
      </c>
      <c r="D351" s="3">
        <v>57</v>
      </c>
      <c r="E351" s="3" t="s">
        <v>52</v>
      </c>
      <c r="F351" s="3" t="s">
        <v>184</v>
      </c>
      <c r="G351" s="3" t="s">
        <v>20</v>
      </c>
      <c r="H351" s="3" t="s">
        <v>46</v>
      </c>
      <c r="I351" s="15">
        <v>45357</v>
      </c>
      <c r="J351" s="3" t="s">
        <v>22</v>
      </c>
      <c r="K351" s="15"/>
      <c r="L351" s="16">
        <v>60900</v>
      </c>
      <c r="M351" s="3">
        <v>2</v>
      </c>
      <c r="N351" s="3">
        <v>4</v>
      </c>
      <c r="O351" s="3" t="s">
        <v>23</v>
      </c>
      <c r="P351" s="17" t="s">
        <v>42</v>
      </c>
    </row>
    <row r="352" spans="1:16" x14ac:dyDescent="0.3">
      <c r="A352" s="14">
        <v>1351</v>
      </c>
      <c r="B352" s="3" t="s">
        <v>99</v>
      </c>
      <c r="C352" s="3" t="s">
        <v>17</v>
      </c>
      <c r="D352" s="3">
        <v>41</v>
      </c>
      <c r="E352" s="3" t="s">
        <v>55</v>
      </c>
      <c r="F352" s="3" t="s">
        <v>67</v>
      </c>
      <c r="G352" s="3" t="s">
        <v>60</v>
      </c>
      <c r="H352" s="3" t="s">
        <v>46</v>
      </c>
      <c r="I352" s="15">
        <v>43257</v>
      </c>
      <c r="J352" s="3" t="s">
        <v>23</v>
      </c>
      <c r="K352" s="15" t="s">
        <v>383</v>
      </c>
      <c r="L352" s="16">
        <v>28300</v>
      </c>
      <c r="M352" s="3">
        <v>3</v>
      </c>
      <c r="N352" s="3">
        <v>2</v>
      </c>
      <c r="O352" s="3" t="s">
        <v>23</v>
      </c>
      <c r="P352" s="17" t="s">
        <v>24</v>
      </c>
    </row>
    <row r="353" spans="1:16" x14ac:dyDescent="0.3">
      <c r="A353" s="14">
        <v>1352</v>
      </c>
      <c r="B353" s="3" t="s">
        <v>166</v>
      </c>
      <c r="C353" s="3" t="s">
        <v>26</v>
      </c>
      <c r="D353" s="3">
        <v>45</v>
      </c>
      <c r="E353" s="3" t="s">
        <v>27</v>
      </c>
      <c r="F353" s="3" t="s">
        <v>28</v>
      </c>
      <c r="G353" s="3" t="s">
        <v>86</v>
      </c>
      <c r="H353" s="3" t="s">
        <v>46</v>
      </c>
      <c r="I353" s="15">
        <v>43596</v>
      </c>
      <c r="J353" s="3" t="s">
        <v>22</v>
      </c>
      <c r="K353" s="15"/>
      <c r="L353" s="16">
        <v>49700</v>
      </c>
      <c r="M353" s="3">
        <v>3</v>
      </c>
      <c r="N353" s="3">
        <v>3</v>
      </c>
      <c r="O353" s="3" t="s">
        <v>22</v>
      </c>
      <c r="P353" s="17" t="s">
        <v>42</v>
      </c>
    </row>
    <row r="354" spans="1:16" x14ac:dyDescent="0.3">
      <c r="A354" s="14">
        <v>1353</v>
      </c>
      <c r="B354" s="3" t="s">
        <v>175</v>
      </c>
      <c r="C354" s="3" t="s">
        <v>26</v>
      </c>
      <c r="D354" s="3">
        <v>25</v>
      </c>
      <c r="E354" s="3" t="s">
        <v>35</v>
      </c>
      <c r="F354" s="3" t="s">
        <v>36</v>
      </c>
      <c r="G354" s="3" t="s">
        <v>60</v>
      </c>
      <c r="H354" s="3" t="s">
        <v>21</v>
      </c>
      <c r="I354" s="15">
        <v>44925</v>
      </c>
      <c r="J354" s="3" t="s">
        <v>23</v>
      </c>
      <c r="K354" s="15" t="s">
        <v>384</v>
      </c>
      <c r="L354" s="16">
        <v>96600</v>
      </c>
      <c r="M354" s="3">
        <v>4</v>
      </c>
      <c r="N354" s="3">
        <v>5</v>
      </c>
      <c r="O354" s="3" t="s">
        <v>23</v>
      </c>
      <c r="P354" s="17" t="s">
        <v>24</v>
      </c>
    </row>
    <row r="355" spans="1:16" x14ac:dyDescent="0.3">
      <c r="A355" s="14">
        <v>1354</v>
      </c>
      <c r="B355" s="3" t="s">
        <v>206</v>
      </c>
      <c r="C355" s="3" t="s">
        <v>17</v>
      </c>
      <c r="D355" s="3">
        <v>53</v>
      </c>
      <c r="E355" s="3" t="s">
        <v>55</v>
      </c>
      <c r="F355" s="3" t="s">
        <v>67</v>
      </c>
      <c r="G355" s="3" t="s">
        <v>29</v>
      </c>
      <c r="H355" s="3" t="s">
        <v>46</v>
      </c>
      <c r="I355" s="15">
        <v>43817</v>
      </c>
      <c r="J355" s="3" t="s">
        <v>22</v>
      </c>
      <c r="K355" s="15"/>
      <c r="L355" s="16">
        <v>36000</v>
      </c>
      <c r="M355" s="3">
        <v>3</v>
      </c>
      <c r="N355" s="3">
        <v>5</v>
      </c>
      <c r="O355" s="3" t="s">
        <v>23</v>
      </c>
      <c r="P355" s="17" t="s">
        <v>24</v>
      </c>
    </row>
    <row r="356" spans="1:16" x14ac:dyDescent="0.3">
      <c r="A356" s="14">
        <v>1355</v>
      </c>
      <c r="B356" s="3" t="s">
        <v>385</v>
      </c>
      <c r="C356" s="3" t="s">
        <v>17</v>
      </c>
      <c r="D356" s="3">
        <v>42</v>
      </c>
      <c r="E356" s="3" t="s">
        <v>55</v>
      </c>
      <c r="F356" s="3" t="s">
        <v>56</v>
      </c>
      <c r="G356" s="3" t="s">
        <v>62</v>
      </c>
      <c r="H356" s="3" t="s">
        <v>46</v>
      </c>
      <c r="I356" s="15">
        <v>44643</v>
      </c>
      <c r="J356" s="3" t="s">
        <v>22</v>
      </c>
      <c r="K356" s="15"/>
      <c r="L356" s="16">
        <v>53400</v>
      </c>
      <c r="M356" s="3">
        <v>5</v>
      </c>
      <c r="N356" s="3">
        <v>5</v>
      </c>
      <c r="O356" s="3" t="s">
        <v>23</v>
      </c>
      <c r="P356" s="17" t="s">
        <v>24</v>
      </c>
    </row>
    <row r="357" spans="1:16" x14ac:dyDescent="0.3">
      <c r="A357" s="14">
        <v>1356</v>
      </c>
      <c r="B357" s="3" t="s">
        <v>281</v>
      </c>
      <c r="C357" s="3" t="s">
        <v>17</v>
      </c>
      <c r="D357" s="3">
        <v>27</v>
      </c>
      <c r="E357" s="3" t="s">
        <v>75</v>
      </c>
      <c r="F357" s="3" t="s">
        <v>89</v>
      </c>
      <c r="G357" s="3" t="s">
        <v>62</v>
      </c>
      <c r="H357" s="3" t="s">
        <v>21</v>
      </c>
      <c r="I357" s="15">
        <v>45116</v>
      </c>
      <c r="J357" s="3" t="s">
        <v>23</v>
      </c>
      <c r="K357" s="15" t="s">
        <v>210</v>
      </c>
      <c r="L357" s="16">
        <v>46400</v>
      </c>
      <c r="M357" s="3">
        <v>4</v>
      </c>
      <c r="N357" s="3">
        <v>5</v>
      </c>
      <c r="O357" s="3" t="s">
        <v>22</v>
      </c>
      <c r="P357" s="17" t="s">
        <v>24</v>
      </c>
    </row>
    <row r="358" spans="1:16" x14ac:dyDescent="0.3">
      <c r="A358" s="14">
        <v>1357</v>
      </c>
      <c r="B358" s="3" t="s">
        <v>187</v>
      </c>
      <c r="C358" s="3" t="s">
        <v>17</v>
      </c>
      <c r="D358" s="3">
        <v>46</v>
      </c>
      <c r="E358" s="3" t="s">
        <v>18</v>
      </c>
      <c r="F358" s="3" t="s">
        <v>19</v>
      </c>
      <c r="G358" s="3" t="s">
        <v>60</v>
      </c>
      <c r="H358" s="3" t="s">
        <v>33</v>
      </c>
      <c r="I358" s="15">
        <v>44234</v>
      </c>
      <c r="J358" s="3" t="s">
        <v>22</v>
      </c>
      <c r="K358" s="15"/>
      <c r="L358" s="16">
        <v>54000</v>
      </c>
      <c r="M358" s="3">
        <v>4</v>
      </c>
      <c r="N358" s="3">
        <v>3</v>
      </c>
      <c r="O358" s="3" t="s">
        <v>23</v>
      </c>
      <c r="P358" s="17" t="s">
        <v>24</v>
      </c>
    </row>
    <row r="359" spans="1:16" x14ac:dyDescent="0.3">
      <c r="A359" s="14">
        <v>1358</v>
      </c>
      <c r="B359" s="3" t="s">
        <v>272</v>
      </c>
      <c r="C359" s="3" t="s">
        <v>26</v>
      </c>
      <c r="D359" s="3">
        <v>26</v>
      </c>
      <c r="E359" s="3" t="s">
        <v>18</v>
      </c>
      <c r="F359" s="3" t="s">
        <v>124</v>
      </c>
      <c r="G359" s="3" t="s">
        <v>49</v>
      </c>
      <c r="H359" s="3" t="s">
        <v>46</v>
      </c>
      <c r="I359" s="15">
        <v>44158</v>
      </c>
      <c r="J359" s="3" t="s">
        <v>22</v>
      </c>
      <c r="K359" s="15"/>
      <c r="L359" s="16">
        <v>77900</v>
      </c>
      <c r="M359" s="3">
        <v>3</v>
      </c>
      <c r="N359" s="3">
        <v>5</v>
      </c>
      <c r="O359" s="3" t="s">
        <v>22</v>
      </c>
      <c r="P359" s="17" t="s">
        <v>24</v>
      </c>
    </row>
    <row r="360" spans="1:16" x14ac:dyDescent="0.3">
      <c r="A360" s="14">
        <v>1359</v>
      </c>
      <c r="B360" s="3" t="s">
        <v>386</v>
      </c>
      <c r="C360" s="3" t="s">
        <v>17</v>
      </c>
      <c r="D360" s="3">
        <v>40</v>
      </c>
      <c r="E360" s="3" t="s">
        <v>38</v>
      </c>
      <c r="F360" s="3" t="s">
        <v>82</v>
      </c>
      <c r="G360" s="3" t="s">
        <v>29</v>
      </c>
      <c r="H360" s="3" t="s">
        <v>46</v>
      </c>
      <c r="I360" s="15">
        <v>43320</v>
      </c>
      <c r="J360" s="3" t="s">
        <v>22</v>
      </c>
      <c r="K360" s="15"/>
      <c r="L360" s="16">
        <v>52400</v>
      </c>
      <c r="M360" s="3">
        <v>5</v>
      </c>
      <c r="N360" s="3">
        <v>2</v>
      </c>
      <c r="O360" s="3" t="s">
        <v>22</v>
      </c>
      <c r="P360" s="17" t="s">
        <v>24</v>
      </c>
    </row>
    <row r="361" spans="1:16" x14ac:dyDescent="0.3">
      <c r="A361" s="14">
        <v>1360</v>
      </c>
      <c r="B361" s="3" t="s">
        <v>171</v>
      </c>
      <c r="C361" s="3" t="s">
        <v>17</v>
      </c>
      <c r="D361" s="3">
        <v>27</v>
      </c>
      <c r="E361" s="3" t="s">
        <v>18</v>
      </c>
      <c r="F361" s="3" t="s">
        <v>124</v>
      </c>
      <c r="G361" s="3" t="s">
        <v>62</v>
      </c>
      <c r="H361" s="3" t="s">
        <v>33</v>
      </c>
      <c r="I361" s="15">
        <v>43436</v>
      </c>
      <c r="J361" s="3" t="s">
        <v>23</v>
      </c>
      <c r="K361" s="15" t="s">
        <v>387</v>
      </c>
      <c r="L361" s="16">
        <v>96400</v>
      </c>
      <c r="M361" s="3">
        <v>5</v>
      </c>
      <c r="N361" s="3">
        <v>5</v>
      </c>
      <c r="O361" s="3" t="s">
        <v>22</v>
      </c>
      <c r="P361" s="17" t="s">
        <v>42</v>
      </c>
    </row>
    <row r="362" spans="1:16" x14ac:dyDescent="0.3">
      <c r="A362" s="14">
        <v>1361</v>
      </c>
      <c r="B362" s="3" t="s">
        <v>388</v>
      </c>
      <c r="C362" s="3" t="s">
        <v>17</v>
      </c>
      <c r="D362" s="3">
        <v>54</v>
      </c>
      <c r="E362" s="3" t="s">
        <v>35</v>
      </c>
      <c r="F362" s="3" t="s">
        <v>36</v>
      </c>
      <c r="G362" s="3" t="s">
        <v>20</v>
      </c>
      <c r="H362" s="3" t="s">
        <v>46</v>
      </c>
      <c r="I362" s="15">
        <v>44167</v>
      </c>
      <c r="J362" s="3" t="s">
        <v>22</v>
      </c>
      <c r="K362" s="15"/>
      <c r="L362" s="16">
        <v>89600</v>
      </c>
      <c r="M362" s="3">
        <v>3</v>
      </c>
      <c r="N362" s="3">
        <v>4</v>
      </c>
      <c r="O362" s="3" t="s">
        <v>23</v>
      </c>
      <c r="P362" s="17" t="s">
        <v>24</v>
      </c>
    </row>
    <row r="363" spans="1:16" x14ac:dyDescent="0.3">
      <c r="A363" s="14">
        <v>1362</v>
      </c>
      <c r="B363" s="3" t="s">
        <v>332</v>
      </c>
      <c r="C363" s="3" t="s">
        <v>26</v>
      </c>
      <c r="D363" s="3">
        <v>56</v>
      </c>
      <c r="E363" s="3" t="s">
        <v>35</v>
      </c>
      <c r="F363" s="3" t="s">
        <v>84</v>
      </c>
      <c r="G363" s="3" t="s">
        <v>20</v>
      </c>
      <c r="H363" s="3" t="s">
        <v>30</v>
      </c>
      <c r="I363" s="15">
        <v>44917</v>
      </c>
      <c r="J363" s="3" t="s">
        <v>22</v>
      </c>
      <c r="K363" s="15"/>
      <c r="L363" s="16">
        <v>60800</v>
      </c>
      <c r="M363" s="3">
        <v>3</v>
      </c>
      <c r="N363" s="3">
        <v>3</v>
      </c>
      <c r="O363" s="3" t="s">
        <v>23</v>
      </c>
      <c r="P363" s="17" t="s">
        <v>24</v>
      </c>
    </row>
    <row r="364" spans="1:16" x14ac:dyDescent="0.3">
      <c r="A364" s="14">
        <v>1363</v>
      </c>
      <c r="B364" s="3" t="s">
        <v>296</v>
      </c>
      <c r="C364" s="3" t="s">
        <v>17</v>
      </c>
      <c r="D364" s="3">
        <v>57</v>
      </c>
      <c r="E364" s="3" t="s">
        <v>27</v>
      </c>
      <c r="F364" s="3" t="s">
        <v>32</v>
      </c>
      <c r="G364" s="3" t="s">
        <v>60</v>
      </c>
      <c r="H364" s="3" t="s">
        <v>33</v>
      </c>
      <c r="I364" s="15">
        <v>44404</v>
      </c>
      <c r="J364" s="3" t="s">
        <v>23</v>
      </c>
      <c r="K364" s="15" t="s">
        <v>389</v>
      </c>
      <c r="L364" s="16">
        <v>72900</v>
      </c>
      <c r="M364" s="3">
        <v>3</v>
      </c>
      <c r="N364" s="3">
        <v>4</v>
      </c>
      <c r="O364" s="3" t="s">
        <v>22</v>
      </c>
      <c r="P364" s="17" t="s">
        <v>24</v>
      </c>
    </row>
    <row r="365" spans="1:16" x14ac:dyDescent="0.3">
      <c r="A365" s="14">
        <v>1364</v>
      </c>
      <c r="B365" s="3" t="s">
        <v>390</v>
      </c>
      <c r="C365" s="3" t="s">
        <v>26</v>
      </c>
      <c r="D365" s="3">
        <v>43</v>
      </c>
      <c r="E365" s="3" t="s">
        <v>38</v>
      </c>
      <c r="F365" s="3" t="s">
        <v>41</v>
      </c>
      <c r="G365" s="3" t="s">
        <v>86</v>
      </c>
      <c r="H365" s="3" t="s">
        <v>46</v>
      </c>
      <c r="I365" s="15">
        <v>43491</v>
      </c>
      <c r="J365" s="3" t="s">
        <v>22</v>
      </c>
      <c r="K365" s="15"/>
      <c r="L365" s="16">
        <v>86100</v>
      </c>
      <c r="M365" s="3">
        <v>5</v>
      </c>
      <c r="N365" s="3">
        <v>2</v>
      </c>
      <c r="O365" s="3" t="s">
        <v>22</v>
      </c>
      <c r="P365" s="17" t="s">
        <v>24</v>
      </c>
    </row>
    <row r="366" spans="1:16" x14ac:dyDescent="0.3">
      <c r="A366" s="14">
        <v>1365</v>
      </c>
      <c r="B366" s="3" t="s">
        <v>234</v>
      </c>
      <c r="C366" s="3" t="s">
        <v>26</v>
      </c>
      <c r="D366" s="3">
        <v>51</v>
      </c>
      <c r="E366" s="3" t="s">
        <v>75</v>
      </c>
      <c r="F366" s="3" t="s">
        <v>89</v>
      </c>
      <c r="G366" s="3" t="s">
        <v>86</v>
      </c>
      <c r="H366" s="3" t="s">
        <v>46</v>
      </c>
      <c r="I366" s="15">
        <v>43608</v>
      </c>
      <c r="J366" s="3" t="s">
        <v>22</v>
      </c>
      <c r="K366" s="15"/>
      <c r="L366" s="16">
        <v>46800</v>
      </c>
      <c r="M366" s="3">
        <v>3</v>
      </c>
      <c r="N366" s="3">
        <v>3</v>
      </c>
      <c r="O366" s="3" t="s">
        <v>22</v>
      </c>
      <c r="P366" s="17" t="s">
        <v>42</v>
      </c>
    </row>
    <row r="367" spans="1:16" x14ac:dyDescent="0.3">
      <c r="A367" s="14">
        <v>1366</v>
      </c>
      <c r="B367" s="3" t="s">
        <v>31</v>
      </c>
      <c r="C367" s="3" t="s">
        <v>17</v>
      </c>
      <c r="D367" s="3">
        <v>40</v>
      </c>
      <c r="E367" s="3" t="s">
        <v>27</v>
      </c>
      <c r="F367" s="3" t="s">
        <v>28</v>
      </c>
      <c r="G367" s="3" t="s">
        <v>68</v>
      </c>
      <c r="H367" s="3" t="s">
        <v>21</v>
      </c>
      <c r="I367" s="15">
        <v>44101</v>
      </c>
      <c r="J367" s="3" t="s">
        <v>22</v>
      </c>
      <c r="K367" s="15"/>
      <c r="L367" s="16">
        <v>45300</v>
      </c>
      <c r="M367" s="3">
        <v>4</v>
      </c>
      <c r="N367" s="3">
        <v>2</v>
      </c>
      <c r="O367" s="3" t="s">
        <v>23</v>
      </c>
      <c r="P367" s="17" t="s">
        <v>42</v>
      </c>
    </row>
    <row r="368" spans="1:16" x14ac:dyDescent="0.3">
      <c r="A368" s="14">
        <v>1367</v>
      </c>
      <c r="B368" s="3" t="s">
        <v>144</v>
      </c>
      <c r="C368" s="3" t="s">
        <v>26</v>
      </c>
      <c r="D368" s="3">
        <v>28</v>
      </c>
      <c r="E368" s="3" t="s">
        <v>27</v>
      </c>
      <c r="F368" s="3" t="s">
        <v>28</v>
      </c>
      <c r="G368" s="3" t="s">
        <v>20</v>
      </c>
      <c r="H368" s="3" t="s">
        <v>21</v>
      </c>
      <c r="I368" s="15">
        <v>43892</v>
      </c>
      <c r="J368" s="3" t="s">
        <v>23</v>
      </c>
      <c r="K368" s="15" t="s">
        <v>391</v>
      </c>
      <c r="L368" s="16">
        <v>44900</v>
      </c>
      <c r="M368" s="3">
        <v>4</v>
      </c>
      <c r="N368" s="3">
        <v>4</v>
      </c>
      <c r="O368" s="3" t="s">
        <v>23</v>
      </c>
      <c r="P368" s="17" t="s">
        <v>24</v>
      </c>
    </row>
    <row r="369" spans="1:16" x14ac:dyDescent="0.3">
      <c r="A369" s="14">
        <v>1368</v>
      </c>
      <c r="B369" s="3" t="s">
        <v>359</v>
      </c>
      <c r="C369" s="3" t="s">
        <v>26</v>
      </c>
      <c r="D369" s="3">
        <v>58</v>
      </c>
      <c r="E369" s="3" t="s">
        <v>55</v>
      </c>
      <c r="F369" s="3" t="s">
        <v>56</v>
      </c>
      <c r="G369" s="3" t="s">
        <v>60</v>
      </c>
      <c r="H369" s="3" t="s">
        <v>33</v>
      </c>
      <c r="I369" s="15">
        <v>43931</v>
      </c>
      <c r="J369" s="3" t="s">
        <v>22</v>
      </c>
      <c r="K369" s="15"/>
      <c r="L369" s="16">
        <v>71700</v>
      </c>
      <c r="M369" s="3">
        <v>5</v>
      </c>
      <c r="N369" s="3">
        <v>2</v>
      </c>
      <c r="O369" s="3" t="s">
        <v>23</v>
      </c>
      <c r="P369" s="17" t="s">
        <v>24</v>
      </c>
    </row>
    <row r="370" spans="1:16" x14ac:dyDescent="0.3">
      <c r="A370" s="14">
        <v>1369</v>
      </c>
      <c r="B370" s="3" t="s">
        <v>187</v>
      </c>
      <c r="C370" s="3" t="s">
        <v>17</v>
      </c>
      <c r="D370" s="3">
        <v>49</v>
      </c>
      <c r="E370" s="3" t="s">
        <v>55</v>
      </c>
      <c r="F370" s="3" t="s">
        <v>56</v>
      </c>
      <c r="G370" s="3" t="s">
        <v>29</v>
      </c>
      <c r="H370" s="3" t="s">
        <v>33</v>
      </c>
      <c r="I370" s="15">
        <v>43553</v>
      </c>
      <c r="J370" s="3" t="s">
        <v>22</v>
      </c>
      <c r="K370" s="15"/>
      <c r="L370" s="16">
        <v>68100</v>
      </c>
      <c r="M370" s="3">
        <v>5</v>
      </c>
      <c r="N370" s="3">
        <v>4</v>
      </c>
      <c r="O370" s="3" t="s">
        <v>22</v>
      </c>
      <c r="P370" s="17" t="s">
        <v>42</v>
      </c>
    </row>
    <row r="371" spans="1:16" x14ac:dyDescent="0.3">
      <c r="A371" s="14">
        <v>1370</v>
      </c>
      <c r="B371" s="3" t="s">
        <v>153</v>
      </c>
      <c r="C371" s="3" t="s">
        <v>17</v>
      </c>
      <c r="D371" s="3">
        <v>57</v>
      </c>
      <c r="E371" s="3" t="s">
        <v>55</v>
      </c>
      <c r="F371" s="3" t="s">
        <v>67</v>
      </c>
      <c r="G371" s="3" t="s">
        <v>86</v>
      </c>
      <c r="H371" s="3" t="s">
        <v>21</v>
      </c>
      <c r="I371" s="15">
        <v>43647</v>
      </c>
      <c r="J371" s="3" t="s">
        <v>22</v>
      </c>
      <c r="K371" s="15"/>
      <c r="L371" s="16">
        <v>31800</v>
      </c>
      <c r="M371" s="3">
        <v>5</v>
      </c>
      <c r="N371" s="3">
        <v>2</v>
      </c>
      <c r="O371" s="3" t="s">
        <v>23</v>
      </c>
      <c r="P371" s="17" t="s">
        <v>42</v>
      </c>
    </row>
    <row r="372" spans="1:16" x14ac:dyDescent="0.3">
      <c r="A372" s="14">
        <v>1371</v>
      </c>
      <c r="B372" s="3" t="s">
        <v>354</v>
      </c>
      <c r="C372" s="3" t="s">
        <v>26</v>
      </c>
      <c r="D372" s="3">
        <v>57</v>
      </c>
      <c r="E372" s="3" t="s">
        <v>44</v>
      </c>
      <c r="F372" s="3" t="s">
        <v>70</v>
      </c>
      <c r="G372" s="3" t="s">
        <v>49</v>
      </c>
      <c r="H372" s="3" t="s">
        <v>33</v>
      </c>
      <c r="I372" s="15">
        <v>45134</v>
      </c>
      <c r="J372" s="3" t="s">
        <v>23</v>
      </c>
      <c r="K372" s="15" t="s">
        <v>392</v>
      </c>
      <c r="L372" s="16">
        <v>42600</v>
      </c>
      <c r="M372" s="3">
        <v>4</v>
      </c>
      <c r="N372" s="3">
        <v>2</v>
      </c>
      <c r="O372" s="3" t="s">
        <v>22</v>
      </c>
      <c r="P372" s="17" t="s">
        <v>42</v>
      </c>
    </row>
    <row r="373" spans="1:16" x14ac:dyDescent="0.3">
      <c r="A373" s="14">
        <v>1372</v>
      </c>
      <c r="B373" s="3" t="s">
        <v>353</v>
      </c>
      <c r="C373" s="3" t="s">
        <v>26</v>
      </c>
      <c r="D373" s="3">
        <v>46</v>
      </c>
      <c r="E373" s="3" t="s">
        <v>75</v>
      </c>
      <c r="F373" s="3" t="s">
        <v>89</v>
      </c>
      <c r="G373" s="3" t="s">
        <v>20</v>
      </c>
      <c r="H373" s="3" t="s">
        <v>30</v>
      </c>
      <c r="I373" s="15">
        <v>44859</v>
      </c>
      <c r="J373" s="3" t="s">
        <v>22</v>
      </c>
      <c r="K373" s="15"/>
      <c r="L373" s="16">
        <v>37400</v>
      </c>
      <c r="M373" s="3">
        <v>4</v>
      </c>
      <c r="N373" s="3">
        <v>1</v>
      </c>
      <c r="O373" s="3" t="s">
        <v>22</v>
      </c>
      <c r="P373" s="17" t="s">
        <v>42</v>
      </c>
    </row>
    <row r="374" spans="1:16" x14ac:dyDescent="0.3">
      <c r="A374" s="14">
        <v>1373</v>
      </c>
      <c r="B374" s="3" t="s">
        <v>393</v>
      </c>
      <c r="C374" s="3" t="s">
        <v>26</v>
      </c>
      <c r="D374" s="3">
        <v>43</v>
      </c>
      <c r="E374" s="3" t="s">
        <v>27</v>
      </c>
      <c r="F374" s="3" t="s">
        <v>155</v>
      </c>
      <c r="G374" s="3" t="s">
        <v>49</v>
      </c>
      <c r="H374" s="3" t="s">
        <v>33</v>
      </c>
      <c r="I374" s="15">
        <v>43464</v>
      </c>
      <c r="J374" s="3" t="s">
        <v>22</v>
      </c>
      <c r="K374" s="15"/>
      <c r="L374" s="16">
        <v>39400</v>
      </c>
      <c r="M374" s="3">
        <v>2</v>
      </c>
      <c r="N374" s="3">
        <v>1</v>
      </c>
      <c r="O374" s="3" t="s">
        <v>22</v>
      </c>
      <c r="P374" s="17" t="s">
        <v>42</v>
      </c>
    </row>
    <row r="375" spans="1:16" x14ac:dyDescent="0.3">
      <c r="A375" s="14">
        <v>1374</v>
      </c>
      <c r="B375" s="3" t="s">
        <v>394</v>
      </c>
      <c r="C375" s="3" t="s">
        <v>26</v>
      </c>
      <c r="D375" s="3">
        <v>54</v>
      </c>
      <c r="E375" s="3" t="s">
        <v>52</v>
      </c>
      <c r="F375" s="3" t="s">
        <v>53</v>
      </c>
      <c r="G375" s="3" t="s">
        <v>86</v>
      </c>
      <c r="H375" s="3" t="s">
        <v>33</v>
      </c>
      <c r="I375" s="15">
        <v>44857</v>
      </c>
      <c r="J375" s="3" t="s">
        <v>22</v>
      </c>
      <c r="K375" s="15"/>
      <c r="L375" s="16">
        <v>61100</v>
      </c>
      <c r="M375" s="3">
        <v>4</v>
      </c>
      <c r="N375" s="3">
        <v>2</v>
      </c>
      <c r="O375" s="3" t="s">
        <v>23</v>
      </c>
      <c r="P375" s="17" t="s">
        <v>24</v>
      </c>
    </row>
    <row r="376" spans="1:16" x14ac:dyDescent="0.3">
      <c r="A376" s="14">
        <v>1375</v>
      </c>
      <c r="B376" s="3" t="s">
        <v>245</v>
      </c>
      <c r="C376" s="3" t="s">
        <v>17</v>
      </c>
      <c r="D376" s="3">
        <v>32</v>
      </c>
      <c r="E376" s="3" t="s">
        <v>18</v>
      </c>
      <c r="F376" s="3" t="s">
        <v>19</v>
      </c>
      <c r="G376" s="3" t="s">
        <v>68</v>
      </c>
      <c r="H376" s="3" t="s">
        <v>30</v>
      </c>
      <c r="I376" s="15">
        <v>44038</v>
      </c>
      <c r="J376" s="3" t="s">
        <v>22</v>
      </c>
      <c r="K376" s="15"/>
      <c r="L376" s="16">
        <v>50300</v>
      </c>
      <c r="M376" s="3">
        <v>3</v>
      </c>
      <c r="N376" s="3">
        <v>1</v>
      </c>
      <c r="O376" s="3" t="s">
        <v>23</v>
      </c>
      <c r="P376" s="17" t="s">
        <v>24</v>
      </c>
    </row>
    <row r="377" spans="1:16" x14ac:dyDescent="0.3">
      <c r="A377" s="14">
        <v>1376</v>
      </c>
      <c r="B377" s="3" t="s">
        <v>395</v>
      </c>
      <c r="C377" s="3" t="s">
        <v>17</v>
      </c>
      <c r="D377" s="3">
        <v>56</v>
      </c>
      <c r="E377" s="3" t="s">
        <v>44</v>
      </c>
      <c r="F377" s="3" t="s">
        <v>70</v>
      </c>
      <c r="G377" s="3" t="s">
        <v>57</v>
      </c>
      <c r="H377" s="3" t="s">
        <v>33</v>
      </c>
      <c r="I377" s="15">
        <v>44279</v>
      </c>
      <c r="J377" s="3" t="s">
        <v>22</v>
      </c>
      <c r="K377" s="15"/>
      <c r="L377" s="16">
        <v>52400</v>
      </c>
      <c r="M377" s="3">
        <v>3</v>
      </c>
      <c r="N377" s="3">
        <v>3</v>
      </c>
      <c r="O377" s="3" t="s">
        <v>23</v>
      </c>
      <c r="P377" s="17" t="s">
        <v>42</v>
      </c>
    </row>
    <row r="378" spans="1:16" x14ac:dyDescent="0.3">
      <c r="A378" s="14">
        <v>1377</v>
      </c>
      <c r="B378" s="3" t="s">
        <v>396</v>
      </c>
      <c r="C378" s="3" t="s">
        <v>17</v>
      </c>
      <c r="D378" s="3">
        <v>25</v>
      </c>
      <c r="E378" s="3" t="s">
        <v>44</v>
      </c>
      <c r="F378" s="3" t="s">
        <v>70</v>
      </c>
      <c r="G378" s="3" t="s">
        <v>20</v>
      </c>
      <c r="H378" s="3" t="s">
        <v>33</v>
      </c>
      <c r="I378" s="15">
        <v>45325</v>
      </c>
      <c r="J378" s="3" t="s">
        <v>22</v>
      </c>
      <c r="K378" s="15"/>
      <c r="L378" s="16">
        <v>38900</v>
      </c>
      <c r="M378" s="3">
        <v>3</v>
      </c>
      <c r="N378" s="3">
        <v>4</v>
      </c>
      <c r="O378" s="3" t="s">
        <v>22</v>
      </c>
      <c r="P378" s="17" t="s">
        <v>24</v>
      </c>
    </row>
    <row r="379" spans="1:16" x14ac:dyDescent="0.3">
      <c r="A379" s="14">
        <v>1378</v>
      </c>
      <c r="B379" s="3" t="s">
        <v>397</v>
      </c>
      <c r="C379" s="3" t="s">
        <v>17</v>
      </c>
      <c r="D379" s="3">
        <v>30</v>
      </c>
      <c r="E379" s="3" t="s">
        <v>38</v>
      </c>
      <c r="F379" s="3" t="s">
        <v>39</v>
      </c>
      <c r="G379" s="3" t="s">
        <v>20</v>
      </c>
      <c r="H379" s="3" t="s">
        <v>30</v>
      </c>
      <c r="I379" s="15">
        <v>43679</v>
      </c>
      <c r="J379" s="3" t="s">
        <v>22</v>
      </c>
      <c r="K379" s="15"/>
      <c r="L379" s="16">
        <v>42100</v>
      </c>
      <c r="M379" s="3">
        <v>3</v>
      </c>
      <c r="N379" s="3">
        <v>1</v>
      </c>
      <c r="O379" s="3" t="s">
        <v>23</v>
      </c>
      <c r="P379" s="17" t="s">
        <v>42</v>
      </c>
    </row>
    <row r="380" spans="1:16" x14ac:dyDescent="0.3">
      <c r="A380" s="14">
        <v>1379</v>
      </c>
      <c r="B380" s="3" t="s">
        <v>398</v>
      </c>
      <c r="C380" s="3" t="s">
        <v>26</v>
      </c>
      <c r="D380" s="3">
        <v>39</v>
      </c>
      <c r="E380" s="3" t="s">
        <v>75</v>
      </c>
      <c r="F380" s="3" t="s">
        <v>89</v>
      </c>
      <c r="G380" s="3" t="s">
        <v>29</v>
      </c>
      <c r="H380" s="3" t="s">
        <v>46</v>
      </c>
      <c r="I380" s="15">
        <v>44526</v>
      </c>
      <c r="J380" s="3" t="s">
        <v>22</v>
      </c>
      <c r="K380" s="15"/>
      <c r="L380" s="16">
        <v>34900</v>
      </c>
      <c r="M380" s="3">
        <v>4</v>
      </c>
      <c r="N380" s="3">
        <v>3</v>
      </c>
      <c r="O380" s="3" t="s">
        <v>23</v>
      </c>
      <c r="P380" s="17" t="s">
        <v>24</v>
      </c>
    </row>
    <row r="381" spans="1:16" x14ac:dyDescent="0.3">
      <c r="A381" s="14">
        <v>1380</v>
      </c>
      <c r="B381" s="3" t="s">
        <v>399</v>
      </c>
      <c r="C381" s="3" t="s">
        <v>26</v>
      </c>
      <c r="D381" s="3">
        <v>31</v>
      </c>
      <c r="E381" s="3" t="s">
        <v>35</v>
      </c>
      <c r="F381" s="3" t="s">
        <v>64</v>
      </c>
      <c r="G381" s="3" t="s">
        <v>57</v>
      </c>
      <c r="H381" s="3" t="s">
        <v>46</v>
      </c>
      <c r="I381" s="15">
        <v>44168</v>
      </c>
      <c r="J381" s="3" t="s">
        <v>22</v>
      </c>
      <c r="K381" s="15"/>
      <c r="L381" s="16">
        <v>73900</v>
      </c>
      <c r="M381" s="3">
        <v>2</v>
      </c>
      <c r="N381" s="3">
        <v>2</v>
      </c>
      <c r="O381" s="3" t="s">
        <v>23</v>
      </c>
      <c r="P381" s="17" t="s">
        <v>42</v>
      </c>
    </row>
    <row r="382" spans="1:16" x14ac:dyDescent="0.3">
      <c r="A382" s="14">
        <v>1381</v>
      </c>
      <c r="B382" s="3" t="s">
        <v>400</v>
      </c>
      <c r="C382" s="3" t="s">
        <v>26</v>
      </c>
      <c r="D382" s="3">
        <v>58</v>
      </c>
      <c r="E382" s="3" t="s">
        <v>52</v>
      </c>
      <c r="F382" s="3" t="s">
        <v>93</v>
      </c>
      <c r="G382" s="3" t="s">
        <v>86</v>
      </c>
      <c r="H382" s="3" t="s">
        <v>30</v>
      </c>
      <c r="I382" s="15">
        <v>45284</v>
      </c>
      <c r="J382" s="3" t="s">
        <v>22</v>
      </c>
      <c r="K382" s="15"/>
      <c r="L382" s="16">
        <v>83600</v>
      </c>
      <c r="M382" s="3">
        <v>4</v>
      </c>
      <c r="N382" s="3">
        <v>3</v>
      </c>
      <c r="O382" s="3" t="s">
        <v>23</v>
      </c>
      <c r="P382" s="17" t="s">
        <v>24</v>
      </c>
    </row>
    <row r="383" spans="1:16" x14ac:dyDescent="0.3">
      <c r="A383" s="14">
        <v>1382</v>
      </c>
      <c r="B383" s="3" t="s">
        <v>401</v>
      </c>
      <c r="C383" s="3" t="s">
        <v>26</v>
      </c>
      <c r="D383" s="3">
        <v>48</v>
      </c>
      <c r="E383" s="3" t="s">
        <v>52</v>
      </c>
      <c r="F383" s="3" t="s">
        <v>93</v>
      </c>
      <c r="G383" s="3" t="s">
        <v>60</v>
      </c>
      <c r="H383" s="3" t="s">
        <v>33</v>
      </c>
      <c r="I383" s="15">
        <v>44861</v>
      </c>
      <c r="J383" s="3" t="s">
        <v>22</v>
      </c>
      <c r="K383" s="15"/>
      <c r="L383" s="16">
        <v>100400</v>
      </c>
      <c r="M383" s="3">
        <v>3</v>
      </c>
      <c r="N383" s="3">
        <v>3</v>
      </c>
      <c r="O383" s="3" t="s">
        <v>23</v>
      </c>
      <c r="P383" s="17" t="s">
        <v>24</v>
      </c>
    </row>
    <row r="384" spans="1:16" x14ac:dyDescent="0.3">
      <c r="A384" s="14">
        <v>1383</v>
      </c>
      <c r="B384" s="3" t="s">
        <v>402</v>
      </c>
      <c r="C384" s="3" t="s">
        <v>17</v>
      </c>
      <c r="D384" s="3">
        <v>40</v>
      </c>
      <c r="E384" s="3" t="s">
        <v>27</v>
      </c>
      <c r="F384" s="3" t="s">
        <v>28</v>
      </c>
      <c r="G384" s="3" t="s">
        <v>57</v>
      </c>
      <c r="H384" s="3" t="s">
        <v>21</v>
      </c>
      <c r="I384" s="15">
        <v>44747</v>
      </c>
      <c r="J384" s="3" t="s">
        <v>22</v>
      </c>
      <c r="K384" s="15"/>
      <c r="L384" s="16">
        <v>47300</v>
      </c>
      <c r="M384" s="3">
        <v>1</v>
      </c>
      <c r="N384" s="3">
        <v>3</v>
      </c>
      <c r="O384" s="3" t="s">
        <v>23</v>
      </c>
      <c r="P384" s="17" t="s">
        <v>24</v>
      </c>
    </row>
    <row r="385" spans="1:16" x14ac:dyDescent="0.3">
      <c r="A385" s="14">
        <v>1384</v>
      </c>
      <c r="B385" s="3" t="s">
        <v>403</v>
      </c>
      <c r="C385" s="3" t="s">
        <v>17</v>
      </c>
      <c r="D385" s="3">
        <v>35</v>
      </c>
      <c r="E385" s="3" t="s">
        <v>38</v>
      </c>
      <c r="F385" s="3" t="s">
        <v>39</v>
      </c>
      <c r="G385" s="3" t="s">
        <v>20</v>
      </c>
      <c r="H385" s="3" t="s">
        <v>21</v>
      </c>
      <c r="I385" s="15">
        <v>44058</v>
      </c>
      <c r="J385" s="3" t="s">
        <v>22</v>
      </c>
      <c r="K385" s="15"/>
      <c r="L385" s="16">
        <v>59700</v>
      </c>
      <c r="M385" s="3">
        <v>3</v>
      </c>
      <c r="N385" s="3">
        <v>3</v>
      </c>
      <c r="O385" s="3" t="s">
        <v>22</v>
      </c>
      <c r="P385" s="17" t="s">
        <v>42</v>
      </c>
    </row>
    <row r="386" spans="1:16" x14ac:dyDescent="0.3">
      <c r="A386" s="14">
        <v>1385</v>
      </c>
      <c r="B386" s="3" t="s">
        <v>404</v>
      </c>
      <c r="C386" s="3" t="s">
        <v>26</v>
      </c>
      <c r="D386" s="3">
        <v>49</v>
      </c>
      <c r="E386" s="3" t="s">
        <v>75</v>
      </c>
      <c r="F386" s="3" t="s">
        <v>76</v>
      </c>
      <c r="G386" s="3" t="s">
        <v>57</v>
      </c>
      <c r="H386" s="3" t="s">
        <v>33</v>
      </c>
      <c r="I386" s="15">
        <v>45250</v>
      </c>
      <c r="J386" s="3" t="s">
        <v>22</v>
      </c>
      <c r="K386" s="15"/>
      <c r="L386" s="16">
        <v>82500</v>
      </c>
      <c r="M386" s="3">
        <v>5</v>
      </c>
      <c r="N386" s="3">
        <v>2</v>
      </c>
      <c r="O386" s="3" t="s">
        <v>22</v>
      </c>
      <c r="P386" s="17" t="s">
        <v>24</v>
      </c>
    </row>
    <row r="387" spans="1:16" x14ac:dyDescent="0.3">
      <c r="A387" s="14">
        <v>1386</v>
      </c>
      <c r="B387" s="3" t="s">
        <v>61</v>
      </c>
      <c r="C387" s="3" t="s">
        <v>26</v>
      </c>
      <c r="D387" s="3">
        <v>39</v>
      </c>
      <c r="E387" s="3" t="s">
        <v>38</v>
      </c>
      <c r="F387" s="3" t="s">
        <v>82</v>
      </c>
      <c r="G387" s="3" t="s">
        <v>86</v>
      </c>
      <c r="H387" s="3" t="s">
        <v>46</v>
      </c>
      <c r="I387" s="15">
        <v>45096</v>
      </c>
      <c r="J387" s="3" t="s">
        <v>22</v>
      </c>
      <c r="K387" s="15"/>
      <c r="L387" s="16">
        <v>41600</v>
      </c>
      <c r="M387" s="3">
        <v>2</v>
      </c>
      <c r="N387" s="3">
        <v>4</v>
      </c>
      <c r="O387" s="3" t="s">
        <v>22</v>
      </c>
      <c r="P387" s="17" t="s">
        <v>24</v>
      </c>
    </row>
    <row r="388" spans="1:16" x14ac:dyDescent="0.3">
      <c r="A388" s="14">
        <v>1387</v>
      </c>
      <c r="B388" s="3" t="s">
        <v>405</v>
      </c>
      <c r="C388" s="3" t="s">
        <v>17</v>
      </c>
      <c r="D388" s="3">
        <v>39</v>
      </c>
      <c r="E388" s="3" t="s">
        <v>35</v>
      </c>
      <c r="F388" s="3" t="s">
        <v>36</v>
      </c>
      <c r="G388" s="3" t="s">
        <v>60</v>
      </c>
      <c r="H388" s="3" t="s">
        <v>21</v>
      </c>
      <c r="I388" s="15">
        <v>43349</v>
      </c>
      <c r="J388" s="3" t="s">
        <v>22</v>
      </c>
      <c r="K388" s="15"/>
      <c r="L388" s="16">
        <v>110900</v>
      </c>
      <c r="M388" s="3">
        <v>5</v>
      </c>
      <c r="N388" s="3">
        <v>2</v>
      </c>
      <c r="O388" s="3" t="s">
        <v>23</v>
      </c>
      <c r="P388" s="17" t="s">
        <v>24</v>
      </c>
    </row>
    <row r="389" spans="1:16" x14ac:dyDescent="0.3">
      <c r="A389" s="14">
        <v>1388</v>
      </c>
      <c r="B389" s="3" t="s">
        <v>385</v>
      </c>
      <c r="C389" s="3" t="s">
        <v>26</v>
      </c>
      <c r="D389" s="3">
        <v>50</v>
      </c>
      <c r="E389" s="3" t="s">
        <v>75</v>
      </c>
      <c r="F389" s="3" t="s">
        <v>89</v>
      </c>
      <c r="G389" s="3" t="s">
        <v>20</v>
      </c>
      <c r="H389" s="3" t="s">
        <v>21</v>
      </c>
      <c r="I389" s="15">
        <v>45192</v>
      </c>
      <c r="J389" s="3" t="s">
        <v>22</v>
      </c>
      <c r="K389" s="15"/>
      <c r="L389" s="16">
        <v>38300</v>
      </c>
      <c r="M389" s="3">
        <v>4</v>
      </c>
      <c r="N389" s="3">
        <v>1</v>
      </c>
      <c r="O389" s="3" t="s">
        <v>22</v>
      </c>
      <c r="P389" s="17" t="s">
        <v>24</v>
      </c>
    </row>
    <row r="390" spans="1:16" x14ac:dyDescent="0.3">
      <c r="A390" s="14">
        <v>1389</v>
      </c>
      <c r="B390" s="3" t="s">
        <v>406</v>
      </c>
      <c r="C390" s="3" t="s">
        <v>26</v>
      </c>
      <c r="D390" s="3">
        <v>30</v>
      </c>
      <c r="E390" s="3" t="s">
        <v>75</v>
      </c>
      <c r="F390" s="3" t="s">
        <v>89</v>
      </c>
      <c r="G390" s="3" t="s">
        <v>86</v>
      </c>
      <c r="H390" s="3" t="s">
        <v>21</v>
      </c>
      <c r="I390" s="15">
        <v>43244</v>
      </c>
      <c r="J390" s="3" t="s">
        <v>23</v>
      </c>
      <c r="K390" s="15" t="s">
        <v>407</v>
      </c>
      <c r="L390" s="16">
        <v>41800</v>
      </c>
      <c r="M390" s="3">
        <v>3</v>
      </c>
      <c r="N390" s="3">
        <v>5</v>
      </c>
      <c r="O390" s="3" t="s">
        <v>23</v>
      </c>
      <c r="P390" s="17" t="s">
        <v>24</v>
      </c>
    </row>
    <row r="391" spans="1:16" x14ac:dyDescent="0.3">
      <c r="A391" s="14">
        <v>1390</v>
      </c>
      <c r="B391" s="3" t="s">
        <v>298</v>
      </c>
      <c r="C391" s="3" t="s">
        <v>26</v>
      </c>
      <c r="D391" s="3">
        <v>24</v>
      </c>
      <c r="E391" s="3" t="s">
        <v>27</v>
      </c>
      <c r="F391" s="3" t="s">
        <v>32</v>
      </c>
      <c r="G391" s="3" t="s">
        <v>86</v>
      </c>
      <c r="H391" s="3" t="s">
        <v>33</v>
      </c>
      <c r="I391" s="15">
        <v>45442</v>
      </c>
      <c r="J391" s="3" t="s">
        <v>22</v>
      </c>
      <c r="K391" s="15"/>
      <c r="L391" s="16">
        <v>70600</v>
      </c>
      <c r="M391" s="3">
        <v>4</v>
      </c>
      <c r="N391" s="3">
        <v>5</v>
      </c>
      <c r="O391" s="3" t="s">
        <v>22</v>
      </c>
      <c r="P391" s="17" t="s">
        <v>42</v>
      </c>
    </row>
    <row r="392" spans="1:16" x14ac:dyDescent="0.3">
      <c r="A392" s="14">
        <v>1391</v>
      </c>
      <c r="B392" s="3" t="s">
        <v>282</v>
      </c>
      <c r="C392" s="3" t="s">
        <v>17</v>
      </c>
      <c r="D392" s="3">
        <v>36</v>
      </c>
      <c r="E392" s="3" t="s">
        <v>52</v>
      </c>
      <c r="F392" s="3" t="s">
        <v>53</v>
      </c>
      <c r="G392" s="3" t="s">
        <v>86</v>
      </c>
      <c r="H392" s="3" t="s">
        <v>33</v>
      </c>
      <c r="I392" s="15">
        <v>43576</v>
      </c>
      <c r="J392" s="3" t="s">
        <v>22</v>
      </c>
      <c r="K392" s="15"/>
      <c r="L392" s="16">
        <v>49100</v>
      </c>
      <c r="M392" s="3">
        <v>3</v>
      </c>
      <c r="N392" s="3">
        <v>4</v>
      </c>
      <c r="O392" s="3" t="s">
        <v>23</v>
      </c>
      <c r="P392" s="17" t="s">
        <v>24</v>
      </c>
    </row>
    <row r="393" spans="1:16" x14ac:dyDescent="0.3">
      <c r="A393" s="14">
        <v>1392</v>
      </c>
      <c r="B393" s="3" t="s">
        <v>331</v>
      </c>
      <c r="C393" s="3" t="s">
        <v>17</v>
      </c>
      <c r="D393" s="3">
        <v>52</v>
      </c>
      <c r="E393" s="3" t="s">
        <v>18</v>
      </c>
      <c r="F393" s="3" t="s">
        <v>59</v>
      </c>
      <c r="G393" s="3" t="s">
        <v>49</v>
      </c>
      <c r="H393" s="3" t="s">
        <v>21</v>
      </c>
      <c r="I393" s="15">
        <v>45063</v>
      </c>
      <c r="J393" s="3" t="s">
        <v>22</v>
      </c>
      <c r="K393" s="15"/>
      <c r="L393" s="16">
        <v>84000</v>
      </c>
      <c r="M393" s="3">
        <v>1</v>
      </c>
      <c r="N393" s="3">
        <v>4</v>
      </c>
      <c r="O393" s="3" t="s">
        <v>23</v>
      </c>
      <c r="P393" s="17" t="s">
        <v>42</v>
      </c>
    </row>
    <row r="394" spans="1:16" x14ac:dyDescent="0.3">
      <c r="A394" s="14">
        <v>1393</v>
      </c>
      <c r="B394" s="3" t="s">
        <v>408</v>
      </c>
      <c r="C394" s="3" t="s">
        <v>17</v>
      </c>
      <c r="D394" s="3">
        <v>50</v>
      </c>
      <c r="E394" s="3" t="s">
        <v>55</v>
      </c>
      <c r="F394" s="3" t="s">
        <v>67</v>
      </c>
      <c r="G394" s="3" t="s">
        <v>20</v>
      </c>
      <c r="H394" s="3" t="s">
        <v>21</v>
      </c>
      <c r="I394" s="15">
        <v>43473</v>
      </c>
      <c r="J394" s="3" t="s">
        <v>22</v>
      </c>
      <c r="K394" s="15"/>
      <c r="L394" s="16">
        <v>31200</v>
      </c>
      <c r="M394" s="3">
        <v>5</v>
      </c>
      <c r="N394" s="3">
        <v>1</v>
      </c>
      <c r="O394" s="3" t="s">
        <v>23</v>
      </c>
      <c r="P394" s="17" t="s">
        <v>42</v>
      </c>
    </row>
    <row r="395" spans="1:16" x14ac:dyDescent="0.3">
      <c r="A395" s="14">
        <v>1394</v>
      </c>
      <c r="B395" s="3" t="s">
        <v>409</v>
      </c>
      <c r="C395" s="3" t="s">
        <v>26</v>
      </c>
      <c r="D395" s="3">
        <v>44</v>
      </c>
      <c r="E395" s="3" t="s">
        <v>55</v>
      </c>
      <c r="F395" s="3" t="s">
        <v>56</v>
      </c>
      <c r="G395" s="3" t="s">
        <v>62</v>
      </c>
      <c r="H395" s="3" t="s">
        <v>21</v>
      </c>
      <c r="I395" s="15">
        <v>45214</v>
      </c>
      <c r="J395" s="3" t="s">
        <v>23</v>
      </c>
      <c r="K395" s="15" t="s">
        <v>410</v>
      </c>
      <c r="L395" s="16">
        <v>57400</v>
      </c>
      <c r="M395" s="3">
        <v>4</v>
      </c>
      <c r="N395" s="3">
        <v>4</v>
      </c>
      <c r="O395" s="3" t="s">
        <v>23</v>
      </c>
      <c r="P395" s="17" t="s">
        <v>24</v>
      </c>
    </row>
    <row r="396" spans="1:16" x14ac:dyDescent="0.3">
      <c r="A396" s="14">
        <v>1395</v>
      </c>
      <c r="B396" s="3" t="s">
        <v>411</v>
      </c>
      <c r="C396" s="3" t="s">
        <v>26</v>
      </c>
      <c r="D396" s="3">
        <v>57</v>
      </c>
      <c r="E396" s="3" t="s">
        <v>27</v>
      </c>
      <c r="F396" s="3" t="s">
        <v>32</v>
      </c>
      <c r="G396" s="3" t="s">
        <v>86</v>
      </c>
      <c r="H396" s="3" t="s">
        <v>21</v>
      </c>
      <c r="I396" s="15">
        <v>45408</v>
      </c>
      <c r="J396" s="3" t="s">
        <v>22</v>
      </c>
      <c r="K396" s="15"/>
      <c r="L396" s="16">
        <v>69100</v>
      </c>
      <c r="M396" s="3">
        <v>4</v>
      </c>
      <c r="N396" s="3">
        <v>3</v>
      </c>
      <c r="O396" s="3" t="s">
        <v>23</v>
      </c>
      <c r="P396" s="17" t="s">
        <v>24</v>
      </c>
    </row>
    <row r="397" spans="1:16" x14ac:dyDescent="0.3">
      <c r="A397" s="14">
        <v>1396</v>
      </c>
      <c r="B397" s="3" t="s">
        <v>412</v>
      </c>
      <c r="C397" s="3" t="s">
        <v>17</v>
      </c>
      <c r="D397" s="3">
        <v>32</v>
      </c>
      <c r="E397" s="3" t="s">
        <v>35</v>
      </c>
      <c r="F397" s="3" t="s">
        <v>84</v>
      </c>
      <c r="G397" s="3" t="s">
        <v>20</v>
      </c>
      <c r="H397" s="3" t="s">
        <v>21</v>
      </c>
      <c r="I397" s="15">
        <v>44810</v>
      </c>
      <c r="J397" s="3" t="s">
        <v>22</v>
      </c>
      <c r="K397" s="15"/>
      <c r="L397" s="16">
        <v>55800</v>
      </c>
      <c r="M397" s="3">
        <v>5</v>
      </c>
      <c r="N397" s="3">
        <v>1</v>
      </c>
      <c r="O397" s="3" t="s">
        <v>23</v>
      </c>
      <c r="P397" s="17" t="s">
        <v>42</v>
      </c>
    </row>
    <row r="398" spans="1:16" x14ac:dyDescent="0.3">
      <c r="A398" s="14">
        <v>1397</v>
      </c>
      <c r="B398" s="3" t="s">
        <v>412</v>
      </c>
      <c r="C398" s="3" t="s">
        <v>17</v>
      </c>
      <c r="D398" s="3">
        <v>33</v>
      </c>
      <c r="E398" s="3" t="s">
        <v>75</v>
      </c>
      <c r="F398" s="3" t="s">
        <v>76</v>
      </c>
      <c r="G398" s="3" t="s">
        <v>49</v>
      </c>
      <c r="H398" s="3" t="s">
        <v>46</v>
      </c>
      <c r="I398" s="15">
        <v>44973</v>
      </c>
      <c r="J398" s="3" t="s">
        <v>22</v>
      </c>
      <c r="K398" s="15"/>
      <c r="L398" s="16">
        <v>62600</v>
      </c>
      <c r="M398" s="3">
        <v>5</v>
      </c>
      <c r="N398" s="3">
        <v>1</v>
      </c>
      <c r="O398" s="3" t="s">
        <v>23</v>
      </c>
      <c r="P398" s="17" t="s">
        <v>24</v>
      </c>
    </row>
    <row r="399" spans="1:16" x14ac:dyDescent="0.3">
      <c r="A399" s="14">
        <v>1398</v>
      </c>
      <c r="B399" s="3" t="s">
        <v>413</v>
      </c>
      <c r="C399" s="3" t="s">
        <v>17</v>
      </c>
      <c r="D399" s="3">
        <v>56</v>
      </c>
      <c r="E399" s="3" t="s">
        <v>18</v>
      </c>
      <c r="F399" s="3" t="s">
        <v>124</v>
      </c>
      <c r="G399" s="3" t="s">
        <v>62</v>
      </c>
      <c r="H399" s="3" t="s">
        <v>46</v>
      </c>
      <c r="I399" s="15">
        <v>43809</v>
      </c>
      <c r="J399" s="3" t="s">
        <v>22</v>
      </c>
      <c r="K399" s="15"/>
      <c r="L399" s="16">
        <v>71000</v>
      </c>
      <c r="M399" s="3">
        <v>3</v>
      </c>
      <c r="N399" s="3">
        <v>5</v>
      </c>
      <c r="O399" s="3" t="s">
        <v>23</v>
      </c>
      <c r="P399" s="17" t="s">
        <v>42</v>
      </c>
    </row>
    <row r="400" spans="1:16" x14ac:dyDescent="0.3">
      <c r="A400" s="14">
        <v>1399</v>
      </c>
      <c r="B400" s="3" t="s">
        <v>414</v>
      </c>
      <c r="C400" s="3" t="s">
        <v>17</v>
      </c>
      <c r="D400" s="3">
        <v>29</v>
      </c>
      <c r="E400" s="3" t="s">
        <v>52</v>
      </c>
      <c r="F400" s="3" t="s">
        <v>93</v>
      </c>
      <c r="G400" s="3" t="s">
        <v>60</v>
      </c>
      <c r="H400" s="3" t="s">
        <v>30</v>
      </c>
      <c r="I400" s="15">
        <v>43652</v>
      </c>
      <c r="J400" s="3" t="s">
        <v>22</v>
      </c>
      <c r="K400" s="15"/>
      <c r="L400" s="16">
        <v>86400</v>
      </c>
      <c r="M400" s="3">
        <v>3</v>
      </c>
      <c r="N400" s="3">
        <v>5</v>
      </c>
      <c r="O400" s="3" t="s">
        <v>23</v>
      </c>
      <c r="P400" s="17" t="s">
        <v>24</v>
      </c>
    </row>
    <row r="401" spans="1:16" x14ac:dyDescent="0.3">
      <c r="A401" s="18">
        <v>1400</v>
      </c>
      <c r="B401" s="19" t="s">
        <v>259</v>
      </c>
      <c r="C401" s="19" t="s">
        <v>26</v>
      </c>
      <c r="D401" s="19">
        <v>25</v>
      </c>
      <c r="E401" s="19" t="s">
        <v>75</v>
      </c>
      <c r="F401" s="19" t="s">
        <v>76</v>
      </c>
      <c r="G401" s="19" t="s">
        <v>62</v>
      </c>
      <c r="H401" s="19" t="s">
        <v>46</v>
      </c>
      <c r="I401" s="20">
        <v>43537</v>
      </c>
      <c r="J401" s="19" t="s">
        <v>22</v>
      </c>
      <c r="K401" s="20"/>
      <c r="L401" s="21">
        <v>60400</v>
      </c>
      <c r="M401" s="19">
        <v>4</v>
      </c>
      <c r="N401" s="19">
        <v>5</v>
      </c>
      <c r="O401" s="19" t="s">
        <v>23</v>
      </c>
      <c r="P401" s="22" t="s">
        <v>24</v>
      </c>
    </row>
  </sheetData>
  <conditionalFormatting sqref="L1:L1048576">
    <cfRule type="dataBar" priority="1">
      <dataBar>
        <cfvo type="min"/>
        <cfvo type="max"/>
        <color rgb="FF638EC6"/>
      </dataBar>
      <extLst>
        <ext xmlns:x14="http://schemas.microsoft.com/office/spreadsheetml/2009/9/main" uri="{B025F937-C7B1-47D3-B67F-A62EFF666E3E}">
          <x14:id>{CF6EBBC9-3386-4BC4-AC2A-3A01D3C95C00}</x14:id>
        </ext>
      </extLst>
    </cfRule>
  </conditionalFormatting>
  <conditionalFormatting sqref="M1:M1048576">
    <cfRule type="cellIs" dxfId="0" priority="2" operator="lessThan">
      <formula>3</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F6EBBC9-3386-4BC4-AC2A-3A01D3C95C00}">
            <x14:dataBar minLength="0" maxLength="100" border="1" negativeBarBorderColorSameAsPositive="0">
              <x14:cfvo type="autoMin"/>
              <x14:cfvo type="autoMax"/>
              <x14:borderColor rgb="FF638EC6"/>
              <x14:negativeFillColor rgb="FFFF0000"/>
              <x14:negativeBorderColor rgb="FFFF0000"/>
              <x14:axisColor rgb="FF000000"/>
            </x14:dataBar>
          </x14:cfRule>
          <xm:sqref>L1:L1048576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D0462-594E-44E9-9F9B-C15C9A8CAF46}">
  <dimension ref="B4:C10"/>
  <sheetViews>
    <sheetView zoomScale="70" zoomScaleNormal="70" workbookViewId="0">
      <selection activeCell="W19" sqref="W19"/>
    </sheetView>
  </sheetViews>
  <sheetFormatPr defaultRowHeight="14.4" x14ac:dyDescent="0.3"/>
  <cols>
    <col min="1" max="1" width="20" customWidth="1"/>
    <col min="2" max="2" width="29" bestFit="1" customWidth="1"/>
    <col min="3" max="3" width="15.77734375" bestFit="1" customWidth="1"/>
  </cols>
  <sheetData>
    <row r="4" spans="2:3" ht="18" hidden="1" x14ac:dyDescent="0.35">
      <c r="B4" s="7"/>
      <c r="C4" s="7"/>
    </row>
    <row r="5" spans="2:3" ht="18" x14ac:dyDescent="0.35">
      <c r="B5" s="7" t="s">
        <v>415</v>
      </c>
      <c r="C5" s="7">
        <v>401</v>
      </c>
    </row>
    <row r="6" spans="2:3" ht="18" x14ac:dyDescent="0.35">
      <c r="B6" s="7" t="s">
        <v>416</v>
      </c>
      <c r="C6" s="8">
        <v>336</v>
      </c>
    </row>
    <row r="7" spans="2:3" ht="18" x14ac:dyDescent="0.35">
      <c r="B7" s="7" t="s">
        <v>417</v>
      </c>
      <c r="C7" s="7">
        <v>15.96009975062344</v>
      </c>
    </row>
    <row r="8" spans="2:3" ht="18" x14ac:dyDescent="0.35">
      <c r="B8" s="7" t="s">
        <v>418</v>
      </c>
      <c r="C8" s="9">
        <v>61419.75</v>
      </c>
    </row>
    <row r="9" spans="2:3" ht="18" x14ac:dyDescent="0.35">
      <c r="B9" s="7" t="s">
        <v>419</v>
      </c>
      <c r="C9" s="8">
        <v>40.975000000000001</v>
      </c>
    </row>
    <row r="10" spans="2:3" ht="18" x14ac:dyDescent="0.35">
      <c r="B10" s="7" t="s">
        <v>420</v>
      </c>
      <c r="C10" s="7">
        <v>2.9375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118C6-EB8F-4AC7-9D7B-A54D10E619EC}">
  <dimension ref="B3:L27"/>
  <sheetViews>
    <sheetView tabSelected="1" zoomScale="85" zoomScaleNormal="85" workbookViewId="0">
      <selection activeCell="B21" sqref="B21"/>
    </sheetView>
  </sheetViews>
  <sheetFormatPr defaultRowHeight="14.4" x14ac:dyDescent="0.3"/>
  <cols>
    <col min="2" max="2" width="20.5546875" bestFit="1" customWidth="1"/>
    <col min="3" max="3" width="20.109375" bestFit="1" customWidth="1"/>
    <col min="4" max="4" width="10.77734375" bestFit="1" customWidth="1"/>
    <col min="5" max="5" width="11.44140625" bestFit="1" customWidth="1"/>
    <col min="6" max="6" width="20.5546875" bestFit="1" customWidth="1"/>
    <col min="7" max="7" width="9.6640625" bestFit="1" customWidth="1"/>
    <col min="8" max="8" width="16.6640625" bestFit="1" customWidth="1"/>
    <col min="9" max="9" width="20.5546875" bestFit="1" customWidth="1"/>
    <col min="10" max="10" width="7" bestFit="1" customWidth="1"/>
    <col min="11" max="11" width="11.44140625" bestFit="1" customWidth="1"/>
    <col min="12" max="12" width="20.5546875" bestFit="1" customWidth="1"/>
    <col min="13" max="13" width="9.6640625" bestFit="1" customWidth="1"/>
    <col min="14" max="14" width="7" bestFit="1" customWidth="1"/>
    <col min="15" max="15" width="13.88671875" bestFit="1" customWidth="1"/>
    <col min="16" max="17" width="20.109375" bestFit="1" customWidth="1"/>
    <col min="18" max="18" width="7" bestFit="1" customWidth="1"/>
    <col min="19" max="19" width="9.6640625" bestFit="1" customWidth="1"/>
    <col min="20" max="20" width="7" bestFit="1" customWidth="1"/>
    <col min="21" max="21" width="9.6640625" bestFit="1" customWidth="1"/>
    <col min="22" max="22" width="7" bestFit="1" customWidth="1"/>
    <col min="23" max="23" width="9.6640625" bestFit="1" customWidth="1"/>
    <col min="24" max="24" width="7" bestFit="1" customWidth="1"/>
    <col min="25" max="25" width="9.6640625" bestFit="1" customWidth="1"/>
    <col min="26" max="26" width="7" bestFit="1" customWidth="1"/>
    <col min="27" max="27" width="9.6640625" bestFit="1" customWidth="1"/>
    <col min="28" max="28" width="7" bestFit="1" customWidth="1"/>
    <col min="29" max="29" width="9.6640625" bestFit="1" customWidth="1"/>
    <col min="30" max="30" width="7" bestFit="1" customWidth="1"/>
    <col min="31" max="31" width="9.6640625" bestFit="1" customWidth="1"/>
    <col min="32" max="32" width="7" bestFit="1" customWidth="1"/>
    <col min="33" max="33" width="9.6640625" bestFit="1" customWidth="1"/>
    <col min="34" max="34" width="7" bestFit="1" customWidth="1"/>
    <col min="35" max="35" width="9.6640625" bestFit="1" customWidth="1"/>
    <col min="36" max="36" width="7" bestFit="1" customWidth="1"/>
    <col min="37" max="37" width="9.6640625" bestFit="1" customWidth="1"/>
    <col min="38" max="38" width="7" bestFit="1" customWidth="1"/>
    <col min="39" max="39" width="9.6640625" bestFit="1" customWidth="1"/>
    <col min="40" max="40" width="7" bestFit="1" customWidth="1"/>
    <col min="41" max="41" width="9.6640625" bestFit="1" customWidth="1"/>
    <col min="42" max="42" width="7" bestFit="1" customWidth="1"/>
    <col min="43" max="43" width="9.6640625" bestFit="1" customWidth="1"/>
    <col min="44" max="44" width="7" bestFit="1" customWidth="1"/>
    <col min="45" max="45" width="9.6640625" bestFit="1" customWidth="1"/>
    <col min="46" max="46" width="7" bestFit="1" customWidth="1"/>
    <col min="47" max="47" width="9.6640625" bestFit="1" customWidth="1"/>
    <col min="48" max="48" width="7" bestFit="1" customWidth="1"/>
    <col min="49" max="49" width="9.6640625" bestFit="1" customWidth="1"/>
    <col min="50" max="50" width="7" bestFit="1" customWidth="1"/>
    <col min="51" max="51" width="9.6640625" bestFit="1" customWidth="1"/>
    <col min="52" max="52" width="7" bestFit="1" customWidth="1"/>
    <col min="53" max="53" width="9.6640625" bestFit="1" customWidth="1"/>
    <col min="54" max="54" width="7" bestFit="1" customWidth="1"/>
    <col min="55" max="55" width="9.6640625" bestFit="1" customWidth="1"/>
    <col min="56" max="56" width="7" bestFit="1" customWidth="1"/>
    <col min="57" max="57" width="9.6640625" bestFit="1" customWidth="1"/>
    <col min="58" max="58" width="7" bestFit="1" customWidth="1"/>
    <col min="59" max="59" width="9.6640625" bestFit="1" customWidth="1"/>
    <col min="60" max="60" width="7" bestFit="1" customWidth="1"/>
    <col min="61" max="61" width="9.6640625" bestFit="1" customWidth="1"/>
    <col min="62" max="62" width="7" bestFit="1" customWidth="1"/>
    <col min="63" max="63" width="9.6640625" bestFit="1" customWidth="1"/>
    <col min="64" max="64" width="7" bestFit="1" customWidth="1"/>
    <col min="65" max="65" width="9.6640625" bestFit="1" customWidth="1"/>
    <col min="66" max="66" width="7" bestFit="1" customWidth="1"/>
    <col min="67" max="67" width="9.6640625" bestFit="1" customWidth="1"/>
    <col min="68" max="68" width="7" bestFit="1" customWidth="1"/>
    <col min="69" max="69" width="9.6640625" bestFit="1" customWidth="1"/>
    <col min="70" max="70" width="7" bestFit="1" customWidth="1"/>
    <col min="71" max="71" width="9.6640625" bestFit="1" customWidth="1"/>
    <col min="72" max="72" width="7" bestFit="1" customWidth="1"/>
    <col min="73" max="73" width="9.6640625" bestFit="1" customWidth="1"/>
    <col min="74" max="74" width="7" bestFit="1" customWidth="1"/>
    <col min="75" max="75" width="9.6640625" bestFit="1" customWidth="1"/>
    <col min="76" max="76" width="7" bestFit="1" customWidth="1"/>
    <col min="77" max="77" width="9.6640625" bestFit="1" customWidth="1"/>
    <col min="78" max="78" width="7" bestFit="1" customWidth="1"/>
    <col min="79" max="79" width="9.6640625" bestFit="1" customWidth="1"/>
    <col min="80" max="80" width="7" bestFit="1" customWidth="1"/>
    <col min="81" max="81" width="9.6640625" bestFit="1" customWidth="1"/>
    <col min="82" max="82" width="7" bestFit="1" customWidth="1"/>
    <col min="83" max="83" width="9.6640625" bestFit="1" customWidth="1"/>
    <col min="84" max="84" width="7" bestFit="1" customWidth="1"/>
    <col min="85" max="85" width="9.6640625" bestFit="1" customWidth="1"/>
    <col min="86" max="86" width="7" bestFit="1" customWidth="1"/>
    <col min="87" max="87" width="9.6640625" bestFit="1" customWidth="1"/>
    <col min="88" max="88" width="7" bestFit="1" customWidth="1"/>
    <col min="89" max="89" width="9.6640625" bestFit="1" customWidth="1"/>
    <col min="90" max="90" width="7" bestFit="1" customWidth="1"/>
    <col min="91" max="91" width="9.6640625" bestFit="1" customWidth="1"/>
    <col min="92" max="92" width="7" bestFit="1" customWidth="1"/>
    <col min="93" max="93" width="9.6640625" bestFit="1" customWidth="1"/>
    <col min="94" max="94" width="7" bestFit="1" customWidth="1"/>
    <col min="95" max="95" width="9.6640625" bestFit="1" customWidth="1"/>
    <col min="96" max="96" width="7" bestFit="1" customWidth="1"/>
    <col min="97" max="97" width="9.6640625" bestFit="1" customWidth="1"/>
    <col min="98" max="98" width="7" bestFit="1" customWidth="1"/>
    <col min="99" max="99" width="9.6640625" bestFit="1" customWidth="1"/>
    <col min="100" max="100" width="7" bestFit="1" customWidth="1"/>
    <col min="101" max="101" width="9.6640625" bestFit="1" customWidth="1"/>
    <col min="102" max="102" width="7" bestFit="1" customWidth="1"/>
    <col min="103" max="103" width="9.6640625" bestFit="1" customWidth="1"/>
    <col min="104" max="104" width="7" bestFit="1" customWidth="1"/>
    <col min="105" max="105" width="9.6640625" bestFit="1" customWidth="1"/>
    <col min="106" max="106" width="7" bestFit="1" customWidth="1"/>
    <col min="107" max="107" width="9.6640625" bestFit="1" customWidth="1"/>
    <col min="108" max="108" width="7" bestFit="1" customWidth="1"/>
    <col min="109" max="109" width="9.6640625" bestFit="1" customWidth="1"/>
    <col min="110" max="110" width="7" bestFit="1" customWidth="1"/>
    <col min="111" max="111" width="9.6640625" bestFit="1" customWidth="1"/>
    <col min="112" max="112" width="7" bestFit="1" customWidth="1"/>
    <col min="113" max="113" width="9.6640625" bestFit="1" customWidth="1"/>
    <col min="114" max="114" width="7" bestFit="1" customWidth="1"/>
    <col min="115" max="115" width="9.6640625" bestFit="1" customWidth="1"/>
    <col min="116" max="116" width="7" bestFit="1" customWidth="1"/>
    <col min="117" max="117" width="9.6640625" bestFit="1" customWidth="1"/>
    <col min="118" max="118" width="7" bestFit="1" customWidth="1"/>
    <col min="119" max="119" width="9.6640625" bestFit="1" customWidth="1"/>
    <col min="120" max="120" width="7" bestFit="1" customWidth="1"/>
    <col min="121" max="121" width="9.6640625" bestFit="1" customWidth="1"/>
    <col min="122" max="122" width="7" bestFit="1" customWidth="1"/>
    <col min="123" max="123" width="9.6640625" bestFit="1" customWidth="1"/>
    <col min="124" max="124" width="7" bestFit="1" customWidth="1"/>
    <col min="125" max="125" width="9.6640625" bestFit="1" customWidth="1"/>
    <col min="126" max="126" width="7" bestFit="1" customWidth="1"/>
    <col min="127" max="127" width="9.6640625" bestFit="1" customWidth="1"/>
    <col min="128" max="128" width="7" bestFit="1" customWidth="1"/>
    <col min="129" max="129" width="9.6640625" bestFit="1" customWidth="1"/>
    <col min="130" max="130" width="7" bestFit="1" customWidth="1"/>
    <col min="131" max="131" width="9.6640625" bestFit="1" customWidth="1"/>
    <col min="132" max="132" width="7" bestFit="1" customWidth="1"/>
    <col min="133" max="133" width="9.6640625" bestFit="1" customWidth="1"/>
    <col min="134" max="134" width="7" bestFit="1" customWidth="1"/>
    <col min="135" max="135" width="9.6640625" bestFit="1" customWidth="1"/>
    <col min="136" max="136" width="7" bestFit="1" customWidth="1"/>
    <col min="137" max="137" width="9.6640625" bestFit="1" customWidth="1"/>
    <col min="138" max="138" width="7" bestFit="1" customWidth="1"/>
    <col min="139" max="139" width="9.6640625" bestFit="1" customWidth="1"/>
    <col min="140" max="140" width="7" bestFit="1" customWidth="1"/>
    <col min="141" max="141" width="9.6640625" bestFit="1" customWidth="1"/>
    <col min="142" max="142" width="7" bestFit="1" customWidth="1"/>
    <col min="143" max="143" width="9.6640625" bestFit="1" customWidth="1"/>
    <col min="144" max="144" width="7" bestFit="1" customWidth="1"/>
    <col min="145" max="145" width="9.6640625" bestFit="1" customWidth="1"/>
    <col min="146" max="146" width="7" bestFit="1" customWidth="1"/>
    <col min="147" max="147" width="9.6640625" bestFit="1" customWidth="1"/>
    <col min="148" max="148" width="7" bestFit="1" customWidth="1"/>
    <col min="149" max="149" width="9.6640625" bestFit="1" customWidth="1"/>
    <col min="150" max="150" width="7" bestFit="1" customWidth="1"/>
    <col min="151" max="151" width="9.6640625" bestFit="1" customWidth="1"/>
    <col min="152" max="152" width="7" bestFit="1" customWidth="1"/>
    <col min="153" max="153" width="9.6640625" bestFit="1" customWidth="1"/>
    <col min="154" max="154" width="7" bestFit="1" customWidth="1"/>
    <col min="155" max="155" width="9.6640625" bestFit="1" customWidth="1"/>
    <col min="156" max="156" width="7" bestFit="1" customWidth="1"/>
    <col min="157" max="157" width="9.6640625" bestFit="1" customWidth="1"/>
    <col min="158" max="158" width="7" bestFit="1" customWidth="1"/>
    <col min="159" max="159" width="9.6640625" bestFit="1" customWidth="1"/>
    <col min="160" max="160" width="7" bestFit="1" customWidth="1"/>
    <col min="161" max="161" width="9.6640625" bestFit="1" customWidth="1"/>
    <col min="162" max="162" width="7" bestFit="1" customWidth="1"/>
    <col min="163" max="163" width="9.6640625" bestFit="1" customWidth="1"/>
    <col min="164" max="164" width="7" bestFit="1" customWidth="1"/>
    <col min="165" max="165" width="9.6640625" bestFit="1" customWidth="1"/>
    <col min="166" max="166" width="7" bestFit="1" customWidth="1"/>
    <col min="167" max="167" width="9.6640625" bestFit="1" customWidth="1"/>
    <col min="168" max="168" width="7" bestFit="1" customWidth="1"/>
    <col min="169" max="169" width="9.6640625" bestFit="1" customWidth="1"/>
    <col min="170" max="170" width="7" bestFit="1" customWidth="1"/>
    <col min="171" max="171" width="9.6640625" bestFit="1" customWidth="1"/>
    <col min="172" max="172" width="7" bestFit="1" customWidth="1"/>
    <col min="173" max="173" width="9.6640625" bestFit="1" customWidth="1"/>
    <col min="174" max="174" width="7" bestFit="1" customWidth="1"/>
    <col min="175" max="175" width="9.6640625" bestFit="1" customWidth="1"/>
    <col min="176" max="176" width="7" bestFit="1" customWidth="1"/>
    <col min="177" max="177" width="9.6640625" bestFit="1" customWidth="1"/>
    <col min="178" max="178" width="7" bestFit="1" customWidth="1"/>
    <col min="179" max="179" width="9.6640625" bestFit="1" customWidth="1"/>
    <col min="180" max="180" width="7" bestFit="1" customWidth="1"/>
    <col min="181" max="181" width="9.6640625" bestFit="1" customWidth="1"/>
    <col min="182" max="182" width="7" bestFit="1" customWidth="1"/>
    <col min="183" max="183" width="9.6640625" bestFit="1" customWidth="1"/>
    <col min="184" max="184" width="7" bestFit="1" customWidth="1"/>
    <col min="185" max="185" width="9.6640625" bestFit="1" customWidth="1"/>
    <col min="186" max="186" width="7" bestFit="1" customWidth="1"/>
    <col min="187" max="187" width="9.6640625" bestFit="1" customWidth="1"/>
    <col min="188" max="188" width="7" bestFit="1" customWidth="1"/>
    <col min="189" max="189" width="9.6640625" bestFit="1" customWidth="1"/>
    <col min="190" max="190" width="7" bestFit="1" customWidth="1"/>
    <col min="191" max="191" width="9.6640625" bestFit="1" customWidth="1"/>
    <col min="192" max="192" width="7" bestFit="1" customWidth="1"/>
    <col min="193" max="193" width="9.6640625" bestFit="1" customWidth="1"/>
    <col min="194" max="194" width="7" bestFit="1" customWidth="1"/>
    <col min="195" max="195" width="9.6640625" bestFit="1" customWidth="1"/>
    <col min="196" max="196" width="7" bestFit="1" customWidth="1"/>
    <col min="197" max="197" width="9.6640625" bestFit="1" customWidth="1"/>
    <col min="198" max="198" width="7" bestFit="1" customWidth="1"/>
    <col min="199" max="199" width="9.6640625" bestFit="1" customWidth="1"/>
    <col min="200" max="200" width="7" bestFit="1" customWidth="1"/>
    <col min="201" max="201" width="9.6640625" bestFit="1" customWidth="1"/>
    <col min="202" max="202" width="7" bestFit="1" customWidth="1"/>
    <col min="203" max="203" width="9.6640625" bestFit="1" customWidth="1"/>
    <col min="204" max="204" width="7" bestFit="1" customWidth="1"/>
    <col min="205" max="205" width="9.6640625" bestFit="1" customWidth="1"/>
    <col min="206" max="206" width="7" bestFit="1" customWidth="1"/>
    <col min="207" max="207" width="9.6640625" bestFit="1" customWidth="1"/>
    <col min="208" max="208" width="7" bestFit="1" customWidth="1"/>
    <col min="209" max="209" width="9.6640625" bestFit="1" customWidth="1"/>
    <col min="210" max="210" width="7" bestFit="1" customWidth="1"/>
    <col min="211" max="211" width="9.6640625" bestFit="1" customWidth="1"/>
    <col min="212" max="212" width="7" bestFit="1" customWidth="1"/>
    <col min="213" max="213" width="9.6640625" bestFit="1" customWidth="1"/>
    <col min="214" max="214" width="7" bestFit="1" customWidth="1"/>
    <col min="215" max="215" width="9.6640625" bestFit="1" customWidth="1"/>
    <col min="216" max="216" width="7" bestFit="1" customWidth="1"/>
    <col min="217" max="217" width="9.6640625" bestFit="1" customWidth="1"/>
    <col min="218" max="218" width="7" bestFit="1" customWidth="1"/>
    <col min="219" max="219" width="9.6640625" bestFit="1" customWidth="1"/>
    <col min="220" max="220" width="7" bestFit="1" customWidth="1"/>
    <col min="221" max="221" width="9.6640625" bestFit="1" customWidth="1"/>
    <col min="222" max="222" width="7" bestFit="1" customWidth="1"/>
    <col min="223" max="223" width="9.6640625" bestFit="1" customWidth="1"/>
    <col min="224" max="224" width="7" bestFit="1" customWidth="1"/>
    <col min="225" max="225" width="9.6640625" bestFit="1" customWidth="1"/>
    <col min="226" max="226" width="7" bestFit="1" customWidth="1"/>
    <col min="227" max="227" width="9.6640625" bestFit="1" customWidth="1"/>
    <col min="228" max="228" width="7" bestFit="1" customWidth="1"/>
    <col min="229" max="229" width="9.6640625" bestFit="1" customWidth="1"/>
    <col min="230" max="230" width="7" bestFit="1" customWidth="1"/>
    <col min="231" max="231" width="9.6640625" bestFit="1" customWidth="1"/>
    <col min="232" max="232" width="7" bestFit="1" customWidth="1"/>
    <col min="233" max="233" width="9.6640625" bestFit="1" customWidth="1"/>
    <col min="234" max="234" width="7" bestFit="1" customWidth="1"/>
    <col min="235" max="235" width="9.6640625" bestFit="1" customWidth="1"/>
    <col min="236" max="236" width="7" bestFit="1" customWidth="1"/>
    <col min="237" max="237" width="9.6640625" bestFit="1" customWidth="1"/>
    <col min="238" max="238" width="7" bestFit="1" customWidth="1"/>
    <col min="239" max="239" width="9.6640625" bestFit="1" customWidth="1"/>
    <col min="240" max="240" width="7" bestFit="1" customWidth="1"/>
    <col min="241" max="241" width="9.6640625" bestFit="1" customWidth="1"/>
    <col min="242" max="242" width="7" bestFit="1" customWidth="1"/>
    <col min="243" max="243" width="9.6640625" bestFit="1" customWidth="1"/>
    <col min="244" max="244" width="7" bestFit="1" customWidth="1"/>
    <col min="245" max="245" width="9.6640625" bestFit="1" customWidth="1"/>
    <col min="246" max="246" width="7" bestFit="1" customWidth="1"/>
    <col min="247" max="247" width="9.6640625" bestFit="1" customWidth="1"/>
    <col min="248" max="248" width="7" bestFit="1" customWidth="1"/>
    <col min="249" max="249" width="9.6640625" bestFit="1" customWidth="1"/>
    <col min="250" max="250" width="7" bestFit="1" customWidth="1"/>
    <col min="251" max="251" width="9.6640625" bestFit="1" customWidth="1"/>
    <col min="252" max="252" width="7" bestFit="1" customWidth="1"/>
    <col min="253" max="253" width="9.6640625" bestFit="1" customWidth="1"/>
    <col min="254" max="254" width="7" bestFit="1" customWidth="1"/>
    <col min="255" max="255" width="9.6640625" bestFit="1" customWidth="1"/>
    <col min="256" max="256" width="7" bestFit="1" customWidth="1"/>
    <col min="257" max="257" width="9.6640625" bestFit="1" customWidth="1"/>
    <col min="258" max="258" width="7" bestFit="1" customWidth="1"/>
    <col min="259" max="259" width="9.6640625" bestFit="1" customWidth="1"/>
    <col min="260" max="260" width="7" bestFit="1" customWidth="1"/>
    <col min="261" max="261" width="9.6640625" bestFit="1" customWidth="1"/>
    <col min="262" max="262" width="7" bestFit="1" customWidth="1"/>
    <col min="263" max="263" width="9.6640625" bestFit="1" customWidth="1"/>
    <col min="264" max="264" width="7" bestFit="1" customWidth="1"/>
    <col min="265" max="265" width="9.6640625" bestFit="1" customWidth="1"/>
    <col min="266" max="266" width="7" bestFit="1" customWidth="1"/>
    <col min="267" max="267" width="9.6640625" bestFit="1" customWidth="1"/>
    <col min="268" max="268" width="7" bestFit="1" customWidth="1"/>
    <col min="269" max="269" width="9.6640625" bestFit="1" customWidth="1"/>
    <col min="270" max="270" width="7" bestFit="1" customWidth="1"/>
    <col min="271" max="271" width="9.6640625" bestFit="1" customWidth="1"/>
    <col min="272" max="272" width="7" bestFit="1" customWidth="1"/>
    <col min="273" max="273" width="9.6640625" bestFit="1" customWidth="1"/>
    <col min="274" max="274" width="7" bestFit="1" customWidth="1"/>
    <col min="275" max="275" width="9.6640625" bestFit="1" customWidth="1"/>
    <col min="276" max="276" width="7" bestFit="1" customWidth="1"/>
    <col min="277" max="277" width="9.6640625" bestFit="1" customWidth="1"/>
    <col min="278" max="278" width="7" bestFit="1" customWidth="1"/>
    <col min="279" max="279" width="9.6640625" bestFit="1" customWidth="1"/>
    <col min="280" max="280" width="7" bestFit="1" customWidth="1"/>
    <col min="281" max="281" width="9.6640625" bestFit="1" customWidth="1"/>
    <col min="282" max="282" width="7" bestFit="1" customWidth="1"/>
    <col min="283" max="283" width="9.6640625" bestFit="1" customWidth="1"/>
    <col min="284" max="284" width="7" bestFit="1" customWidth="1"/>
    <col min="285" max="285" width="9.6640625" bestFit="1" customWidth="1"/>
    <col min="286" max="286" width="7" bestFit="1" customWidth="1"/>
    <col min="287" max="287" width="9.6640625" bestFit="1" customWidth="1"/>
    <col min="288" max="288" width="7" bestFit="1" customWidth="1"/>
    <col min="289" max="289" width="9.6640625" bestFit="1" customWidth="1"/>
    <col min="290" max="290" width="7" bestFit="1" customWidth="1"/>
    <col min="291" max="291" width="9.6640625" bestFit="1" customWidth="1"/>
    <col min="292" max="292" width="7" bestFit="1" customWidth="1"/>
    <col min="293" max="293" width="9.6640625" bestFit="1" customWidth="1"/>
    <col min="294" max="294" width="7" bestFit="1" customWidth="1"/>
    <col min="295" max="295" width="9.6640625" bestFit="1" customWidth="1"/>
    <col min="296" max="296" width="7" bestFit="1" customWidth="1"/>
    <col min="297" max="297" width="9.6640625" bestFit="1" customWidth="1"/>
    <col min="298" max="298" width="7" bestFit="1" customWidth="1"/>
    <col min="299" max="299" width="9.6640625" bestFit="1" customWidth="1"/>
    <col min="300" max="300" width="7" bestFit="1" customWidth="1"/>
    <col min="301" max="301" width="9.6640625" bestFit="1" customWidth="1"/>
    <col min="302" max="302" width="7" bestFit="1" customWidth="1"/>
    <col min="303" max="303" width="9.6640625" bestFit="1" customWidth="1"/>
    <col min="304" max="304" width="7" bestFit="1" customWidth="1"/>
    <col min="305" max="305" width="9.6640625" bestFit="1" customWidth="1"/>
    <col min="306" max="306" width="7" bestFit="1" customWidth="1"/>
    <col min="307" max="307" width="9.6640625" bestFit="1" customWidth="1"/>
    <col min="308" max="308" width="7" bestFit="1" customWidth="1"/>
    <col min="309" max="309" width="9.6640625" bestFit="1" customWidth="1"/>
    <col min="310" max="310" width="7" bestFit="1" customWidth="1"/>
    <col min="311" max="311" width="9.6640625" bestFit="1" customWidth="1"/>
    <col min="312" max="312" width="7" bestFit="1" customWidth="1"/>
    <col min="313" max="313" width="9.6640625" bestFit="1" customWidth="1"/>
    <col min="314" max="314" width="7" bestFit="1" customWidth="1"/>
    <col min="315" max="315" width="9.6640625" bestFit="1" customWidth="1"/>
    <col min="316" max="316" width="7" bestFit="1" customWidth="1"/>
    <col min="317" max="317" width="9.6640625" bestFit="1" customWidth="1"/>
    <col min="318" max="318" width="7" bestFit="1" customWidth="1"/>
    <col min="319" max="319" width="9.6640625" bestFit="1" customWidth="1"/>
    <col min="320" max="320" width="7" bestFit="1" customWidth="1"/>
    <col min="321" max="321" width="9.6640625" bestFit="1" customWidth="1"/>
    <col min="322" max="322" width="7" bestFit="1" customWidth="1"/>
    <col min="323" max="323" width="9.6640625" bestFit="1" customWidth="1"/>
    <col min="324" max="324" width="7" bestFit="1" customWidth="1"/>
    <col min="325" max="325" width="9.6640625" bestFit="1" customWidth="1"/>
    <col min="326" max="326" width="7" bestFit="1" customWidth="1"/>
    <col min="327" max="327" width="9.6640625" bestFit="1" customWidth="1"/>
    <col min="328" max="328" width="7" bestFit="1" customWidth="1"/>
    <col min="329" max="329" width="9.6640625" bestFit="1" customWidth="1"/>
    <col min="330" max="330" width="7" bestFit="1" customWidth="1"/>
    <col min="331" max="331" width="9.6640625" bestFit="1" customWidth="1"/>
    <col min="332" max="332" width="7" bestFit="1" customWidth="1"/>
    <col min="333" max="333" width="9.6640625" bestFit="1" customWidth="1"/>
    <col min="334" max="334" width="7" bestFit="1" customWidth="1"/>
    <col min="335" max="335" width="9.6640625" bestFit="1" customWidth="1"/>
    <col min="336" max="336" width="7" bestFit="1" customWidth="1"/>
    <col min="337" max="337" width="9.6640625" bestFit="1" customWidth="1"/>
    <col min="338" max="338" width="7" bestFit="1" customWidth="1"/>
    <col min="339" max="339" width="9.6640625" bestFit="1" customWidth="1"/>
    <col min="340" max="340" width="7" bestFit="1" customWidth="1"/>
    <col min="341" max="341" width="9.6640625" bestFit="1" customWidth="1"/>
    <col min="342" max="342" width="7" bestFit="1" customWidth="1"/>
    <col min="343" max="343" width="9.6640625" bestFit="1" customWidth="1"/>
    <col min="344" max="344" width="7" bestFit="1" customWidth="1"/>
    <col min="345" max="345" width="9.6640625" bestFit="1" customWidth="1"/>
    <col min="346" max="346" width="7" bestFit="1" customWidth="1"/>
    <col min="347" max="347" width="9.6640625" bestFit="1" customWidth="1"/>
    <col min="348" max="348" width="7" bestFit="1" customWidth="1"/>
    <col min="349" max="349" width="9.6640625" bestFit="1" customWidth="1"/>
    <col min="350" max="350" width="7" bestFit="1" customWidth="1"/>
    <col min="351" max="351" width="9.6640625" bestFit="1" customWidth="1"/>
    <col min="352" max="352" width="7" bestFit="1" customWidth="1"/>
    <col min="353" max="353" width="9.6640625" bestFit="1" customWidth="1"/>
    <col min="354" max="354" width="7" bestFit="1" customWidth="1"/>
    <col min="355" max="355" width="9.6640625" bestFit="1" customWidth="1"/>
    <col min="356" max="356" width="7" bestFit="1" customWidth="1"/>
    <col min="357" max="357" width="9.6640625" bestFit="1" customWidth="1"/>
    <col min="358" max="358" width="7" bestFit="1" customWidth="1"/>
    <col min="359" max="359" width="9.6640625" bestFit="1" customWidth="1"/>
    <col min="360" max="360" width="7" bestFit="1" customWidth="1"/>
    <col min="361" max="361" width="9.6640625" bestFit="1" customWidth="1"/>
    <col min="362" max="362" width="7" bestFit="1" customWidth="1"/>
    <col min="363" max="363" width="9.6640625" bestFit="1" customWidth="1"/>
    <col min="364" max="364" width="7" bestFit="1" customWidth="1"/>
    <col min="365" max="365" width="9.6640625" bestFit="1" customWidth="1"/>
    <col min="366" max="366" width="7" bestFit="1" customWidth="1"/>
    <col min="367" max="367" width="9.6640625" bestFit="1" customWidth="1"/>
    <col min="368" max="368" width="7" bestFit="1" customWidth="1"/>
    <col min="369" max="369" width="9.6640625" bestFit="1" customWidth="1"/>
    <col min="370" max="370" width="7" bestFit="1" customWidth="1"/>
    <col min="371" max="371" width="9.6640625" bestFit="1" customWidth="1"/>
    <col min="372" max="372" width="7" bestFit="1" customWidth="1"/>
    <col min="373" max="373" width="9.6640625" bestFit="1" customWidth="1"/>
    <col min="374" max="374" width="7" bestFit="1" customWidth="1"/>
    <col min="375" max="375" width="9.6640625" bestFit="1" customWidth="1"/>
    <col min="376" max="376" width="7" bestFit="1" customWidth="1"/>
    <col min="377" max="377" width="9.6640625" bestFit="1" customWidth="1"/>
    <col min="378" max="378" width="7" bestFit="1" customWidth="1"/>
    <col min="379" max="379" width="9.6640625" bestFit="1" customWidth="1"/>
    <col min="380" max="380" width="7" bestFit="1" customWidth="1"/>
    <col min="381" max="381" width="9.6640625" bestFit="1" customWidth="1"/>
    <col min="382" max="382" width="7" bestFit="1" customWidth="1"/>
    <col min="383" max="383" width="9.6640625" bestFit="1" customWidth="1"/>
    <col min="384" max="384" width="7" bestFit="1" customWidth="1"/>
    <col min="385" max="385" width="9.6640625" bestFit="1" customWidth="1"/>
    <col min="386" max="386" width="7" bestFit="1" customWidth="1"/>
    <col min="387" max="387" width="9.6640625" bestFit="1" customWidth="1"/>
    <col min="388" max="388" width="7" bestFit="1" customWidth="1"/>
    <col min="389" max="389" width="9.6640625" bestFit="1" customWidth="1"/>
    <col min="390" max="390" width="7" bestFit="1" customWidth="1"/>
    <col min="391" max="391" width="9.6640625" bestFit="1" customWidth="1"/>
    <col min="392" max="392" width="7" bestFit="1" customWidth="1"/>
    <col min="393" max="393" width="9.6640625" bestFit="1" customWidth="1"/>
    <col min="394" max="394" width="7" bestFit="1" customWidth="1"/>
    <col min="395" max="395" width="9.6640625" bestFit="1" customWidth="1"/>
    <col min="396" max="396" width="7" bestFit="1" customWidth="1"/>
    <col min="397" max="397" width="9.6640625" bestFit="1" customWidth="1"/>
    <col min="398" max="398" width="7" bestFit="1" customWidth="1"/>
    <col min="399" max="399" width="9.6640625" bestFit="1" customWidth="1"/>
    <col min="400" max="400" width="7" bestFit="1" customWidth="1"/>
    <col min="401" max="401" width="9.6640625" bestFit="1" customWidth="1"/>
    <col min="402" max="402" width="7" bestFit="1" customWidth="1"/>
    <col min="403" max="403" width="9.6640625" bestFit="1" customWidth="1"/>
    <col min="404" max="404" width="7" bestFit="1" customWidth="1"/>
    <col min="405" max="405" width="9.6640625" bestFit="1" customWidth="1"/>
    <col min="406" max="406" width="7" bestFit="1" customWidth="1"/>
    <col min="407" max="407" width="9.6640625" bestFit="1" customWidth="1"/>
    <col min="408" max="408" width="7" bestFit="1" customWidth="1"/>
    <col min="409" max="409" width="9.6640625" bestFit="1" customWidth="1"/>
    <col min="410" max="410" width="7" bestFit="1" customWidth="1"/>
    <col min="411" max="411" width="9.6640625" bestFit="1" customWidth="1"/>
    <col min="412" max="412" width="7" bestFit="1" customWidth="1"/>
    <col min="413" max="413" width="9.6640625" bestFit="1" customWidth="1"/>
    <col min="414" max="414" width="7" bestFit="1" customWidth="1"/>
    <col min="415" max="415" width="9.6640625" bestFit="1" customWidth="1"/>
    <col min="416" max="416" width="7" bestFit="1" customWidth="1"/>
    <col min="417" max="417" width="9.6640625" bestFit="1" customWidth="1"/>
    <col min="418" max="418" width="7" bestFit="1" customWidth="1"/>
    <col min="419" max="419" width="9.6640625" bestFit="1" customWidth="1"/>
    <col min="420" max="420" width="7" bestFit="1" customWidth="1"/>
    <col min="421" max="421" width="9.6640625" bestFit="1" customWidth="1"/>
    <col min="422" max="422" width="7" bestFit="1" customWidth="1"/>
    <col min="423" max="423" width="9.6640625" bestFit="1" customWidth="1"/>
    <col min="424" max="424" width="7" bestFit="1" customWidth="1"/>
    <col min="425" max="425" width="9.6640625" bestFit="1" customWidth="1"/>
    <col min="426" max="426" width="7" bestFit="1" customWidth="1"/>
    <col min="427" max="427" width="9.6640625" bestFit="1" customWidth="1"/>
    <col min="428" max="428" width="7" bestFit="1" customWidth="1"/>
    <col min="429" max="429" width="9.6640625" bestFit="1" customWidth="1"/>
    <col min="430" max="430" width="7" bestFit="1" customWidth="1"/>
    <col min="431" max="431" width="9.6640625" bestFit="1" customWidth="1"/>
    <col min="432" max="432" width="7" bestFit="1" customWidth="1"/>
    <col min="433" max="433" width="9.6640625" bestFit="1" customWidth="1"/>
    <col min="434" max="434" width="7" bestFit="1" customWidth="1"/>
    <col min="435" max="435" width="9.6640625" bestFit="1" customWidth="1"/>
    <col min="436" max="436" width="7" bestFit="1" customWidth="1"/>
    <col min="437" max="437" width="9.6640625" bestFit="1" customWidth="1"/>
    <col min="438" max="438" width="7" bestFit="1" customWidth="1"/>
    <col min="439" max="439" width="9.6640625" bestFit="1" customWidth="1"/>
    <col min="440" max="440" width="7" bestFit="1" customWidth="1"/>
    <col min="441" max="441" width="9.6640625" bestFit="1" customWidth="1"/>
    <col min="442" max="442" width="7" bestFit="1" customWidth="1"/>
    <col min="443" max="443" width="9.6640625" bestFit="1" customWidth="1"/>
    <col min="444" max="444" width="7" bestFit="1" customWidth="1"/>
    <col min="445" max="445" width="9.6640625" bestFit="1" customWidth="1"/>
    <col min="446" max="446" width="7" bestFit="1" customWidth="1"/>
    <col min="447" max="447" width="9.6640625" bestFit="1" customWidth="1"/>
    <col min="448" max="448" width="7" bestFit="1" customWidth="1"/>
    <col min="449" max="449" width="9.6640625" bestFit="1" customWidth="1"/>
    <col min="450" max="450" width="7" bestFit="1" customWidth="1"/>
    <col min="451" max="451" width="9.6640625" bestFit="1" customWidth="1"/>
    <col min="452" max="452" width="7" bestFit="1" customWidth="1"/>
    <col min="453" max="453" width="9.6640625" bestFit="1" customWidth="1"/>
    <col min="454" max="454" width="7" bestFit="1" customWidth="1"/>
    <col min="455" max="455" width="9.6640625" bestFit="1" customWidth="1"/>
    <col min="456" max="456" width="7" bestFit="1" customWidth="1"/>
    <col min="457" max="457" width="9.6640625" bestFit="1" customWidth="1"/>
    <col min="458" max="458" width="7" bestFit="1" customWidth="1"/>
    <col min="459" max="459" width="9.6640625" bestFit="1" customWidth="1"/>
    <col min="460" max="460" width="7" bestFit="1" customWidth="1"/>
    <col min="461" max="461" width="9.6640625" bestFit="1" customWidth="1"/>
    <col min="462" max="462" width="7" bestFit="1" customWidth="1"/>
    <col min="463" max="463" width="9.6640625" bestFit="1" customWidth="1"/>
    <col min="464" max="464" width="7" bestFit="1" customWidth="1"/>
    <col min="465" max="465" width="9.6640625" bestFit="1" customWidth="1"/>
    <col min="466" max="466" width="7" bestFit="1" customWidth="1"/>
    <col min="467" max="467" width="9.6640625" bestFit="1" customWidth="1"/>
    <col min="468" max="468" width="7" bestFit="1" customWidth="1"/>
    <col min="469" max="469" width="9.6640625" bestFit="1" customWidth="1"/>
    <col min="470" max="470" width="7" bestFit="1" customWidth="1"/>
    <col min="471" max="471" width="9.6640625" bestFit="1" customWidth="1"/>
    <col min="472" max="472" width="7" bestFit="1" customWidth="1"/>
    <col min="473" max="473" width="9.6640625" bestFit="1" customWidth="1"/>
    <col min="474" max="474" width="7" bestFit="1" customWidth="1"/>
    <col min="475" max="475" width="9.6640625" bestFit="1" customWidth="1"/>
    <col min="476" max="476" width="7" bestFit="1" customWidth="1"/>
    <col min="477" max="477" width="9.6640625" bestFit="1" customWidth="1"/>
    <col min="478" max="478" width="7" bestFit="1" customWidth="1"/>
    <col min="479" max="479" width="9.6640625" bestFit="1" customWidth="1"/>
    <col min="480" max="480" width="7" bestFit="1" customWidth="1"/>
    <col min="481" max="481" width="9.6640625" bestFit="1" customWidth="1"/>
    <col min="482" max="482" width="7" bestFit="1" customWidth="1"/>
    <col min="483" max="483" width="9.6640625" bestFit="1" customWidth="1"/>
    <col min="484" max="484" width="7" bestFit="1" customWidth="1"/>
    <col min="485" max="485" width="9.6640625" bestFit="1" customWidth="1"/>
    <col min="486" max="486" width="7" bestFit="1" customWidth="1"/>
    <col min="487" max="487" width="9.6640625" bestFit="1" customWidth="1"/>
    <col min="488" max="488" width="7" bestFit="1" customWidth="1"/>
    <col min="489" max="489" width="9.6640625" bestFit="1" customWidth="1"/>
    <col min="490" max="490" width="7" bestFit="1" customWidth="1"/>
    <col min="491" max="491" width="9.6640625" bestFit="1" customWidth="1"/>
    <col min="492" max="492" width="7" bestFit="1" customWidth="1"/>
    <col min="493" max="493" width="9.6640625" bestFit="1" customWidth="1"/>
    <col min="494" max="494" width="7" bestFit="1" customWidth="1"/>
    <col min="495" max="495" width="9.6640625" bestFit="1" customWidth="1"/>
    <col min="496" max="496" width="7" bestFit="1" customWidth="1"/>
    <col min="497" max="497" width="9.6640625" bestFit="1" customWidth="1"/>
    <col min="498" max="498" width="7" bestFit="1" customWidth="1"/>
    <col min="499" max="499" width="9.6640625" bestFit="1" customWidth="1"/>
    <col min="500" max="500" width="7" bestFit="1" customWidth="1"/>
    <col min="501" max="501" width="9.6640625" bestFit="1" customWidth="1"/>
    <col min="502" max="502" width="7" bestFit="1" customWidth="1"/>
    <col min="503" max="503" width="9.6640625" bestFit="1" customWidth="1"/>
    <col min="504" max="504" width="7" bestFit="1" customWidth="1"/>
    <col min="505" max="505" width="9.6640625" bestFit="1" customWidth="1"/>
    <col min="506" max="506" width="7" bestFit="1" customWidth="1"/>
    <col min="507" max="507" width="9.6640625" bestFit="1" customWidth="1"/>
    <col min="508" max="508" width="7" bestFit="1" customWidth="1"/>
    <col min="509" max="509" width="9.6640625" bestFit="1" customWidth="1"/>
    <col min="510" max="510" width="7" bestFit="1" customWidth="1"/>
    <col min="511" max="511" width="9.6640625" bestFit="1" customWidth="1"/>
    <col min="512" max="512" width="7" bestFit="1" customWidth="1"/>
    <col min="513" max="513" width="9.6640625" bestFit="1" customWidth="1"/>
    <col min="514" max="514" width="7" bestFit="1" customWidth="1"/>
    <col min="515" max="515" width="9.6640625" bestFit="1" customWidth="1"/>
    <col min="516" max="516" width="7" bestFit="1" customWidth="1"/>
    <col min="517" max="517" width="9.6640625" bestFit="1" customWidth="1"/>
    <col min="518" max="518" width="7" bestFit="1" customWidth="1"/>
    <col min="519" max="519" width="9.6640625" bestFit="1" customWidth="1"/>
    <col min="520" max="520" width="7" bestFit="1" customWidth="1"/>
    <col min="521" max="521" width="9.6640625" bestFit="1" customWidth="1"/>
    <col min="522" max="522" width="7" bestFit="1" customWidth="1"/>
    <col min="523" max="523" width="9.6640625" bestFit="1" customWidth="1"/>
    <col min="524" max="524" width="7" bestFit="1" customWidth="1"/>
    <col min="525" max="525" width="9.6640625" bestFit="1" customWidth="1"/>
    <col min="526" max="526" width="7" bestFit="1" customWidth="1"/>
    <col min="527" max="527" width="9.6640625" bestFit="1" customWidth="1"/>
    <col min="528" max="528" width="7" bestFit="1" customWidth="1"/>
    <col min="529" max="529" width="9.6640625" bestFit="1" customWidth="1"/>
    <col min="530" max="530" width="7" bestFit="1" customWidth="1"/>
    <col min="531" max="531" width="9.6640625" bestFit="1" customWidth="1"/>
    <col min="532" max="532" width="7" bestFit="1" customWidth="1"/>
    <col min="533" max="533" width="9.6640625" bestFit="1" customWidth="1"/>
    <col min="534" max="534" width="7" bestFit="1" customWidth="1"/>
    <col min="535" max="535" width="9.6640625" bestFit="1" customWidth="1"/>
    <col min="536" max="536" width="7" bestFit="1" customWidth="1"/>
    <col min="537" max="537" width="9.6640625" bestFit="1" customWidth="1"/>
    <col min="538" max="538" width="7" bestFit="1" customWidth="1"/>
    <col min="539" max="539" width="9.6640625" bestFit="1" customWidth="1"/>
    <col min="540" max="540" width="7" bestFit="1" customWidth="1"/>
    <col min="541" max="541" width="9.6640625" bestFit="1" customWidth="1"/>
    <col min="542" max="542" width="7" bestFit="1" customWidth="1"/>
    <col min="543" max="543" width="9.6640625" bestFit="1" customWidth="1"/>
    <col min="544" max="544" width="7" bestFit="1" customWidth="1"/>
    <col min="545" max="545" width="9.6640625" bestFit="1" customWidth="1"/>
    <col min="546" max="546" width="7" bestFit="1" customWidth="1"/>
    <col min="547" max="547" width="9.6640625" bestFit="1" customWidth="1"/>
    <col min="548" max="548" width="7" bestFit="1" customWidth="1"/>
    <col min="549" max="549" width="9.6640625" bestFit="1" customWidth="1"/>
    <col min="550" max="550" width="7" bestFit="1" customWidth="1"/>
    <col min="551" max="551" width="9.6640625" bestFit="1" customWidth="1"/>
    <col min="552" max="552" width="7" bestFit="1" customWidth="1"/>
    <col min="553" max="553" width="9.6640625" bestFit="1" customWidth="1"/>
    <col min="554" max="554" width="7" bestFit="1" customWidth="1"/>
    <col min="555" max="555" width="9.6640625" bestFit="1" customWidth="1"/>
    <col min="556" max="556" width="7" bestFit="1" customWidth="1"/>
    <col min="557" max="557" width="9.6640625" bestFit="1" customWidth="1"/>
    <col min="558" max="558" width="7" bestFit="1" customWidth="1"/>
    <col min="559" max="559" width="9.6640625" bestFit="1" customWidth="1"/>
    <col min="560" max="560" width="7" bestFit="1" customWidth="1"/>
    <col min="561" max="561" width="9.6640625" bestFit="1" customWidth="1"/>
    <col min="562" max="562" width="7" bestFit="1" customWidth="1"/>
    <col min="563" max="563" width="9.6640625" bestFit="1" customWidth="1"/>
    <col min="564" max="564" width="7" bestFit="1" customWidth="1"/>
    <col min="565" max="565" width="9.6640625" bestFit="1" customWidth="1"/>
    <col min="566" max="566" width="7" bestFit="1" customWidth="1"/>
    <col min="567" max="567" width="9.6640625" bestFit="1" customWidth="1"/>
    <col min="568" max="568" width="7" bestFit="1" customWidth="1"/>
    <col min="569" max="569" width="9.6640625" bestFit="1" customWidth="1"/>
    <col min="570" max="570" width="7" bestFit="1" customWidth="1"/>
    <col min="571" max="571" width="9.6640625" bestFit="1" customWidth="1"/>
    <col min="572" max="572" width="7" bestFit="1" customWidth="1"/>
    <col min="573" max="573" width="9.6640625" bestFit="1" customWidth="1"/>
    <col min="574" max="574" width="7" bestFit="1" customWidth="1"/>
    <col min="575" max="575" width="9.6640625" bestFit="1" customWidth="1"/>
    <col min="576" max="576" width="7" bestFit="1" customWidth="1"/>
    <col min="577" max="577" width="9.6640625" bestFit="1" customWidth="1"/>
    <col min="578" max="578" width="7" bestFit="1" customWidth="1"/>
    <col min="579" max="579" width="9.6640625" bestFit="1" customWidth="1"/>
    <col min="580" max="580" width="7" bestFit="1" customWidth="1"/>
    <col min="581" max="581" width="9.6640625" bestFit="1" customWidth="1"/>
    <col min="582" max="582" width="7" bestFit="1" customWidth="1"/>
    <col min="583" max="583" width="9.6640625" bestFit="1" customWidth="1"/>
    <col min="584" max="584" width="7" bestFit="1" customWidth="1"/>
    <col min="585" max="585" width="9.6640625" bestFit="1" customWidth="1"/>
    <col min="586" max="586" width="7" bestFit="1" customWidth="1"/>
    <col min="587" max="587" width="9.6640625" bestFit="1" customWidth="1"/>
    <col min="588" max="588" width="7" bestFit="1" customWidth="1"/>
    <col min="589" max="589" width="9.6640625" bestFit="1" customWidth="1"/>
    <col min="590" max="590" width="7" bestFit="1" customWidth="1"/>
    <col min="591" max="591" width="9.6640625" bestFit="1" customWidth="1"/>
    <col min="592" max="592" width="7" bestFit="1" customWidth="1"/>
    <col min="593" max="593" width="9.6640625" bestFit="1" customWidth="1"/>
    <col min="594" max="594" width="7" bestFit="1" customWidth="1"/>
    <col min="595" max="595" width="9.6640625" bestFit="1" customWidth="1"/>
    <col min="596" max="596" width="7" bestFit="1" customWidth="1"/>
    <col min="597" max="597" width="9.6640625" bestFit="1" customWidth="1"/>
    <col min="598" max="598" width="7" bestFit="1" customWidth="1"/>
    <col min="599" max="599" width="9.6640625" bestFit="1" customWidth="1"/>
    <col min="600" max="600" width="7" bestFit="1" customWidth="1"/>
    <col min="601" max="601" width="9.6640625" bestFit="1" customWidth="1"/>
    <col min="602" max="602" width="7" bestFit="1" customWidth="1"/>
    <col min="603" max="603" width="9.6640625" bestFit="1" customWidth="1"/>
    <col min="604" max="604" width="7" bestFit="1" customWidth="1"/>
    <col min="605" max="605" width="9.6640625" bestFit="1" customWidth="1"/>
    <col min="606" max="606" width="7" bestFit="1" customWidth="1"/>
    <col min="607" max="607" width="9.6640625" bestFit="1" customWidth="1"/>
    <col min="608" max="608" width="7" bestFit="1" customWidth="1"/>
    <col min="609" max="609" width="9.6640625" bestFit="1" customWidth="1"/>
    <col min="610" max="610" width="7" bestFit="1" customWidth="1"/>
    <col min="611" max="611" width="9.6640625" bestFit="1" customWidth="1"/>
    <col min="612" max="612" width="7" bestFit="1" customWidth="1"/>
    <col min="613" max="613" width="9.6640625" bestFit="1" customWidth="1"/>
    <col min="614" max="614" width="7" bestFit="1" customWidth="1"/>
    <col min="615" max="615" width="9.6640625" bestFit="1" customWidth="1"/>
    <col min="616" max="616" width="7" bestFit="1" customWidth="1"/>
    <col min="617" max="617" width="9.6640625" bestFit="1" customWidth="1"/>
    <col min="618" max="618" width="7" bestFit="1" customWidth="1"/>
    <col min="619" max="619" width="9.6640625" bestFit="1" customWidth="1"/>
    <col min="620" max="620" width="7" bestFit="1" customWidth="1"/>
    <col min="621" max="621" width="9.6640625" bestFit="1" customWidth="1"/>
    <col min="622" max="622" width="7" bestFit="1" customWidth="1"/>
    <col min="623" max="623" width="9.6640625" bestFit="1" customWidth="1"/>
    <col min="624" max="624" width="7" bestFit="1" customWidth="1"/>
    <col min="625" max="625" width="9.6640625" bestFit="1" customWidth="1"/>
    <col min="626" max="626" width="7" bestFit="1" customWidth="1"/>
    <col min="627" max="627" width="9.6640625" bestFit="1" customWidth="1"/>
    <col min="628" max="628" width="7" bestFit="1" customWidth="1"/>
    <col min="629" max="629" width="9.6640625" bestFit="1" customWidth="1"/>
    <col min="630" max="630" width="7" bestFit="1" customWidth="1"/>
    <col min="631" max="631" width="9.6640625" bestFit="1" customWidth="1"/>
    <col min="632" max="632" width="7" bestFit="1" customWidth="1"/>
    <col min="633" max="633" width="9.6640625" bestFit="1" customWidth="1"/>
    <col min="634" max="634" width="7" bestFit="1" customWidth="1"/>
    <col min="635" max="635" width="9.6640625" bestFit="1" customWidth="1"/>
    <col min="636" max="636" width="7" bestFit="1" customWidth="1"/>
    <col min="637" max="637" width="9.6640625" bestFit="1" customWidth="1"/>
    <col min="638" max="638" width="7" bestFit="1" customWidth="1"/>
    <col min="639" max="639" width="9.6640625" bestFit="1" customWidth="1"/>
    <col min="640" max="640" width="7" bestFit="1" customWidth="1"/>
    <col min="641" max="641" width="9.6640625" bestFit="1" customWidth="1"/>
    <col min="642" max="642" width="7" bestFit="1" customWidth="1"/>
    <col min="643" max="643" width="9.6640625" bestFit="1" customWidth="1"/>
    <col min="644" max="644" width="7" bestFit="1" customWidth="1"/>
    <col min="645" max="645" width="9.6640625" bestFit="1" customWidth="1"/>
    <col min="646" max="646" width="7" bestFit="1" customWidth="1"/>
    <col min="647" max="647" width="9.6640625" bestFit="1" customWidth="1"/>
    <col min="648" max="648" width="7" bestFit="1" customWidth="1"/>
    <col min="649" max="649" width="9.6640625" bestFit="1" customWidth="1"/>
    <col min="650" max="650" width="7" bestFit="1" customWidth="1"/>
    <col min="651" max="651" width="9.6640625" bestFit="1" customWidth="1"/>
    <col min="652" max="652" width="7" bestFit="1" customWidth="1"/>
    <col min="653" max="653" width="9.6640625" bestFit="1" customWidth="1"/>
    <col min="654" max="654" width="7" bestFit="1" customWidth="1"/>
    <col min="655" max="655" width="9.6640625" bestFit="1" customWidth="1"/>
    <col min="656" max="656" width="7" bestFit="1" customWidth="1"/>
    <col min="657" max="657" width="9.6640625" bestFit="1" customWidth="1"/>
    <col min="658" max="658" width="7" bestFit="1" customWidth="1"/>
    <col min="659" max="659" width="9.6640625" bestFit="1" customWidth="1"/>
    <col min="660" max="660" width="7" bestFit="1" customWidth="1"/>
    <col min="661" max="661" width="9.6640625" bestFit="1" customWidth="1"/>
    <col min="662" max="662" width="7" bestFit="1" customWidth="1"/>
    <col min="663" max="663" width="9.6640625" bestFit="1" customWidth="1"/>
    <col min="664" max="664" width="7" bestFit="1" customWidth="1"/>
    <col min="665" max="665" width="9.6640625" bestFit="1" customWidth="1"/>
    <col min="666" max="666" width="7" bestFit="1" customWidth="1"/>
    <col min="667" max="667" width="9.6640625" bestFit="1" customWidth="1"/>
    <col min="668" max="668" width="7" bestFit="1" customWidth="1"/>
    <col min="669" max="669" width="9.6640625" bestFit="1" customWidth="1"/>
    <col min="670" max="670" width="7" bestFit="1" customWidth="1"/>
    <col min="671" max="671" width="9.6640625" bestFit="1" customWidth="1"/>
    <col min="672" max="672" width="7" bestFit="1" customWidth="1"/>
    <col min="673" max="673" width="9.6640625" bestFit="1" customWidth="1"/>
    <col min="674" max="674" width="7" bestFit="1" customWidth="1"/>
    <col min="675" max="675" width="9.6640625" bestFit="1" customWidth="1"/>
    <col min="676" max="676" width="7" bestFit="1" customWidth="1"/>
    <col min="677" max="677" width="9.6640625" bestFit="1" customWidth="1"/>
    <col min="678" max="678" width="7" bestFit="1" customWidth="1"/>
    <col min="679" max="679" width="9.6640625" bestFit="1" customWidth="1"/>
    <col min="680" max="680" width="7" bestFit="1" customWidth="1"/>
    <col min="681" max="681" width="9.6640625" bestFit="1" customWidth="1"/>
    <col min="682" max="682" width="7" bestFit="1" customWidth="1"/>
    <col min="683" max="683" width="9.6640625" bestFit="1" customWidth="1"/>
    <col min="684" max="684" width="7" bestFit="1" customWidth="1"/>
    <col min="685" max="685" width="9.6640625" bestFit="1" customWidth="1"/>
    <col min="686" max="686" width="7" bestFit="1" customWidth="1"/>
    <col min="687" max="687" width="9.6640625" bestFit="1" customWidth="1"/>
    <col min="688" max="688" width="7" bestFit="1" customWidth="1"/>
    <col min="689" max="689" width="9.6640625" bestFit="1" customWidth="1"/>
    <col min="690" max="690" width="7" bestFit="1" customWidth="1"/>
    <col min="691" max="691" width="9.6640625" bestFit="1" customWidth="1"/>
    <col min="692" max="692" width="7" bestFit="1" customWidth="1"/>
    <col min="693" max="693" width="9.6640625" bestFit="1" customWidth="1"/>
    <col min="694" max="694" width="7" bestFit="1" customWidth="1"/>
    <col min="695" max="695" width="9.6640625" bestFit="1" customWidth="1"/>
    <col min="696" max="696" width="7" bestFit="1" customWidth="1"/>
    <col min="697" max="697" width="9.6640625" bestFit="1" customWidth="1"/>
    <col min="698" max="698" width="7" bestFit="1" customWidth="1"/>
    <col min="699" max="699" width="9.6640625" bestFit="1" customWidth="1"/>
    <col min="700" max="700" width="7" bestFit="1" customWidth="1"/>
    <col min="701" max="701" width="9.6640625" bestFit="1" customWidth="1"/>
    <col min="702" max="702" width="7" bestFit="1" customWidth="1"/>
    <col min="703" max="703" width="9.6640625" bestFit="1" customWidth="1"/>
    <col min="704" max="704" width="7" bestFit="1" customWidth="1"/>
    <col min="705" max="705" width="9.6640625" bestFit="1" customWidth="1"/>
    <col min="706" max="706" width="7" bestFit="1" customWidth="1"/>
    <col min="707" max="707" width="9.6640625" bestFit="1" customWidth="1"/>
    <col min="708" max="708" width="7" bestFit="1" customWidth="1"/>
    <col min="709" max="709" width="9.6640625" bestFit="1" customWidth="1"/>
    <col min="710" max="710" width="7" bestFit="1" customWidth="1"/>
    <col min="711" max="711" width="9.6640625" bestFit="1" customWidth="1"/>
    <col min="712" max="712" width="7" bestFit="1" customWidth="1"/>
    <col min="713" max="713" width="9.6640625" bestFit="1" customWidth="1"/>
    <col min="714" max="714" width="7" bestFit="1" customWidth="1"/>
    <col min="715" max="715" width="9.6640625" bestFit="1" customWidth="1"/>
    <col min="716" max="716" width="7" bestFit="1" customWidth="1"/>
    <col min="717" max="717" width="9.6640625" bestFit="1" customWidth="1"/>
    <col min="718" max="718" width="7" bestFit="1" customWidth="1"/>
    <col min="719" max="719" width="9.6640625" bestFit="1" customWidth="1"/>
    <col min="720" max="720" width="7" bestFit="1" customWidth="1"/>
    <col min="721" max="721" width="9.6640625" bestFit="1" customWidth="1"/>
    <col min="722" max="722" width="7" bestFit="1" customWidth="1"/>
    <col min="723" max="723" width="9.6640625" bestFit="1" customWidth="1"/>
    <col min="724" max="724" width="7" bestFit="1" customWidth="1"/>
    <col min="725" max="725" width="9.6640625" bestFit="1" customWidth="1"/>
    <col min="726" max="726" width="7" bestFit="1" customWidth="1"/>
    <col min="727" max="727" width="9.6640625" bestFit="1" customWidth="1"/>
    <col min="728" max="728" width="7" bestFit="1" customWidth="1"/>
    <col min="729" max="729" width="9.6640625" bestFit="1" customWidth="1"/>
    <col min="730" max="730" width="7" bestFit="1" customWidth="1"/>
    <col min="731" max="731" width="9.6640625" bestFit="1" customWidth="1"/>
    <col min="732" max="732" width="7" bestFit="1" customWidth="1"/>
    <col min="733" max="733" width="9.6640625" bestFit="1" customWidth="1"/>
    <col min="734" max="734" width="7" bestFit="1" customWidth="1"/>
    <col min="735" max="735" width="9.6640625" bestFit="1" customWidth="1"/>
    <col min="736" max="736" width="7" bestFit="1" customWidth="1"/>
    <col min="737" max="737" width="9.6640625" bestFit="1" customWidth="1"/>
    <col min="738" max="738" width="7" bestFit="1" customWidth="1"/>
    <col min="739" max="739" width="9.6640625" bestFit="1" customWidth="1"/>
    <col min="740" max="740" width="7" bestFit="1" customWidth="1"/>
    <col min="741" max="741" width="9.6640625" bestFit="1" customWidth="1"/>
    <col min="742" max="742" width="7" bestFit="1" customWidth="1"/>
    <col min="743" max="743" width="9.6640625" bestFit="1" customWidth="1"/>
    <col min="744" max="744" width="7" bestFit="1" customWidth="1"/>
    <col min="745" max="745" width="9.6640625" bestFit="1" customWidth="1"/>
    <col min="746" max="746" width="7" bestFit="1" customWidth="1"/>
    <col min="747" max="747" width="9.6640625" bestFit="1" customWidth="1"/>
    <col min="748" max="748" width="7" bestFit="1" customWidth="1"/>
    <col min="749" max="749" width="9.6640625" bestFit="1" customWidth="1"/>
    <col min="750" max="750" width="7" bestFit="1" customWidth="1"/>
    <col min="751" max="751" width="9.6640625" bestFit="1" customWidth="1"/>
    <col min="752" max="752" width="7" bestFit="1" customWidth="1"/>
    <col min="753" max="753" width="9.6640625" bestFit="1" customWidth="1"/>
    <col min="754" max="754" width="7" bestFit="1" customWidth="1"/>
    <col min="755" max="755" width="9.6640625" bestFit="1" customWidth="1"/>
    <col min="756" max="756" width="7" bestFit="1" customWidth="1"/>
    <col min="757" max="757" width="9.6640625" bestFit="1" customWidth="1"/>
    <col min="758" max="758" width="7" bestFit="1" customWidth="1"/>
    <col min="759" max="759" width="9.6640625" bestFit="1" customWidth="1"/>
    <col min="760" max="760" width="7" bestFit="1" customWidth="1"/>
    <col min="761" max="761" width="9.6640625" bestFit="1" customWidth="1"/>
    <col min="762" max="762" width="7" bestFit="1" customWidth="1"/>
    <col min="763" max="763" width="9.6640625" bestFit="1" customWidth="1"/>
    <col min="764" max="764" width="7" bestFit="1" customWidth="1"/>
    <col min="765" max="765" width="9.6640625" bestFit="1" customWidth="1"/>
    <col min="766" max="766" width="7" bestFit="1" customWidth="1"/>
    <col min="767" max="767" width="9.6640625" bestFit="1" customWidth="1"/>
    <col min="768" max="768" width="7" bestFit="1" customWidth="1"/>
    <col min="769" max="769" width="9.6640625" bestFit="1" customWidth="1"/>
    <col min="770" max="770" width="7" bestFit="1" customWidth="1"/>
    <col min="771" max="771" width="9.6640625" bestFit="1" customWidth="1"/>
    <col min="772" max="772" width="7" bestFit="1" customWidth="1"/>
    <col min="773" max="773" width="9.6640625" bestFit="1" customWidth="1"/>
    <col min="774" max="774" width="7" bestFit="1" customWidth="1"/>
    <col min="775" max="775" width="9.6640625" bestFit="1" customWidth="1"/>
    <col min="776" max="776" width="7" bestFit="1" customWidth="1"/>
    <col min="777" max="777" width="9.6640625" bestFit="1" customWidth="1"/>
    <col min="778" max="778" width="7" bestFit="1" customWidth="1"/>
    <col min="779" max="779" width="9.6640625" bestFit="1" customWidth="1"/>
    <col min="780" max="780" width="7" bestFit="1" customWidth="1"/>
    <col min="781" max="781" width="9.6640625" bestFit="1" customWidth="1"/>
    <col min="782" max="782" width="7" bestFit="1" customWidth="1"/>
    <col min="783" max="783" width="9.6640625" bestFit="1" customWidth="1"/>
    <col min="784" max="784" width="7" bestFit="1" customWidth="1"/>
    <col min="785" max="785" width="9.6640625" bestFit="1" customWidth="1"/>
    <col min="786" max="786" width="7" bestFit="1" customWidth="1"/>
    <col min="787" max="787" width="9.6640625" bestFit="1" customWidth="1"/>
    <col min="788" max="788" width="7" bestFit="1" customWidth="1"/>
    <col min="789" max="789" width="9.6640625" bestFit="1" customWidth="1"/>
    <col min="790" max="790" width="7" bestFit="1" customWidth="1"/>
    <col min="791" max="791" width="9.6640625" bestFit="1" customWidth="1"/>
    <col min="792" max="792" width="7" bestFit="1" customWidth="1"/>
    <col min="793" max="793" width="9.6640625" bestFit="1" customWidth="1"/>
    <col min="794" max="794" width="7" bestFit="1" customWidth="1"/>
    <col min="795" max="795" width="9.6640625" bestFit="1" customWidth="1"/>
    <col min="796" max="796" width="7" bestFit="1" customWidth="1"/>
    <col min="797" max="797" width="9.6640625" bestFit="1" customWidth="1"/>
    <col min="798" max="798" width="7" bestFit="1" customWidth="1"/>
    <col min="799" max="799" width="9.6640625" bestFit="1" customWidth="1"/>
    <col min="800" max="800" width="7" bestFit="1" customWidth="1"/>
    <col min="801" max="801" width="9.6640625" bestFit="1" customWidth="1"/>
    <col min="802" max="802" width="10.77734375" bestFit="1" customWidth="1"/>
  </cols>
  <sheetData>
    <row r="3" spans="2:12" x14ac:dyDescent="0.3">
      <c r="B3" s="5" t="s">
        <v>4</v>
      </c>
      <c r="C3" t="s">
        <v>422</v>
      </c>
      <c r="E3" s="5" t="s">
        <v>9</v>
      </c>
      <c r="F3" t="s">
        <v>422</v>
      </c>
      <c r="H3" s="5" t="s">
        <v>5</v>
      </c>
      <c r="I3" t="s">
        <v>423</v>
      </c>
      <c r="K3" s="5" t="s">
        <v>432</v>
      </c>
      <c r="L3" t="s">
        <v>422</v>
      </c>
    </row>
    <row r="4" spans="2:12" x14ac:dyDescent="0.3">
      <c r="B4" s="6" t="s">
        <v>55</v>
      </c>
      <c r="C4">
        <v>54</v>
      </c>
      <c r="E4" s="6" t="s">
        <v>22</v>
      </c>
      <c r="F4">
        <v>336</v>
      </c>
      <c r="H4" s="6" t="s">
        <v>59</v>
      </c>
      <c r="I4" s="1">
        <v>85690</v>
      </c>
      <c r="K4" s="6" t="s">
        <v>424</v>
      </c>
    </row>
    <row r="5" spans="2:12" x14ac:dyDescent="0.3">
      <c r="B5" s="6" t="s">
        <v>35</v>
      </c>
      <c r="C5">
        <v>54</v>
      </c>
      <c r="E5" s="6" t="s">
        <v>23</v>
      </c>
      <c r="F5">
        <v>64</v>
      </c>
      <c r="H5" s="6" t="s">
        <v>53</v>
      </c>
      <c r="I5" s="1">
        <v>50690.476190476191</v>
      </c>
      <c r="K5" s="6" t="s">
        <v>425</v>
      </c>
      <c r="L5">
        <v>74</v>
      </c>
    </row>
    <row r="6" spans="2:12" x14ac:dyDescent="0.3">
      <c r="B6" s="6" t="s">
        <v>52</v>
      </c>
      <c r="C6">
        <v>51</v>
      </c>
      <c r="E6" s="6" t="s">
        <v>421</v>
      </c>
      <c r="F6">
        <v>400</v>
      </c>
      <c r="H6" s="6" t="s">
        <v>78</v>
      </c>
      <c r="I6" s="1">
        <v>42843.75</v>
      </c>
      <c r="K6" s="6" t="s">
        <v>426</v>
      </c>
      <c r="L6">
        <v>68</v>
      </c>
    </row>
    <row r="7" spans="2:12" x14ac:dyDescent="0.3">
      <c r="B7" s="6" t="s">
        <v>27</v>
      </c>
      <c r="C7">
        <v>44</v>
      </c>
      <c r="H7" s="6" t="s">
        <v>48</v>
      </c>
      <c r="I7" s="1">
        <v>121822.22222222222</v>
      </c>
      <c r="K7" s="6" t="s">
        <v>427</v>
      </c>
      <c r="L7">
        <v>59</v>
      </c>
    </row>
    <row r="8" spans="2:12" x14ac:dyDescent="0.3">
      <c r="B8" s="6" t="s">
        <v>38</v>
      </c>
      <c r="C8">
        <v>48</v>
      </c>
      <c r="H8" s="6" t="s">
        <v>93</v>
      </c>
      <c r="I8" s="1">
        <v>92094.736842105267</v>
      </c>
      <c r="K8" s="6" t="s">
        <v>428</v>
      </c>
      <c r="L8">
        <v>47</v>
      </c>
    </row>
    <row r="9" spans="2:12" x14ac:dyDescent="0.3">
      <c r="B9" s="6" t="s">
        <v>44</v>
      </c>
      <c r="C9">
        <v>44</v>
      </c>
      <c r="E9" s="5" t="s">
        <v>2</v>
      </c>
      <c r="F9" t="s">
        <v>422</v>
      </c>
      <c r="H9" s="6" t="s">
        <v>184</v>
      </c>
      <c r="I9" s="1">
        <v>54381.818181818184</v>
      </c>
      <c r="K9" s="6" t="s">
        <v>429</v>
      </c>
      <c r="L9">
        <v>56</v>
      </c>
    </row>
    <row r="10" spans="2:12" x14ac:dyDescent="0.3">
      <c r="B10" s="6" t="s">
        <v>75</v>
      </c>
      <c r="C10">
        <v>56</v>
      </c>
      <c r="E10" s="6" t="s">
        <v>17</v>
      </c>
      <c r="F10">
        <v>198</v>
      </c>
      <c r="H10" s="6" t="s">
        <v>155</v>
      </c>
      <c r="I10" s="1">
        <v>39725</v>
      </c>
      <c r="K10" s="6" t="s">
        <v>430</v>
      </c>
      <c r="L10">
        <v>70</v>
      </c>
    </row>
    <row r="11" spans="2:12" x14ac:dyDescent="0.3">
      <c r="B11" s="6" t="s">
        <v>18</v>
      </c>
      <c r="C11">
        <v>49</v>
      </c>
      <c r="E11" s="6" t="s">
        <v>26</v>
      </c>
      <c r="F11">
        <v>202</v>
      </c>
      <c r="H11" s="6" t="s">
        <v>32</v>
      </c>
      <c r="I11" s="1">
        <v>76353.846153846156</v>
      </c>
      <c r="K11" s="6" t="s">
        <v>431</v>
      </c>
      <c r="L11">
        <v>26</v>
      </c>
    </row>
    <row r="12" spans="2:12" x14ac:dyDescent="0.3">
      <c r="B12" s="6" t="s">
        <v>421</v>
      </c>
      <c r="C12">
        <v>400</v>
      </c>
      <c r="E12" s="6" t="s">
        <v>421</v>
      </c>
      <c r="F12">
        <v>400</v>
      </c>
      <c r="H12" s="6" t="s">
        <v>41</v>
      </c>
      <c r="I12" s="1">
        <v>85952.941176470587</v>
      </c>
      <c r="K12" s="6" t="s">
        <v>421</v>
      </c>
      <c r="L12">
        <v>400</v>
      </c>
    </row>
    <row r="13" spans="2:12" x14ac:dyDescent="0.3">
      <c r="H13" s="6" t="s">
        <v>82</v>
      </c>
      <c r="I13" s="1">
        <v>48095</v>
      </c>
    </row>
    <row r="14" spans="2:12" x14ac:dyDescent="0.3">
      <c r="E14" s="5" t="s">
        <v>12</v>
      </c>
      <c r="F14" t="s">
        <v>423</v>
      </c>
      <c r="H14" s="6" t="s">
        <v>70</v>
      </c>
      <c r="I14" s="1">
        <v>42050</v>
      </c>
    </row>
    <row r="15" spans="2:12" x14ac:dyDescent="0.3">
      <c r="E15" s="6">
        <v>1</v>
      </c>
      <c r="F15" s="1">
        <v>68676.470588235301</v>
      </c>
      <c r="H15" s="6" t="s">
        <v>45</v>
      </c>
      <c r="I15" s="1">
        <v>79921.428571428565</v>
      </c>
    </row>
    <row r="16" spans="2:12" x14ac:dyDescent="0.3">
      <c r="E16" s="6">
        <v>2</v>
      </c>
      <c r="F16" s="1">
        <v>60908.695652173912</v>
      </c>
      <c r="H16" s="6" t="s">
        <v>89</v>
      </c>
      <c r="I16" s="1">
        <v>40214.285714285717</v>
      </c>
      <c r="K16" s="5" t="s">
        <v>6</v>
      </c>
      <c r="L16" t="s">
        <v>422</v>
      </c>
    </row>
    <row r="17" spans="5:12" x14ac:dyDescent="0.3">
      <c r="E17" s="6">
        <v>3</v>
      </c>
      <c r="F17" s="1">
        <v>61914.492753623192</v>
      </c>
      <c r="H17" s="6" t="s">
        <v>76</v>
      </c>
      <c r="I17" s="1">
        <v>70675</v>
      </c>
      <c r="K17" s="6" t="s">
        <v>62</v>
      </c>
      <c r="L17">
        <v>46</v>
      </c>
    </row>
    <row r="18" spans="5:12" x14ac:dyDescent="0.3">
      <c r="E18" s="6">
        <v>4</v>
      </c>
      <c r="F18" s="1">
        <v>60273.722627737225</v>
      </c>
      <c r="H18" s="6" t="s">
        <v>84</v>
      </c>
      <c r="I18" s="1">
        <v>64495</v>
      </c>
      <c r="K18" s="6" t="s">
        <v>60</v>
      </c>
      <c r="L18">
        <v>35</v>
      </c>
    </row>
    <row r="19" spans="5:12" x14ac:dyDescent="0.3">
      <c r="E19" s="6">
        <v>5</v>
      </c>
      <c r="F19" s="1">
        <v>61240.322580645159</v>
      </c>
      <c r="H19" s="6" t="s">
        <v>28</v>
      </c>
      <c r="I19" s="1">
        <v>41786.666666666664</v>
      </c>
      <c r="K19" s="6" t="s">
        <v>86</v>
      </c>
      <c r="L19">
        <v>57</v>
      </c>
    </row>
    <row r="20" spans="5:12" x14ac:dyDescent="0.3">
      <c r="E20" s="6" t="s">
        <v>421</v>
      </c>
      <c r="F20" s="1">
        <v>61419.75</v>
      </c>
      <c r="H20" s="6" t="s">
        <v>19</v>
      </c>
      <c r="I20" s="1">
        <v>47094.73684210526</v>
      </c>
      <c r="K20" s="6" t="s">
        <v>20</v>
      </c>
      <c r="L20">
        <v>55</v>
      </c>
    </row>
    <row r="21" spans="5:12" x14ac:dyDescent="0.3">
      <c r="H21" s="6" t="s">
        <v>124</v>
      </c>
      <c r="I21" s="1">
        <v>83000</v>
      </c>
      <c r="K21" s="6" t="s">
        <v>49</v>
      </c>
      <c r="L21">
        <v>61</v>
      </c>
    </row>
    <row r="22" spans="5:12" x14ac:dyDescent="0.3">
      <c r="H22" s="6" t="s">
        <v>36</v>
      </c>
      <c r="I22" s="1">
        <v>97350</v>
      </c>
      <c r="K22" s="6" t="s">
        <v>57</v>
      </c>
      <c r="L22">
        <v>49</v>
      </c>
    </row>
    <row r="23" spans="5:12" x14ac:dyDescent="0.3">
      <c r="H23" s="6" t="s">
        <v>64</v>
      </c>
      <c r="I23" s="1">
        <v>68342.857142857145</v>
      </c>
      <c r="K23" s="6" t="s">
        <v>29</v>
      </c>
      <c r="L23">
        <v>52</v>
      </c>
    </row>
    <row r="24" spans="5:12" x14ac:dyDescent="0.3">
      <c r="H24" s="6" t="s">
        <v>67</v>
      </c>
      <c r="I24" s="1">
        <v>33679.411764705881</v>
      </c>
      <c r="K24" s="6" t="s">
        <v>68</v>
      </c>
      <c r="L24">
        <v>45</v>
      </c>
    </row>
    <row r="25" spans="5:12" x14ac:dyDescent="0.3">
      <c r="H25" s="6" t="s">
        <v>56</v>
      </c>
      <c r="I25" s="1">
        <v>60305</v>
      </c>
      <c r="K25" s="6" t="s">
        <v>421</v>
      </c>
      <c r="L25">
        <v>400</v>
      </c>
    </row>
    <row r="26" spans="5:12" x14ac:dyDescent="0.3">
      <c r="H26" s="6" t="s">
        <v>39</v>
      </c>
      <c r="I26" s="1">
        <v>52045.454545454544</v>
      </c>
    </row>
    <row r="27" spans="5:12" x14ac:dyDescent="0.3">
      <c r="H27" s="6" t="s">
        <v>421</v>
      </c>
      <c r="I27" s="1">
        <v>61419.75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HR_Data</vt:lpstr>
      <vt:lpstr>Dashboard</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kavya papneja</cp:lastModifiedBy>
  <cp:lastPrinted>2026-08-16T12:42:20Z</cp:lastPrinted>
  <dcterms:created xsi:type="dcterms:W3CDTF">2026-08-15T11:14:11Z</dcterms:created>
  <dcterms:modified xsi:type="dcterms:W3CDTF">2026-09-18T09:28:10Z</dcterms:modified>
</cp:coreProperties>
</file>