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KAVYA\EXCEL DATA\"/>
    </mc:Choice>
  </mc:AlternateContent>
  <xr:revisionPtr revIDLastSave="0" documentId="13_ncr:1_{DCB47162-F739-4D78-9FD2-A09DEF9C956D}" xr6:coauthVersionLast="47" xr6:coauthVersionMax="47" xr10:uidLastSave="{00000000-0000-0000-0000-000000000000}"/>
  <bookViews>
    <workbookView xWindow="-108" yWindow="-108" windowWidth="23256" windowHeight="12456" activeTab="2" xr2:uid="{00000000-000D-0000-FFFF-FFFF00000000}"/>
  </bookViews>
  <sheets>
    <sheet name="Sheet1" sheetId="2" r:id="rId1"/>
    <sheet name="Dashboard" sheetId="3" r:id="rId2"/>
    <sheet name="Finance_Data" sheetId="1" r:id="rId3"/>
  </sheets>
  <definedNames>
    <definedName name="NativeTimeline_Date">#N/A</definedName>
    <definedName name="Slicer_Category">#N/A</definedName>
    <definedName name="Slicer_Department">#N/A</definedName>
    <definedName name="Slicer_Type">#N/A</definedName>
  </definedNames>
  <calcPr calcId="191029"/>
  <pivotCaches>
    <pivotCache cacheId="4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8" i="1" l="1"/>
  <c r="K7" i="1" s="1"/>
  <c r="K6" i="1"/>
  <c r="K4" i="1"/>
  <c r="K5" i="1" s="1"/>
  <c r="K3" i="1"/>
  <c r="K2" i="1"/>
</calcChain>
</file>

<file path=xl/sharedStrings.xml><?xml version="1.0" encoding="utf-8"?>
<sst xmlns="http://schemas.openxmlformats.org/spreadsheetml/2006/main" count="2190" uniqueCount="58">
  <si>
    <t>Transaction ID</t>
  </si>
  <si>
    <t>Date</t>
  </si>
  <si>
    <t>Type</t>
  </si>
  <si>
    <t>Category</t>
  </si>
  <si>
    <t>Department</t>
  </si>
  <si>
    <t>Amount</t>
  </si>
  <si>
    <t>Budgeted Amount</t>
  </si>
  <si>
    <t>Expense</t>
  </si>
  <si>
    <t>Office Supplies</t>
  </si>
  <si>
    <t>Finance</t>
  </si>
  <si>
    <t>Equipment</t>
  </si>
  <si>
    <t>Engineering</t>
  </si>
  <si>
    <t>Revenue</t>
  </si>
  <si>
    <t>Other Income</t>
  </si>
  <si>
    <t>Marketing</t>
  </si>
  <si>
    <t>Customer Support</t>
  </si>
  <si>
    <t>Rent</t>
  </si>
  <si>
    <t>Operations</t>
  </si>
  <si>
    <t>Product Sales</t>
  </si>
  <si>
    <t>IT</t>
  </si>
  <si>
    <t>Utilities</t>
  </si>
  <si>
    <t>Sales</t>
  </si>
  <si>
    <t>Marketing Spend</t>
  </si>
  <si>
    <t>Service Revenue</t>
  </si>
  <si>
    <t>Professional Fees</t>
  </si>
  <si>
    <t>Subscription Revenue</t>
  </si>
  <si>
    <t>Travel</t>
  </si>
  <si>
    <t>HR</t>
  </si>
  <si>
    <t>Salaries</t>
  </si>
  <si>
    <t>Training</t>
  </si>
  <si>
    <t>Software &amp; Tools</t>
  </si>
  <si>
    <t>Total Revenue</t>
  </si>
  <si>
    <t>Total Expense</t>
  </si>
  <si>
    <t>Net Profit</t>
  </si>
  <si>
    <t>Profit Margin</t>
  </si>
  <si>
    <t>Total Budgeted Amount</t>
  </si>
  <si>
    <t>Budget Variance</t>
  </si>
  <si>
    <t>Total Amount</t>
  </si>
  <si>
    <t>Sum of Amount</t>
  </si>
  <si>
    <t>Row Labels</t>
  </si>
  <si>
    <t>Grand Total</t>
  </si>
  <si>
    <t>Column Labels</t>
  </si>
  <si>
    <t>Jan</t>
  </si>
  <si>
    <t>Feb</t>
  </si>
  <si>
    <t>Mar</t>
  </si>
  <si>
    <t>Apr</t>
  </si>
  <si>
    <t>May</t>
  </si>
  <si>
    <t>Jun</t>
  </si>
  <si>
    <t>Jul</t>
  </si>
  <si>
    <t>Aug</t>
  </si>
  <si>
    <t>Sep</t>
  </si>
  <si>
    <t>Oct</t>
  </si>
  <si>
    <t>Nov</t>
  </si>
  <si>
    <t>Dec</t>
  </si>
  <si>
    <t>Sum of Budgeted Amount</t>
  </si>
  <si>
    <t>Sum of variance</t>
  </si>
  <si>
    <t>category</t>
  </si>
  <si>
    <t xml:space="preserve">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</si>
</sst>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3">
    <fill>
      <patternFill patternType="none"/>
    </fill>
    <fill>
      <patternFill patternType="gray125"/>
    </fill>
    <fill>
      <patternFill patternType="solid">
        <fgColor rgb="FFD9E1F2"/>
        <bgColor rgb="FFD9E1F2"/>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4"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1" fillId="2" borderId="2" xfId="0" applyFont="1" applyFill="1" applyBorder="1"/>
    <xf numFmtId="14" fontId="1" fillId="2" borderId="3" xfId="0" applyNumberFormat="1" applyFont="1" applyFill="1" applyBorder="1"/>
    <xf numFmtId="0" fontId="1" fillId="2" borderId="3" xfId="0" applyFont="1" applyFill="1" applyBorder="1"/>
    <xf numFmtId="0" fontId="1" fillId="2" borderId="4" xfId="0" applyFont="1" applyFill="1" applyBorder="1"/>
    <xf numFmtId="0" fontId="2" fillId="0" borderId="5" xfId="0" applyFont="1" applyBorder="1"/>
    <xf numFmtId="14" fontId="0" fillId="0" borderId="1" xfId="0" applyNumberFormat="1" applyBorder="1"/>
    <xf numFmtId="4" fontId="0" fillId="0" borderId="1" xfId="0" applyNumberFormat="1" applyBorder="1"/>
    <xf numFmtId="4" fontId="0" fillId="0" borderId="6" xfId="0" applyNumberFormat="1" applyBorder="1"/>
    <xf numFmtId="0" fontId="2" fillId="0" borderId="7" xfId="0" applyFont="1" applyBorder="1"/>
    <xf numFmtId="14" fontId="0" fillId="0" borderId="8" xfId="0" applyNumberFormat="1" applyBorder="1"/>
    <xf numFmtId="0" fontId="0" fillId="0" borderId="8" xfId="0" applyBorder="1"/>
    <xf numFmtId="4" fontId="0" fillId="0" borderId="8" xfId="0" applyNumberFormat="1" applyBorder="1"/>
    <xf numFmtId="4" fontId="0" fillId="0" borderId="9" xfId="0" applyNumberFormat="1" applyBorder="1"/>
  </cellXfs>
  <cellStyles count="1">
    <cellStyle name="Normal" xfId="0" builtinId="0"/>
  </cellStyles>
  <dxfs count="12">
    <dxf>
      <fill>
        <patternFill>
          <bgColor rgb="FFFFFF00"/>
        </patternFill>
      </fill>
    </dxf>
    <dxf>
      <numFmt numFmtId="4" formatCode="#,##0.00"/>
      <border diagonalUp="0" diagonalDown="0">
        <left style="thin">
          <color indexed="64"/>
        </left>
        <right/>
        <top style="thin">
          <color indexed="64"/>
        </top>
        <bottom style="thin">
          <color indexed="64"/>
        </bottom>
        <vertical style="thin">
          <color indexed="64"/>
        </vertical>
        <horizontal style="thin">
          <color indexed="64"/>
        </horizontal>
      </border>
    </dxf>
    <dxf>
      <numFmt numFmtId="4"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Arial"/>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auto="1"/>
        <name val="Arial"/>
        <scheme val="none"/>
      </font>
      <fill>
        <patternFill patternType="solid">
          <fgColor rgb="FFD9E1F2"/>
          <bgColor rgb="FFD9E1F2"/>
        </patternFill>
      </fill>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[Financial_Dashboard_Dataset.xlsx]Sheet1!PivotTable2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Sheet1!$B$14</c:f>
              <c:strCache>
                <c:ptCount val="1"/>
                <c:pt idx="0">
                  <c:v>Total</c:v>
                </c:pt>
              </c:strCache>
            </c:strRef>
          </c:tx>
          <c:spPr>
            <a:solidFill>
              <a:schemeClr val="accent1"/>
            </a:solidFill>
            <a:ln>
              <a:noFill/>
            </a:ln>
            <a:effectLst/>
          </c:spPr>
          <c:invertIfNegative val="0"/>
          <c:cat>
            <c:strRef>
              <c:f>Sheet1!$A$15:$A$16</c:f>
              <c:strCache>
                <c:ptCount val="1"/>
                <c:pt idx="0">
                  <c:v>Marketing Spend</c:v>
                </c:pt>
              </c:strCache>
            </c:strRef>
          </c:cat>
          <c:val>
            <c:numRef>
              <c:f>Sheet1!$B$15:$B$16</c:f>
              <c:numCache>
                <c:formatCode>#,##0.00</c:formatCode>
                <c:ptCount val="1"/>
                <c:pt idx="0">
                  <c:v>8288079.2500000009</c:v>
                </c:pt>
              </c:numCache>
            </c:numRef>
          </c:val>
          <c:extLst>
            <c:ext xmlns:c16="http://schemas.microsoft.com/office/drawing/2014/chart" uri="{C3380CC4-5D6E-409C-BE32-E72D297353CC}">
              <c16:uniqueId val="{00000000-FB86-4261-A32B-79D63FCACEA6}"/>
            </c:ext>
          </c:extLst>
        </c:ser>
        <c:dLbls>
          <c:showLegendKey val="0"/>
          <c:showVal val="0"/>
          <c:showCatName val="0"/>
          <c:showSerName val="0"/>
          <c:showPercent val="0"/>
          <c:showBubbleSize val="0"/>
        </c:dLbls>
        <c:gapWidth val="182"/>
        <c:axId val="403177823"/>
        <c:axId val="403175903"/>
      </c:barChart>
      <c:catAx>
        <c:axId val="403177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75903"/>
        <c:crosses val="autoZero"/>
        <c:auto val="1"/>
        <c:lblAlgn val="ctr"/>
        <c:lblOffset val="100"/>
        <c:noMultiLvlLbl val="0"/>
      </c:catAx>
      <c:valAx>
        <c:axId val="4031759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77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[Financial_Dashboard_Dataset.xlsx]Sheet1!PivotTable4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Sheet1!$B$2:$B$3</c:f>
              <c:strCache>
                <c:ptCount val="1"/>
                <c:pt idx="0">
                  <c:v>Expense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10-4845-89DE-916B491022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10-4845-89DE-916B491022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10-4845-89DE-916B491022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710-4845-89DE-916B4910228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710-4845-89DE-916B4910228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710-4845-89DE-916B4910228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710-4845-89DE-916B4910228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710-4845-89DE-916B4910228D}"/>
              </c:ext>
            </c:extLst>
          </c:dPt>
          <c:cat>
            <c:strRef>
              <c:f>Sheet1!$A$4:$A$12</c:f>
              <c:strCache>
                <c:ptCount val="8"/>
                <c:pt idx="0">
                  <c:v>Customer Support</c:v>
                </c:pt>
                <c:pt idx="1">
                  <c:v>Engineering</c:v>
                </c:pt>
                <c:pt idx="2">
                  <c:v>Finance</c:v>
                </c:pt>
                <c:pt idx="3">
                  <c:v>HR</c:v>
                </c:pt>
                <c:pt idx="4">
                  <c:v>IT</c:v>
                </c:pt>
                <c:pt idx="5">
                  <c:v>Marketing</c:v>
                </c:pt>
                <c:pt idx="6">
                  <c:v>Operations</c:v>
                </c:pt>
                <c:pt idx="7">
                  <c:v>Sales</c:v>
                </c:pt>
              </c:strCache>
            </c:strRef>
          </c:cat>
          <c:val>
            <c:numRef>
              <c:f>Sheet1!$B$4:$B$12</c:f>
              <c:numCache>
                <c:formatCode>#,##0.00</c:formatCode>
                <c:ptCount val="8"/>
                <c:pt idx="0">
                  <c:v>977809.81</c:v>
                </c:pt>
                <c:pt idx="1">
                  <c:v>1202020.04</c:v>
                </c:pt>
                <c:pt idx="2">
                  <c:v>721663.74</c:v>
                </c:pt>
                <c:pt idx="3">
                  <c:v>799617.77</c:v>
                </c:pt>
                <c:pt idx="4">
                  <c:v>1246532.8400000001</c:v>
                </c:pt>
                <c:pt idx="5">
                  <c:v>1383378.0400000003</c:v>
                </c:pt>
                <c:pt idx="6">
                  <c:v>1394247.44</c:v>
                </c:pt>
                <c:pt idx="7">
                  <c:v>562809.57000000007</c:v>
                </c:pt>
              </c:numCache>
            </c:numRef>
          </c:val>
          <c:extLst>
            <c:ext xmlns:c16="http://schemas.microsoft.com/office/drawing/2014/chart" uri="{C3380CC4-5D6E-409C-BE32-E72D297353CC}">
              <c16:uniqueId val="{00000010-0710-4845-89DE-916B4910228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[Financial_Dashboard_Dataset.xlsx]Sheet1!PivotTable5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Sheet1!$B$28:$B$29</c:f>
              <c:strCache>
                <c:ptCount val="1"/>
                <c:pt idx="0">
                  <c:v>Expense</c:v>
                </c:pt>
              </c:strCache>
            </c:strRef>
          </c:tx>
          <c:spPr>
            <a:ln w="28575" cap="rnd">
              <a:solidFill>
                <a:schemeClr val="accent1"/>
              </a:solidFill>
              <a:round/>
            </a:ln>
            <a:effectLst/>
          </c:spPr>
          <c:marker>
            <c:symbol val="none"/>
          </c:marker>
          <c:cat>
            <c:strRef>
              <c:f>Sheet1!$A$30:$A$42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Sheet1!$B$30:$B$42</c:f>
              <c:numCache>
                <c:formatCode>#,##0.00</c:formatCode>
                <c:ptCount val="12"/>
                <c:pt idx="0">
                  <c:v>717445.73</c:v>
                </c:pt>
                <c:pt idx="1">
                  <c:v>1124085.1399999999</c:v>
                </c:pt>
                <c:pt idx="2">
                  <c:v>1030691.7100000001</c:v>
                </c:pt>
                <c:pt idx="3">
                  <c:v>838708.74</c:v>
                </c:pt>
                <c:pt idx="4">
                  <c:v>521530.05000000005</c:v>
                </c:pt>
                <c:pt idx="5">
                  <c:v>272753.89</c:v>
                </c:pt>
                <c:pt idx="6">
                  <c:v>651058.16</c:v>
                </c:pt>
                <c:pt idx="7">
                  <c:v>597938.6399999999</c:v>
                </c:pt>
                <c:pt idx="8">
                  <c:v>296515.63</c:v>
                </c:pt>
                <c:pt idx="9">
                  <c:v>827711.08</c:v>
                </c:pt>
                <c:pt idx="10">
                  <c:v>1062929.54</c:v>
                </c:pt>
                <c:pt idx="11">
                  <c:v>346710.94</c:v>
                </c:pt>
              </c:numCache>
            </c:numRef>
          </c:val>
          <c:smooth val="0"/>
          <c:extLst>
            <c:ext xmlns:c16="http://schemas.microsoft.com/office/drawing/2014/chart" uri="{C3380CC4-5D6E-409C-BE32-E72D297353CC}">
              <c16:uniqueId val="{00000000-C968-4922-9DDA-E47D9DD1A151}"/>
            </c:ext>
          </c:extLst>
        </c:ser>
        <c:dLbls>
          <c:showLegendKey val="0"/>
          <c:showVal val="0"/>
          <c:showCatName val="0"/>
          <c:showSerName val="0"/>
          <c:showPercent val="0"/>
          <c:showBubbleSize val="0"/>
        </c:dLbls>
        <c:smooth val="0"/>
        <c:axId val="403170623"/>
        <c:axId val="403171583"/>
      </c:lineChart>
      <c:catAx>
        <c:axId val="403170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71583"/>
        <c:crosses val="autoZero"/>
        <c:auto val="1"/>
        <c:lblAlgn val="ctr"/>
        <c:lblOffset val="100"/>
        <c:noMultiLvlLbl val="0"/>
      </c:catAx>
      <c:valAx>
        <c:axId val="4031715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170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[Financial_Dashboard_Dataset.xlsx]Sheet1!PivotTable6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74814394609181"/>
          <c:y val="0.10853925464180078"/>
          <c:w val="0.35555323968318864"/>
          <c:h val="0.75062886801574547"/>
        </c:manualLayout>
      </c:layout>
      <c:barChart>
        <c:barDir val="bar"/>
        <c:grouping val="clustered"/>
        <c:varyColors val="0"/>
        <c:ser>
          <c:idx val="0"/>
          <c:order val="0"/>
          <c:tx>
            <c:strRef>
              <c:f>Sheet1!$F$33</c:f>
              <c:strCache>
                <c:ptCount val="1"/>
                <c:pt idx="0">
                  <c:v>Sum of Amount</c:v>
                </c:pt>
              </c:strCache>
            </c:strRef>
          </c:tx>
          <c:spPr>
            <a:solidFill>
              <a:schemeClr val="accent1"/>
            </a:solidFill>
            <a:ln>
              <a:noFill/>
            </a:ln>
            <a:effectLst/>
          </c:spPr>
          <c:invertIfNegative val="0"/>
          <c:cat>
            <c:strRef>
              <c:f>Sheet1!$E$34:$E$35</c:f>
              <c:strCache>
                <c:ptCount val="1"/>
                <c:pt idx="0">
                  <c:v>Marketing Spend</c:v>
                </c:pt>
              </c:strCache>
            </c:strRef>
          </c:cat>
          <c:val>
            <c:numRef>
              <c:f>Sheet1!$F$34:$F$35</c:f>
              <c:numCache>
                <c:formatCode>#,##0.00</c:formatCode>
                <c:ptCount val="1"/>
                <c:pt idx="0">
                  <c:v>8288079.2500000009</c:v>
                </c:pt>
              </c:numCache>
            </c:numRef>
          </c:val>
          <c:extLst>
            <c:ext xmlns:c16="http://schemas.microsoft.com/office/drawing/2014/chart" uri="{C3380CC4-5D6E-409C-BE32-E72D297353CC}">
              <c16:uniqueId val="{00000000-9DBC-434E-B545-DB3E29EA079C}"/>
            </c:ext>
          </c:extLst>
        </c:ser>
        <c:ser>
          <c:idx val="1"/>
          <c:order val="1"/>
          <c:tx>
            <c:strRef>
              <c:f>Sheet1!$G$33</c:f>
              <c:strCache>
                <c:ptCount val="1"/>
                <c:pt idx="0">
                  <c:v>Sum of Budgeted Amount</c:v>
                </c:pt>
              </c:strCache>
            </c:strRef>
          </c:tx>
          <c:spPr>
            <a:solidFill>
              <a:schemeClr val="accent2"/>
            </a:solidFill>
            <a:ln>
              <a:noFill/>
            </a:ln>
            <a:effectLst/>
          </c:spPr>
          <c:invertIfNegative val="0"/>
          <c:cat>
            <c:strRef>
              <c:f>Sheet1!$E$34:$E$35</c:f>
              <c:strCache>
                <c:ptCount val="1"/>
                <c:pt idx="0">
                  <c:v>Marketing Spend</c:v>
                </c:pt>
              </c:strCache>
            </c:strRef>
          </c:cat>
          <c:val>
            <c:numRef>
              <c:f>Sheet1!$G$34:$G$35</c:f>
              <c:numCache>
                <c:formatCode>#,##0.00</c:formatCode>
                <c:ptCount val="1"/>
                <c:pt idx="0">
                  <c:v>8924105.3099999987</c:v>
                </c:pt>
              </c:numCache>
            </c:numRef>
          </c:val>
          <c:extLst>
            <c:ext xmlns:c16="http://schemas.microsoft.com/office/drawing/2014/chart" uri="{C3380CC4-5D6E-409C-BE32-E72D297353CC}">
              <c16:uniqueId val="{00000001-9DBC-434E-B545-DB3E29EA079C}"/>
            </c:ext>
          </c:extLst>
        </c:ser>
        <c:ser>
          <c:idx val="2"/>
          <c:order val="2"/>
          <c:tx>
            <c:strRef>
              <c:f>Sheet1!$H$33</c:f>
              <c:strCache>
                <c:ptCount val="1"/>
                <c:pt idx="0">
                  <c:v>Sum of variance</c:v>
                </c:pt>
              </c:strCache>
            </c:strRef>
          </c:tx>
          <c:spPr>
            <a:solidFill>
              <a:schemeClr val="accent3"/>
            </a:solidFill>
            <a:ln>
              <a:noFill/>
            </a:ln>
            <a:effectLst/>
          </c:spPr>
          <c:invertIfNegative val="0"/>
          <c:cat>
            <c:strRef>
              <c:f>Sheet1!$E$34:$E$35</c:f>
              <c:strCache>
                <c:ptCount val="1"/>
                <c:pt idx="0">
                  <c:v>Marketing Spend</c:v>
                </c:pt>
              </c:strCache>
            </c:strRef>
          </c:cat>
          <c:val>
            <c:numRef>
              <c:f>Sheet1!$H$34:$H$35</c:f>
              <c:numCache>
                <c:formatCode>#,##0.00</c:formatCode>
                <c:ptCount val="1"/>
                <c:pt idx="0">
                  <c:v>-636026.05999999773</c:v>
                </c:pt>
              </c:numCache>
            </c:numRef>
          </c:val>
          <c:extLst>
            <c:ext xmlns:c16="http://schemas.microsoft.com/office/drawing/2014/chart" uri="{C3380CC4-5D6E-409C-BE32-E72D297353CC}">
              <c16:uniqueId val="{00000002-9DBC-434E-B545-DB3E29EA079C}"/>
            </c:ext>
          </c:extLst>
        </c:ser>
        <c:dLbls>
          <c:showLegendKey val="0"/>
          <c:showVal val="0"/>
          <c:showCatName val="0"/>
          <c:showSerName val="0"/>
          <c:showPercent val="0"/>
          <c:showBubbleSize val="0"/>
        </c:dLbls>
        <c:gapWidth val="182"/>
        <c:axId val="988151951"/>
        <c:axId val="988150511"/>
      </c:barChart>
      <c:catAx>
        <c:axId val="9881519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50511"/>
        <c:crosses val="autoZero"/>
        <c:auto val="1"/>
        <c:lblAlgn val="ctr"/>
        <c:lblOffset val="100"/>
        <c:noMultiLvlLbl val="0"/>
      </c:catAx>
      <c:valAx>
        <c:axId val="98815051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8151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160283</xdr:rowOff>
    </xdr:from>
    <xdr:to>
      <xdr:col>6</xdr:col>
      <xdr:colOff>14796</xdr:colOff>
      <xdr:row>12</xdr:row>
      <xdr:rowOff>22860</xdr:rowOff>
    </xdr:to>
    <xdr:graphicFrame macro="">
      <xdr:nvGraphicFramePr>
        <xdr:cNvPr id="2" name="Chart 1">
          <a:extLst>
            <a:ext uri="{FF2B5EF4-FFF2-40B4-BE49-F238E27FC236}">
              <a16:creationId xmlns:a16="http://schemas.microsoft.com/office/drawing/2014/main" id="{3AAED903-CFC5-963A-D91E-A24A1D4636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22859</xdr:colOff>
      <xdr:row>13</xdr:row>
      <xdr:rowOff>7883</xdr:rowOff>
    </xdr:from>
    <xdr:to>
      <xdr:col>5</xdr:col>
      <xdr:colOff>434050</xdr:colOff>
      <xdr:row>23</xdr:row>
      <xdr:rowOff>106680</xdr:rowOff>
    </xdr:to>
    <xdr:graphicFrame macro="">
      <xdr:nvGraphicFramePr>
        <xdr:cNvPr id="3" name="Chart 2">
          <a:extLst>
            <a:ext uri="{FF2B5EF4-FFF2-40B4-BE49-F238E27FC236}">
              <a16:creationId xmlns:a16="http://schemas.microsoft.com/office/drawing/2014/main" id="{EA9C5771-E8B9-E0AE-E7D8-F462B1D876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23</xdr:row>
      <xdr:rowOff>178031</xdr:rowOff>
    </xdr:from>
    <xdr:to>
      <xdr:col>5</xdr:col>
      <xdr:colOff>457989</xdr:colOff>
      <xdr:row>35</xdr:row>
      <xdr:rowOff>93948</xdr:rowOff>
    </xdr:to>
    <xdr:graphicFrame macro="">
      <xdr:nvGraphicFramePr>
        <xdr:cNvPr id="4" name="Chart 3">
          <a:extLst>
            <a:ext uri="{FF2B5EF4-FFF2-40B4-BE49-F238E27FC236}">
              <a16:creationId xmlns:a16="http://schemas.microsoft.com/office/drawing/2014/main" id="{7E38D625-60A4-1E51-A262-A5F062E67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581225</xdr:colOff>
      <xdr:row>0</xdr:row>
      <xdr:rowOff>179478</xdr:rowOff>
    </xdr:from>
    <xdr:to>
      <xdr:col>14</xdr:col>
      <xdr:colOff>111503</xdr:colOff>
      <xdr:row>15</xdr:row>
      <xdr:rowOff>179478</xdr:rowOff>
    </xdr:to>
    <xdr:graphicFrame macro="">
      <xdr:nvGraphicFramePr>
        <xdr:cNvPr id="6" name="Chart 5">
          <a:extLst>
            <a:ext uri="{FF2B5EF4-FFF2-40B4-BE49-F238E27FC236}">
              <a16:creationId xmlns:a16="http://schemas.microsoft.com/office/drawing/2014/main" id="{DB04103A-CACB-F02F-7156-6526327F8E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150663</xdr:colOff>
      <xdr:row>0</xdr:row>
      <xdr:rowOff>180950</xdr:rowOff>
    </xdr:from>
    <xdr:to>
      <xdr:col>24</xdr:col>
      <xdr:colOff>156451</xdr:colOff>
      <xdr:row>14</xdr:row>
      <xdr:rowOff>82203</xdr:rowOff>
    </xdr:to>
    <mc:AlternateContent xmlns:mc="http://schemas.openxmlformats.org/markup-compatibility/2006" xmlns:a14="http://schemas.microsoft.com/office/drawing/2010/main">
      <mc:Choice Requires="a14">
        <xdr:graphicFrame macro="">
          <xdr:nvGraphicFramePr>
            <xdr:cNvPr id="13" name="Type">
              <a:extLst>
                <a:ext uri="{FF2B5EF4-FFF2-40B4-BE49-F238E27FC236}">
                  <a16:creationId xmlns:a16="http://schemas.microsoft.com/office/drawing/2014/main" id="{C069A7C8-6972-59BC-2B2C-5640EB15471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2911752" y="18095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455792</xdr:colOff>
      <xdr:row>1</xdr:row>
      <xdr:rowOff>4083</xdr:rowOff>
    </xdr:from>
    <xdr:to>
      <xdr:col>17</xdr:col>
      <xdr:colOff>461579</xdr:colOff>
      <xdr:row>14</xdr:row>
      <xdr:rowOff>90287</xdr:rowOff>
    </xdr:to>
    <mc:AlternateContent xmlns:mc="http://schemas.openxmlformats.org/markup-compatibility/2006">
      <mc:Choice xmlns:a14="http://schemas.microsoft.com/office/drawing/2010/main" Requires="a14">
        <xdr:graphicFrame macro="">
          <xdr:nvGraphicFramePr>
            <xdr:cNvPr id="14" name="Department">
              <a:extLst>
                <a:ext uri="{FF2B5EF4-FFF2-40B4-BE49-F238E27FC236}">
                  <a16:creationId xmlns:a16="http://schemas.microsoft.com/office/drawing/2014/main" id="{8E9EC12B-2970-0393-B47E-E8A38ED1B60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948763" y="189034"/>
              <a:ext cx="1825709" cy="2490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418714</xdr:colOff>
      <xdr:row>16</xdr:row>
      <xdr:rowOff>176804</xdr:rowOff>
    </xdr:from>
    <xdr:to>
      <xdr:col>12</xdr:col>
      <xdr:colOff>110248</xdr:colOff>
      <xdr:row>24</xdr:row>
      <xdr:rowOff>82277</xdr:rowOff>
    </xdr:to>
    <mc:AlternateContent xmlns:mc="http://schemas.openxmlformats.org/markup-compatibility/2006" xmlns:tsle="http://schemas.microsoft.com/office/drawing/2012/timeslicer">
      <mc:Choice Requires="tsle">
        <xdr:graphicFrame macro="">
          <xdr:nvGraphicFramePr>
            <xdr:cNvPr id="15" name="Date 1">
              <a:extLst>
                <a:ext uri="{FF2B5EF4-FFF2-40B4-BE49-F238E27FC236}">
                  <a16:creationId xmlns:a16="http://schemas.microsoft.com/office/drawing/2014/main" id="{66BFF2B0-A1DA-A0F8-945D-DA5A4A80ED4F}"/>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064739" y="3109057"/>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5981</xdr:colOff>
      <xdr:row>1</xdr:row>
      <xdr:rowOff>7331</xdr:rowOff>
    </xdr:from>
    <xdr:to>
      <xdr:col>21</xdr:col>
      <xdr:colOff>11768</xdr:colOff>
      <xdr:row>14</xdr:row>
      <xdr:rowOff>91850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03A36060-0CF8-24CD-88B2-B10BE41A80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944057" y="190597"/>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VYA" refreshedDate="46251.352005555556" createdVersion="8" refreshedVersion="8" minRefreshableVersion="3" recordCount="700" xr:uid="{92FCB2FE-7ECB-4E02-8F7E-9FE00364068C}">
  <cacheSource type="worksheet">
    <worksheetSource ref="A1:G701" sheet="Finance_Data"/>
  </cacheSource>
  <cacheFields count="9">
    <cacheField name="Transaction ID" numFmtId="0">
      <sharedItems containsSemiMixedTypes="0" containsString="0" containsNumber="1" containsInteger="1" minValue="5001" maxValue="5700"/>
    </cacheField>
    <cacheField name="Date" numFmtId="14">
      <sharedItems containsSemiMixedTypes="0" containsNonDate="0" containsDate="1" containsString="0" minDate="2023-01-01T00:00:00" maxDate="2025-01-01T00:00:00" count="436">
        <d v="2023-06-18T00:00:00"/>
        <d v="2024-05-01T00:00:00"/>
        <d v="2023-01-04T00:00:00"/>
        <d v="2023-08-27T00:00:00"/>
        <d v="2023-12-03T00:00:00"/>
        <d v="2023-04-01T00:00:00"/>
        <d v="2024-02-15T00:00:00"/>
        <d v="2023-03-18T00:00:00"/>
        <d v="2024-02-02T00:00:00"/>
        <d v="2024-05-28T00:00:00"/>
        <d v="2023-06-12T00:00:00"/>
        <d v="2024-06-18T00:00:00"/>
        <d v="2023-12-23T00:00:00"/>
        <d v="2023-09-09T00:00:00"/>
        <d v="2024-11-30T00:00:00"/>
        <d v="2024-08-27T00:00:00"/>
        <d v="2024-05-09T00:00:00"/>
        <d v="2023-02-05T00:00:00"/>
        <d v="2023-05-30T00:00:00"/>
        <d v="2024-06-22T00:00:00"/>
        <d v="2024-01-10T00:00:00"/>
        <d v="2024-05-03T00:00:00"/>
        <d v="2024-12-02T00:00:00"/>
        <d v="2024-08-21T00:00:00"/>
        <d v="2023-04-07T00:00:00"/>
        <d v="2023-10-16T00:00:00"/>
        <d v="2023-06-20T00:00:00"/>
        <d v="2023-02-17T00:00:00"/>
        <d v="2024-04-20T00:00:00"/>
        <d v="2024-12-14T00:00:00"/>
        <d v="2023-10-30T00:00:00"/>
        <d v="2024-09-07T00:00:00"/>
        <d v="2024-07-28T00:00:00"/>
        <d v="2024-03-06T00:00:00"/>
        <d v="2024-04-03T00:00:00"/>
        <d v="2024-02-16T00:00:00"/>
        <d v="2023-10-10T00:00:00"/>
        <d v="2024-01-30T00:00:00"/>
        <d v="2024-01-17T00:00:00"/>
        <d v="2024-11-15T00:00:00"/>
        <d v="2024-01-31T00:00:00"/>
        <d v="2024-02-05T00:00:00"/>
        <d v="2024-01-20T00:00:00"/>
        <d v="2024-03-19T00:00:00"/>
        <d v="2023-09-25T00:00:00"/>
        <d v="2023-06-07T00:00:00"/>
        <d v="2024-01-24T00:00:00"/>
        <d v="2024-11-12T00:00:00"/>
        <d v="2023-08-09T00:00:00"/>
        <d v="2024-02-12T00:00:00"/>
        <d v="2023-06-01T00:00:00"/>
        <d v="2024-01-14T00:00:00"/>
        <d v="2024-07-19T00:00:00"/>
        <d v="2024-03-22T00:00:00"/>
        <d v="2024-09-13T00:00:00"/>
        <d v="2023-06-06T00:00:00"/>
        <d v="2023-03-14T00:00:00"/>
        <d v="2023-10-04T00:00:00"/>
        <d v="2024-10-30T00:00:00"/>
        <d v="2023-09-14T00:00:00"/>
        <d v="2023-08-07T00:00:00"/>
        <d v="2024-05-04T00:00:00"/>
        <d v="2023-08-11T00:00:00"/>
        <d v="2023-09-29T00:00:00"/>
        <d v="2024-05-27T00:00:00"/>
        <d v="2024-04-05T00:00:00"/>
        <d v="2023-12-27T00:00:00"/>
        <d v="2024-08-17T00:00:00"/>
        <d v="2024-01-15T00:00:00"/>
        <d v="2024-03-10T00:00:00"/>
        <d v="2023-09-17T00:00:00"/>
        <d v="2024-07-04T00:00:00"/>
        <d v="2024-03-26T00:00:00"/>
        <d v="2024-02-08T00:00:00"/>
        <d v="2024-07-20T00:00:00"/>
        <d v="2023-05-16T00:00:00"/>
        <d v="2024-09-04T00:00:00"/>
        <d v="2023-12-08T00:00:00"/>
        <d v="2024-12-31T00:00:00"/>
        <d v="2023-01-10T00:00:00"/>
        <d v="2024-02-28T00:00:00"/>
        <d v="2024-06-10T00:00:00"/>
        <d v="2024-04-10T00:00:00"/>
        <d v="2023-01-14T00:00:00"/>
        <d v="2024-04-12T00:00:00"/>
        <d v="2023-08-15T00:00:00"/>
        <d v="2023-05-07T00:00:00"/>
        <d v="2024-09-05T00:00:00"/>
        <d v="2024-06-16T00:00:00"/>
        <d v="2024-12-04T00:00:00"/>
        <d v="2024-02-18T00:00:00"/>
        <d v="2023-03-23T00:00:00"/>
        <d v="2023-06-17T00:00:00"/>
        <d v="2023-10-28T00:00:00"/>
        <d v="2023-05-22T00:00:00"/>
        <d v="2024-11-08T00:00:00"/>
        <d v="2024-03-11T00:00:00"/>
        <d v="2023-07-23T00:00:00"/>
        <d v="2023-01-20T00:00:00"/>
        <d v="2023-12-11T00:00:00"/>
        <d v="2024-10-29T00:00:00"/>
        <d v="2023-12-02T00:00:00"/>
        <d v="2023-10-01T00:00:00"/>
        <d v="2024-01-22T00:00:00"/>
        <d v="2024-03-16T00:00:00"/>
        <d v="2023-02-19T00:00:00"/>
        <d v="2024-07-21T00:00:00"/>
        <d v="2023-09-21T00:00:00"/>
        <d v="2023-12-20T00:00:00"/>
        <d v="2023-10-13T00:00:00"/>
        <d v="2023-12-21T00:00:00"/>
        <d v="2023-11-29T00:00:00"/>
        <d v="2024-09-28T00:00:00"/>
        <d v="2023-11-12T00:00:00"/>
        <d v="2023-10-31T00:00:00"/>
        <d v="2023-02-21T00:00:00"/>
        <d v="2023-11-14T00:00:00"/>
        <d v="2024-03-27T00:00:00"/>
        <d v="2023-08-19T00:00:00"/>
        <d v="2024-07-25T00:00:00"/>
        <d v="2024-06-30T00:00:00"/>
        <d v="2024-04-28T00:00:00"/>
        <d v="2024-08-08T00:00:00"/>
        <d v="2023-09-28T00:00:00"/>
        <d v="2024-05-29T00:00:00"/>
        <d v="2024-12-01T00:00:00"/>
        <d v="2023-07-16T00:00:00"/>
        <d v="2024-11-03T00:00:00"/>
        <d v="2023-08-25T00:00:00"/>
        <d v="2024-03-14T00:00:00"/>
        <d v="2023-07-10T00:00:00"/>
        <d v="2024-09-01T00:00:00"/>
        <d v="2024-11-20T00:00:00"/>
        <d v="2023-11-06T00:00:00"/>
        <d v="2024-01-25T00:00:00"/>
        <d v="2023-12-18T00:00:00"/>
        <d v="2023-02-10T00:00:00"/>
        <d v="2024-06-20T00:00:00"/>
        <d v="2023-04-14T00:00:00"/>
        <d v="2024-09-24T00:00:00"/>
        <d v="2024-12-25T00:00:00"/>
        <d v="2024-07-26T00:00:00"/>
        <d v="2023-07-14T00:00:00"/>
        <d v="2024-10-07T00:00:00"/>
        <d v="2024-10-31T00:00:00"/>
        <d v="2023-03-19T00:00:00"/>
        <d v="2023-07-25T00:00:00"/>
        <d v="2023-05-29T00:00:00"/>
        <d v="2023-08-22T00:00:00"/>
        <d v="2023-02-22T00:00:00"/>
        <d v="2023-02-07T00:00:00"/>
        <d v="2023-03-05T00:00:00"/>
        <d v="2023-05-11T00:00:00"/>
        <d v="2024-12-28T00:00:00"/>
        <d v="2023-09-26T00:00:00"/>
        <d v="2024-09-03T00:00:00"/>
        <d v="2023-06-15T00:00:00"/>
        <d v="2023-09-23T00:00:00"/>
        <d v="2023-01-01T00:00:00"/>
        <d v="2024-06-27T00:00:00"/>
        <d v="2023-02-11T00:00:00"/>
        <d v="2023-07-26T00:00:00"/>
        <d v="2023-05-14T00:00:00"/>
        <d v="2024-01-04T00:00:00"/>
        <d v="2024-07-17T00:00:00"/>
        <d v="2024-08-14T00:00:00"/>
        <d v="2024-09-12T00:00:00"/>
        <d v="2024-04-09T00:00:00"/>
        <d v="2023-10-19T00:00:00"/>
        <d v="2023-06-29T00:00:00"/>
        <d v="2024-09-16T00:00:00"/>
        <d v="2024-04-01T00:00:00"/>
        <d v="2023-07-22T00:00:00"/>
        <d v="2024-01-18T00:00:00"/>
        <d v="2023-02-01T00:00:00"/>
        <d v="2024-11-26T00:00:00"/>
        <d v="2024-08-28T00:00:00"/>
        <d v="2024-03-20T00:00:00"/>
        <d v="2024-12-07T00:00:00"/>
        <d v="2023-12-25T00:00:00"/>
        <d v="2023-08-20T00:00:00"/>
        <d v="2024-11-05T00:00:00"/>
        <d v="2023-05-28T00:00:00"/>
        <d v="2024-10-17T00:00:00"/>
        <d v="2023-06-13T00:00:00"/>
        <d v="2024-05-06T00:00:00"/>
        <d v="2023-07-04T00:00:00"/>
        <d v="2023-10-11T00:00:00"/>
        <d v="2024-03-24T00:00:00"/>
        <d v="2024-01-11T00:00:00"/>
        <d v="2023-07-18T00:00:00"/>
        <d v="2024-09-25T00:00:00"/>
        <d v="2023-12-05T00:00:00"/>
        <d v="2024-04-11T00:00:00"/>
        <d v="2023-09-11T00:00:00"/>
        <d v="2023-07-29T00:00:00"/>
        <d v="2024-01-16T00:00:00"/>
        <d v="2023-01-31T00:00:00"/>
        <d v="2024-04-02T00:00:00"/>
        <d v="2024-08-20T00:00:00"/>
        <d v="2023-07-09T00:00:00"/>
        <d v="2024-06-19T00:00:00"/>
        <d v="2024-06-23T00:00:00"/>
        <d v="2024-04-23T00:00:00"/>
        <d v="2023-01-11T00:00:00"/>
        <d v="2024-11-01T00:00:00"/>
        <d v="2024-03-17T00:00:00"/>
        <d v="2024-08-03T00:00:00"/>
        <d v="2023-03-29T00:00:00"/>
        <d v="2023-06-24T00:00:00"/>
        <d v="2023-04-13T00:00:00"/>
        <d v="2023-08-23T00:00:00"/>
        <d v="2024-05-17T00:00:00"/>
        <d v="2024-10-28T00:00:00"/>
        <d v="2024-11-13T00:00:00"/>
        <d v="2024-07-11T00:00:00"/>
        <d v="2023-12-19T00:00:00"/>
        <d v="2023-05-08T00:00:00"/>
        <d v="2023-07-07T00:00:00"/>
        <d v="2023-04-30T00:00:00"/>
        <d v="2023-06-19T00:00:00"/>
        <d v="2024-11-10T00:00:00"/>
        <d v="2024-03-23T00:00:00"/>
        <d v="2023-01-13T00:00:00"/>
        <d v="2024-01-02T00:00:00"/>
        <d v="2023-02-23T00:00:00"/>
        <d v="2023-05-18T00:00:00"/>
        <d v="2023-06-25T00:00:00"/>
        <d v="2024-10-14T00:00:00"/>
        <d v="2024-12-03T00:00:00"/>
        <d v="2023-09-07T00:00:00"/>
        <d v="2024-02-20T00:00:00"/>
        <d v="2023-03-17T00:00:00"/>
        <d v="2024-02-25T00:00:00"/>
        <d v="2023-06-02T00:00:00"/>
        <d v="2023-03-15T00:00:00"/>
        <d v="2023-06-11T00:00:00"/>
        <d v="2023-12-06T00:00:00"/>
        <d v="2024-09-22T00:00:00"/>
        <d v="2023-06-21T00:00:00"/>
        <d v="2024-03-21T00:00:00"/>
        <d v="2024-06-15T00:00:00"/>
        <d v="2023-10-12T00:00:00"/>
        <d v="2023-03-31T00:00:00"/>
        <d v="2023-06-03T00:00:00"/>
        <d v="2024-05-12T00:00:00"/>
        <d v="2023-03-07T00:00:00"/>
        <d v="2023-08-12T00:00:00"/>
        <d v="2023-08-17T00:00:00"/>
        <d v="2024-12-13T00:00:00"/>
        <d v="2024-10-15T00:00:00"/>
        <d v="2023-04-24T00:00:00"/>
        <d v="2023-01-08T00:00:00"/>
        <d v="2023-04-17T00:00:00"/>
        <d v="2023-08-05T00:00:00"/>
        <d v="2023-09-05T00:00:00"/>
        <d v="2023-02-06T00:00:00"/>
        <d v="2023-08-30T00:00:00"/>
        <d v="2023-02-13T00:00:00"/>
        <d v="2023-03-26T00:00:00"/>
        <d v="2024-09-06T00:00:00"/>
        <d v="2024-05-10T00:00:00"/>
        <d v="2023-03-20T00:00:00"/>
        <d v="2024-12-11T00:00:00"/>
        <d v="2024-01-19T00:00:00"/>
        <d v="2024-06-06T00:00:00"/>
        <d v="2024-05-13T00:00:00"/>
        <d v="2024-03-02T00:00:00"/>
        <d v="2024-04-18T00:00:00"/>
        <d v="2024-05-22T00:00:00"/>
        <d v="2024-10-20T00:00:00"/>
        <d v="2023-07-12T00:00:00"/>
        <d v="2024-05-18T00:00:00"/>
        <d v="2023-09-01T00:00:00"/>
        <d v="2024-11-22T00:00:00"/>
        <d v="2023-04-04T00:00:00"/>
        <d v="2023-12-01T00:00:00"/>
        <d v="2024-04-14T00:00:00"/>
        <d v="2024-05-20T00:00:00"/>
        <d v="2024-08-26T00:00:00"/>
        <d v="2023-10-15T00:00:00"/>
        <d v="2024-05-30T00:00:00"/>
        <d v="2024-08-07T00:00:00"/>
        <d v="2023-02-08T00:00:00"/>
        <d v="2024-12-29T00:00:00"/>
        <d v="2024-07-15T00:00:00"/>
        <d v="2023-05-31T00:00:00"/>
        <d v="2023-05-26T00:00:00"/>
        <d v="2023-02-14T00:00:00"/>
        <d v="2024-11-07T00:00:00"/>
        <d v="2024-09-11T00:00:00"/>
        <d v="2023-12-17T00:00:00"/>
        <d v="2023-04-29T00:00:00"/>
        <d v="2024-01-29T00:00:00"/>
        <d v="2024-11-17T00:00:00"/>
        <d v="2024-10-12T00:00:00"/>
        <d v="2023-01-06T00:00:00"/>
        <d v="2024-10-10T00:00:00"/>
        <d v="2024-07-22T00:00:00"/>
        <d v="2023-01-19T00:00:00"/>
        <d v="2024-10-23T00:00:00"/>
        <d v="2024-10-11T00:00:00"/>
        <d v="2023-10-03T00:00:00"/>
        <d v="2024-06-24T00:00:00"/>
        <d v="2024-04-08T00:00:00"/>
        <d v="2024-07-30T00:00:00"/>
        <d v="2024-10-03T00:00:00"/>
        <d v="2023-03-27T00:00:00"/>
        <d v="2024-04-07T00:00:00"/>
        <d v="2024-10-05T00:00:00"/>
        <d v="2024-02-01T00:00:00"/>
        <d v="2024-10-02T00:00:00"/>
        <d v="2023-11-26T00:00:00"/>
        <d v="2023-02-12T00:00:00"/>
        <d v="2023-11-19T00:00:00"/>
        <d v="2023-01-23T00:00:00"/>
        <d v="2023-12-13T00:00:00"/>
        <d v="2023-02-18T00:00:00"/>
        <d v="2023-09-18T00:00:00"/>
        <d v="2023-03-04T00:00:00"/>
        <d v="2024-06-11T00:00:00"/>
        <d v="2024-08-18T00:00:00"/>
        <d v="2023-09-22T00:00:00"/>
        <d v="2024-11-23T00:00:00"/>
        <d v="2023-12-14T00:00:00"/>
        <d v="2023-07-06T00:00:00"/>
        <d v="2023-05-13T00:00:00"/>
        <d v="2024-12-23T00:00:00"/>
        <d v="2023-06-28T00:00:00"/>
        <d v="2024-03-31T00:00:00"/>
        <d v="2023-11-27T00:00:00"/>
        <d v="2024-04-04T00:00:00"/>
        <d v="2024-05-23T00:00:00"/>
        <d v="2023-02-25T00:00:00"/>
        <d v="2024-01-28T00:00:00"/>
        <d v="2024-03-03T00:00:00"/>
        <d v="2023-08-03T00:00:00"/>
        <d v="2023-01-15T00:00:00"/>
        <d v="2024-11-18T00:00:00"/>
        <d v="2024-01-03T00:00:00"/>
        <d v="2024-05-24T00:00:00"/>
        <d v="2023-11-04T00:00:00"/>
        <d v="2024-08-22T00:00:00"/>
        <d v="2024-12-26T00:00:00"/>
        <d v="2023-05-09T00:00:00"/>
        <d v="2024-04-22T00:00:00"/>
        <d v="2024-09-23T00:00:00"/>
        <d v="2023-04-20T00:00:00"/>
        <d v="2023-12-10T00:00:00"/>
        <d v="2023-05-24T00:00:00"/>
        <d v="2023-12-15T00:00:00"/>
        <d v="2023-02-27T00:00:00"/>
        <d v="2023-05-10T00:00:00"/>
        <d v="2024-12-21T00:00:00"/>
        <d v="2024-02-10T00:00:00"/>
        <d v="2024-01-01T00:00:00"/>
        <d v="2024-05-21T00:00:00"/>
        <d v="2023-11-13T00:00:00"/>
        <d v="2024-12-05T00:00:00"/>
        <d v="2023-04-19T00:00:00"/>
        <d v="2023-02-20T00:00:00"/>
        <d v="2023-08-10T00:00:00"/>
        <d v="2023-02-09T00:00:00"/>
        <d v="2023-10-20T00:00:00"/>
        <d v="2024-05-19T00:00:00"/>
        <d v="2024-10-21T00:00:00"/>
        <d v="2023-03-08T00:00:00"/>
        <d v="2023-03-25T00:00:00"/>
        <d v="2024-12-27T00:00:00"/>
        <d v="2023-11-07T00:00:00"/>
        <d v="2024-08-31T00:00:00"/>
        <d v="2024-04-24T00:00:00"/>
        <d v="2023-08-04T00:00:00"/>
        <d v="2024-08-04T00:00:00"/>
        <d v="2023-03-30T00:00:00"/>
        <d v="2024-11-16T00:00:00"/>
        <d v="2023-12-26T00:00:00"/>
        <d v="2023-12-28T00:00:00"/>
        <d v="2023-10-09T00:00:00"/>
        <d v="2024-05-08T00:00:00"/>
        <d v="2023-10-22T00:00:00"/>
        <d v="2023-02-26T00:00:00"/>
        <d v="2023-08-24T00:00:00"/>
        <d v="2023-04-06T00:00:00"/>
        <d v="2023-05-15T00:00:00"/>
        <d v="2023-06-04T00:00:00"/>
        <d v="2023-06-09T00:00:00"/>
        <d v="2024-11-04T00:00:00"/>
        <d v="2023-04-21T00:00:00"/>
        <d v="2024-02-09T00:00:00"/>
        <d v="2024-07-02T00:00:00"/>
        <d v="2024-06-29T00:00:00"/>
        <d v="2023-11-05T00:00:00"/>
        <d v="2023-09-02T00:00:00"/>
        <d v="2023-09-03T00:00:00"/>
        <d v="2023-07-20T00:00:00"/>
        <d v="2023-02-02T00:00:00"/>
        <d v="2024-04-06T00:00:00"/>
        <d v="2023-05-23T00:00:00"/>
        <d v="2024-03-25T00:00:00"/>
        <d v="2023-10-05T00:00:00"/>
        <d v="2023-12-24T00:00:00"/>
        <d v="2024-06-08T00:00:00"/>
        <d v="2024-06-03T00:00:00"/>
        <d v="2023-04-08T00:00:00"/>
        <d v="2024-08-29T00:00:00"/>
        <d v="2024-03-30T00:00:00"/>
        <d v="2024-11-09T00:00:00"/>
        <d v="2023-07-05T00:00:00"/>
        <d v="2023-09-30T00:00:00"/>
        <d v="2023-04-10T00:00:00"/>
        <d v="2024-03-15T00:00:00"/>
        <d v="2024-03-08T00:00:00"/>
        <d v="2023-11-15T00:00:00"/>
        <d v="2023-11-17T00:00:00"/>
        <d v="2023-07-30T00:00:00"/>
        <d v="2024-10-22T00:00:00"/>
        <d v="2024-06-21T00:00:00"/>
        <d v="2023-06-10T00:00:00"/>
        <d v="2024-08-25T00:00:00"/>
        <d v="2024-12-19T00:00:00"/>
        <d v="2023-07-27T00:00:00"/>
        <d v="2023-01-26T00:00:00"/>
        <d v="2024-07-18T00:00:00"/>
        <d v="2023-08-06T00:00:00"/>
        <d v="2023-04-11T00:00:00"/>
        <d v="2024-09-27T00:00:00"/>
        <d v="2024-08-15T00:00:00"/>
        <d v="2023-11-30T00:00:00"/>
        <d v="2023-12-31T00:00:00"/>
        <d v="2023-11-24T00:00:00"/>
        <d v="2023-05-12T00:00:00"/>
        <d v="2024-10-13T00:00:00"/>
        <d v="2024-09-08T00:00:00"/>
        <d v="2023-02-04T00:00:00"/>
        <d v="2024-07-14T00:00:00"/>
      </sharedItems>
      <fieldGroup par="7"/>
    </cacheField>
    <cacheField name="Type" numFmtId="0">
      <sharedItems count="2">
        <s v="Expense"/>
        <s v="Revenue"/>
      </sharedItems>
    </cacheField>
    <cacheField name="Category" numFmtId="0">
      <sharedItems count="14">
        <s v="Office Supplies"/>
        <s v="Equipment"/>
        <s v="Other Income"/>
        <s v="Rent"/>
        <s v="Product Sales"/>
        <s v="Utilities"/>
        <s v="Marketing Spend"/>
        <s v="Service Revenue"/>
        <s v="Professional Fees"/>
        <s v="Subscription Revenue"/>
        <s v="Travel"/>
        <s v="Salaries"/>
        <s v="Training"/>
        <s v="Software &amp; Tools"/>
      </sharedItems>
    </cacheField>
    <cacheField name="Department" numFmtId="0">
      <sharedItems count="8">
        <s v="Finance"/>
        <s v="Engineering"/>
        <s v="Marketing"/>
        <s v="Customer Support"/>
        <s v="Operations"/>
        <s v="IT"/>
        <s v="Sales"/>
        <s v="HR"/>
      </sharedItems>
    </cacheField>
    <cacheField name="Amount" numFmtId="4">
      <sharedItems containsSemiMixedTypes="0" containsString="0" containsNumber="1" minValue="1622.34" maxValue="581629.97"/>
    </cacheField>
    <cacheField name="Budgeted Amount" numFmtId="4">
      <sharedItems containsSemiMixedTypes="0" containsString="0" containsNumber="1" minValue="1583.46" maxValue="676313.48"/>
    </cacheField>
    <cacheField name="Months (Date)" numFmtId="0" databaseField="0">
      <fieldGroup base="1">
        <rangePr groupBy="months" startDate="2023-01-01T00:00:00" endDate="2025-01-01T00:00:00"/>
        <groupItems count="14">
          <s v="&lt;01-01-2023"/>
          <s v="Jan"/>
          <s v="Feb"/>
          <s v="Mar"/>
          <s v="Apr"/>
          <s v="May"/>
          <s v="Jun"/>
          <s v="Jul"/>
          <s v="Aug"/>
          <s v="Sep"/>
          <s v="Oct"/>
          <s v="Nov"/>
          <s v="Dec"/>
          <s v="&gt;01-01-2025"/>
        </groupItems>
      </fieldGroup>
    </cacheField>
    <cacheField name="variance" numFmtId="0" formula="Amount-'Budgeted Amount'" databaseField="0"/>
  </cacheFields>
  <extLst>
    <ext xmlns:x14="http://schemas.microsoft.com/office/spreadsheetml/2009/9/main" uri="{725AE2AE-9491-48be-B2B4-4EB974FC3084}">
      <x14:pivotCacheDefinition pivotCacheId="11025033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5001"/>
    <x v="0"/>
    <x v="0"/>
    <x v="0"/>
    <x v="0"/>
    <n v="12498.41"/>
    <n v="11703.58"/>
  </r>
  <r>
    <n v="5002"/>
    <x v="1"/>
    <x v="0"/>
    <x v="1"/>
    <x v="1"/>
    <n v="128745.62"/>
    <n v="121590.27"/>
  </r>
  <r>
    <n v="5003"/>
    <x v="2"/>
    <x v="1"/>
    <x v="2"/>
    <x v="2"/>
    <n v="89562.61"/>
    <n v="103044.3"/>
  </r>
  <r>
    <n v="5004"/>
    <x v="3"/>
    <x v="0"/>
    <x v="0"/>
    <x v="3"/>
    <n v="15781.36"/>
    <n v="13629.22"/>
  </r>
  <r>
    <n v="5005"/>
    <x v="4"/>
    <x v="0"/>
    <x v="3"/>
    <x v="4"/>
    <n v="32786.9"/>
    <n v="37587.19"/>
  </r>
  <r>
    <n v="5006"/>
    <x v="5"/>
    <x v="1"/>
    <x v="4"/>
    <x v="5"/>
    <n v="97327.33"/>
    <n v="111087.78"/>
  </r>
  <r>
    <n v="5007"/>
    <x v="6"/>
    <x v="0"/>
    <x v="5"/>
    <x v="6"/>
    <n v="21447.97"/>
    <n v="25266.95"/>
  </r>
  <r>
    <n v="5008"/>
    <x v="7"/>
    <x v="0"/>
    <x v="6"/>
    <x v="2"/>
    <n v="45518.58"/>
    <n v="47363.46"/>
  </r>
  <r>
    <n v="5009"/>
    <x v="8"/>
    <x v="1"/>
    <x v="7"/>
    <x v="3"/>
    <n v="160153.9"/>
    <n v="197278.11"/>
  </r>
  <r>
    <n v="5010"/>
    <x v="9"/>
    <x v="0"/>
    <x v="8"/>
    <x v="3"/>
    <n v="60483.88"/>
    <n v="71591.64"/>
  </r>
  <r>
    <n v="5011"/>
    <x v="10"/>
    <x v="0"/>
    <x v="8"/>
    <x v="6"/>
    <n v="103392.53"/>
    <n v="110647.83"/>
  </r>
  <r>
    <n v="5012"/>
    <x v="11"/>
    <x v="1"/>
    <x v="9"/>
    <x v="2"/>
    <n v="106725.13"/>
    <n v="97977.59"/>
  </r>
  <r>
    <n v="5013"/>
    <x v="12"/>
    <x v="0"/>
    <x v="10"/>
    <x v="4"/>
    <n v="61424.47"/>
    <n v="75053.42"/>
  </r>
  <r>
    <n v="5014"/>
    <x v="13"/>
    <x v="1"/>
    <x v="4"/>
    <x v="1"/>
    <n v="392968.92"/>
    <n v="392949.36"/>
  </r>
  <r>
    <n v="5015"/>
    <x v="14"/>
    <x v="1"/>
    <x v="7"/>
    <x v="3"/>
    <n v="460536.23"/>
    <n v="421498.64"/>
  </r>
  <r>
    <n v="5016"/>
    <x v="15"/>
    <x v="1"/>
    <x v="9"/>
    <x v="5"/>
    <n v="262944.28000000003"/>
    <n v="293649.46000000002"/>
  </r>
  <r>
    <n v="5017"/>
    <x v="13"/>
    <x v="1"/>
    <x v="4"/>
    <x v="5"/>
    <n v="406535.25"/>
    <n v="471404.72"/>
  </r>
  <r>
    <n v="5018"/>
    <x v="16"/>
    <x v="1"/>
    <x v="9"/>
    <x v="6"/>
    <n v="429587.45"/>
    <n v="478289.99"/>
  </r>
  <r>
    <n v="5019"/>
    <x v="17"/>
    <x v="0"/>
    <x v="5"/>
    <x v="3"/>
    <n v="7430.79"/>
    <n v="7321.06"/>
  </r>
  <r>
    <n v="5020"/>
    <x v="18"/>
    <x v="0"/>
    <x v="8"/>
    <x v="6"/>
    <n v="57920.81"/>
    <n v="71448.27"/>
  </r>
  <r>
    <n v="5021"/>
    <x v="19"/>
    <x v="0"/>
    <x v="8"/>
    <x v="6"/>
    <n v="191037.53"/>
    <n v="231112.54"/>
  </r>
  <r>
    <n v="5022"/>
    <x v="20"/>
    <x v="0"/>
    <x v="10"/>
    <x v="3"/>
    <n v="39787.760000000002"/>
    <n v="48184.39"/>
  </r>
  <r>
    <n v="5023"/>
    <x v="21"/>
    <x v="1"/>
    <x v="9"/>
    <x v="1"/>
    <n v="388762.78"/>
    <n v="332039.73"/>
  </r>
  <r>
    <n v="5024"/>
    <x v="22"/>
    <x v="1"/>
    <x v="4"/>
    <x v="0"/>
    <n v="304969.53999999998"/>
    <n v="337767.05"/>
  </r>
  <r>
    <n v="5025"/>
    <x v="23"/>
    <x v="0"/>
    <x v="0"/>
    <x v="1"/>
    <n v="4204.91"/>
    <n v="3733.69"/>
  </r>
  <r>
    <n v="5026"/>
    <x v="24"/>
    <x v="1"/>
    <x v="2"/>
    <x v="1"/>
    <n v="54507.02"/>
    <n v="48927.08"/>
  </r>
  <r>
    <n v="5027"/>
    <x v="25"/>
    <x v="1"/>
    <x v="9"/>
    <x v="3"/>
    <n v="257056.05"/>
    <n v="241078.26"/>
  </r>
  <r>
    <n v="5028"/>
    <x v="26"/>
    <x v="1"/>
    <x v="2"/>
    <x v="7"/>
    <n v="360788.09"/>
    <n v="386048.45"/>
  </r>
  <r>
    <n v="5029"/>
    <x v="27"/>
    <x v="0"/>
    <x v="1"/>
    <x v="6"/>
    <n v="198727.75"/>
    <n v="169540.43"/>
  </r>
  <r>
    <n v="5030"/>
    <x v="28"/>
    <x v="0"/>
    <x v="0"/>
    <x v="1"/>
    <n v="21506.54"/>
    <n v="20287.7"/>
  </r>
  <r>
    <n v="5031"/>
    <x v="29"/>
    <x v="0"/>
    <x v="11"/>
    <x v="7"/>
    <n v="282212.93"/>
    <n v="274808.96999999997"/>
  </r>
  <r>
    <n v="5032"/>
    <x v="30"/>
    <x v="0"/>
    <x v="1"/>
    <x v="5"/>
    <n v="237313.17"/>
    <n v="211072.35"/>
  </r>
  <r>
    <n v="5033"/>
    <x v="31"/>
    <x v="1"/>
    <x v="9"/>
    <x v="0"/>
    <n v="159976.92000000001"/>
    <n v="175957.13"/>
  </r>
  <r>
    <n v="5034"/>
    <x v="32"/>
    <x v="1"/>
    <x v="9"/>
    <x v="7"/>
    <n v="190508.41"/>
    <n v="186172.31"/>
  </r>
  <r>
    <n v="5035"/>
    <x v="33"/>
    <x v="1"/>
    <x v="4"/>
    <x v="2"/>
    <n v="320742.59999999998"/>
    <n v="376253.35"/>
  </r>
  <r>
    <n v="5036"/>
    <x v="34"/>
    <x v="0"/>
    <x v="11"/>
    <x v="5"/>
    <n v="324857.65999999997"/>
    <n v="342790.71"/>
  </r>
  <r>
    <n v="5037"/>
    <x v="35"/>
    <x v="1"/>
    <x v="4"/>
    <x v="6"/>
    <n v="337520.13"/>
    <n v="292567.84999999998"/>
  </r>
  <r>
    <n v="5038"/>
    <x v="36"/>
    <x v="0"/>
    <x v="0"/>
    <x v="3"/>
    <n v="11943.81"/>
    <n v="11281.82"/>
  </r>
  <r>
    <n v="5039"/>
    <x v="37"/>
    <x v="1"/>
    <x v="7"/>
    <x v="2"/>
    <n v="37967.050000000003"/>
    <n v="34897"/>
  </r>
  <r>
    <n v="5040"/>
    <x v="38"/>
    <x v="0"/>
    <x v="6"/>
    <x v="5"/>
    <n v="191774.22"/>
    <n v="221194.36"/>
  </r>
  <r>
    <n v="5041"/>
    <x v="39"/>
    <x v="0"/>
    <x v="12"/>
    <x v="0"/>
    <n v="16982.46"/>
    <n v="20662.080000000002"/>
  </r>
  <r>
    <n v="5042"/>
    <x v="40"/>
    <x v="1"/>
    <x v="2"/>
    <x v="6"/>
    <n v="97698.21"/>
    <n v="90938.91"/>
  </r>
  <r>
    <n v="5043"/>
    <x v="41"/>
    <x v="0"/>
    <x v="3"/>
    <x v="1"/>
    <n v="39542.01"/>
    <n v="38396.910000000003"/>
  </r>
  <r>
    <n v="5044"/>
    <x v="42"/>
    <x v="0"/>
    <x v="8"/>
    <x v="2"/>
    <n v="198259.27"/>
    <n v="181719.85"/>
  </r>
  <r>
    <n v="5045"/>
    <x v="43"/>
    <x v="1"/>
    <x v="9"/>
    <x v="4"/>
    <n v="327957.09999999998"/>
    <n v="368181.84"/>
  </r>
  <r>
    <n v="5046"/>
    <x v="44"/>
    <x v="1"/>
    <x v="4"/>
    <x v="4"/>
    <n v="267043.40000000002"/>
    <n v="327924.59999999998"/>
  </r>
  <r>
    <n v="5047"/>
    <x v="45"/>
    <x v="0"/>
    <x v="1"/>
    <x v="7"/>
    <n v="63404.29"/>
    <n v="71346.679999999993"/>
  </r>
  <r>
    <n v="5048"/>
    <x v="46"/>
    <x v="1"/>
    <x v="2"/>
    <x v="5"/>
    <n v="212808.05"/>
    <n v="220104.69"/>
  </r>
  <r>
    <n v="5049"/>
    <x v="47"/>
    <x v="1"/>
    <x v="7"/>
    <x v="3"/>
    <n v="318421.25"/>
    <n v="283262.25"/>
  </r>
  <r>
    <n v="5050"/>
    <x v="48"/>
    <x v="1"/>
    <x v="9"/>
    <x v="6"/>
    <n v="55941.54"/>
    <n v="60529.17"/>
  </r>
  <r>
    <n v="5051"/>
    <x v="49"/>
    <x v="0"/>
    <x v="8"/>
    <x v="7"/>
    <n v="198253.62"/>
    <n v="243182.25"/>
  </r>
  <r>
    <n v="5052"/>
    <x v="50"/>
    <x v="1"/>
    <x v="9"/>
    <x v="7"/>
    <n v="237970.13"/>
    <n v="287415.94"/>
  </r>
  <r>
    <n v="5053"/>
    <x v="51"/>
    <x v="1"/>
    <x v="2"/>
    <x v="6"/>
    <n v="168149.11"/>
    <n v="170983.27"/>
  </r>
  <r>
    <n v="5054"/>
    <x v="52"/>
    <x v="1"/>
    <x v="2"/>
    <x v="6"/>
    <n v="336182.46"/>
    <n v="295573.21999999997"/>
  </r>
  <r>
    <n v="5055"/>
    <x v="53"/>
    <x v="0"/>
    <x v="6"/>
    <x v="1"/>
    <n v="27297.18"/>
    <n v="32103.7"/>
  </r>
  <r>
    <n v="5056"/>
    <x v="54"/>
    <x v="0"/>
    <x v="8"/>
    <x v="5"/>
    <n v="139052.67000000001"/>
    <n v="155801.38"/>
  </r>
  <r>
    <n v="5057"/>
    <x v="55"/>
    <x v="1"/>
    <x v="9"/>
    <x v="0"/>
    <n v="163034.28"/>
    <n v="179475.05"/>
  </r>
  <r>
    <n v="5058"/>
    <x v="56"/>
    <x v="0"/>
    <x v="5"/>
    <x v="2"/>
    <n v="28730.32"/>
    <n v="26601.78"/>
  </r>
  <r>
    <n v="5059"/>
    <x v="57"/>
    <x v="0"/>
    <x v="5"/>
    <x v="6"/>
    <n v="25484.79"/>
    <n v="24467.93"/>
  </r>
  <r>
    <n v="5060"/>
    <x v="58"/>
    <x v="0"/>
    <x v="11"/>
    <x v="2"/>
    <n v="200992.23"/>
    <n v="199672.88"/>
  </r>
  <r>
    <n v="5061"/>
    <x v="59"/>
    <x v="0"/>
    <x v="6"/>
    <x v="3"/>
    <n v="32710.36"/>
    <n v="38628"/>
  </r>
  <r>
    <n v="5062"/>
    <x v="60"/>
    <x v="0"/>
    <x v="10"/>
    <x v="1"/>
    <n v="3641.56"/>
    <n v="3632.08"/>
  </r>
  <r>
    <n v="5063"/>
    <x v="61"/>
    <x v="1"/>
    <x v="2"/>
    <x v="6"/>
    <n v="455056.36"/>
    <n v="510478.31"/>
  </r>
  <r>
    <n v="5064"/>
    <x v="62"/>
    <x v="0"/>
    <x v="12"/>
    <x v="2"/>
    <n v="58300.06"/>
    <n v="58653.26"/>
  </r>
  <r>
    <n v="5065"/>
    <x v="28"/>
    <x v="0"/>
    <x v="10"/>
    <x v="6"/>
    <n v="73230.070000000007"/>
    <n v="67323.360000000001"/>
  </r>
  <r>
    <n v="5066"/>
    <x v="63"/>
    <x v="0"/>
    <x v="0"/>
    <x v="1"/>
    <n v="5375.93"/>
    <n v="6665.06"/>
  </r>
  <r>
    <n v="5067"/>
    <x v="64"/>
    <x v="0"/>
    <x v="6"/>
    <x v="7"/>
    <n v="299437.52"/>
    <n v="320980.18"/>
  </r>
  <r>
    <n v="5068"/>
    <x v="65"/>
    <x v="0"/>
    <x v="10"/>
    <x v="2"/>
    <n v="20709.93"/>
    <n v="22568.6"/>
  </r>
  <r>
    <n v="5069"/>
    <x v="66"/>
    <x v="0"/>
    <x v="10"/>
    <x v="1"/>
    <n v="79544.2"/>
    <n v="96620.32"/>
  </r>
  <r>
    <n v="5070"/>
    <x v="67"/>
    <x v="0"/>
    <x v="6"/>
    <x v="2"/>
    <n v="71676.08"/>
    <n v="76191.78"/>
  </r>
  <r>
    <n v="5071"/>
    <x v="68"/>
    <x v="0"/>
    <x v="1"/>
    <x v="0"/>
    <n v="35097.61"/>
    <n v="33203"/>
  </r>
  <r>
    <n v="5072"/>
    <x v="69"/>
    <x v="0"/>
    <x v="8"/>
    <x v="5"/>
    <n v="152762.22"/>
    <n v="169613.65"/>
  </r>
  <r>
    <n v="5073"/>
    <x v="70"/>
    <x v="1"/>
    <x v="2"/>
    <x v="7"/>
    <n v="254997.41"/>
    <n v="243827.21"/>
  </r>
  <r>
    <n v="5074"/>
    <x v="71"/>
    <x v="0"/>
    <x v="6"/>
    <x v="6"/>
    <n v="238860.64"/>
    <n v="235144.04"/>
  </r>
  <r>
    <n v="5075"/>
    <x v="72"/>
    <x v="0"/>
    <x v="5"/>
    <x v="7"/>
    <n v="39771.019999999997"/>
    <n v="39800.82"/>
  </r>
  <r>
    <n v="5076"/>
    <x v="73"/>
    <x v="1"/>
    <x v="9"/>
    <x v="5"/>
    <n v="114525.89"/>
    <n v="107758.29"/>
  </r>
  <r>
    <n v="5077"/>
    <x v="74"/>
    <x v="0"/>
    <x v="8"/>
    <x v="6"/>
    <n v="15146.7"/>
    <n v="18426.849999999999"/>
  </r>
  <r>
    <n v="5078"/>
    <x v="75"/>
    <x v="0"/>
    <x v="8"/>
    <x v="4"/>
    <n v="83995.86"/>
    <n v="92512.21"/>
  </r>
  <r>
    <n v="5079"/>
    <x v="76"/>
    <x v="0"/>
    <x v="3"/>
    <x v="0"/>
    <n v="120155.35"/>
    <n v="120151.27"/>
  </r>
  <r>
    <n v="5080"/>
    <x v="59"/>
    <x v="0"/>
    <x v="8"/>
    <x v="2"/>
    <n v="186349.32"/>
    <n v="173214.65"/>
  </r>
  <r>
    <n v="5081"/>
    <x v="77"/>
    <x v="0"/>
    <x v="3"/>
    <x v="0"/>
    <n v="59845.33"/>
    <n v="53977.72"/>
  </r>
  <r>
    <n v="5082"/>
    <x v="63"/>
    <x v="1"/>
    <x v="9"/>
    <x v="7"/>
    <n v="266700.87"/>
    <n v="240981.39"/>
  </r>
  <r>
    <n v="5083"/>
    <x v="78"/>
    <x v="0"/>
    <x v="11"/>
    <x v="4"/>
    <n v="559130.72"/>
    <n v="592139.51"/>
  </r>
  <r>
    <n v="5084"/>
    <x v="79"/>
    <x v="1"/>
    <x v="7"/>
    <x v="0"/>
    <n v="47719.29"/>
    <n v="53853.06"/>
  </r>
  <r>
    <n v="5085"/>
    <x v="80"/>
    <x v="1"/>
    <x v="4"/>
    <x v="7"/>
    <n v="305431"/>
    <n v="313830.64"/>
  </r>
  <r>
    <n v="5086"/>
    <x v="64"/>
    <x v="0"/>
    <x v="1"/>
    <x v="4"/>
    <n v="110966.47"/>
    <n v="95266.81"/>
  </r>
  <r>
    <n v="5087"/>
    <x v="20"/>
    <x v="1"/>
    <x v="2"/>
    <x v="5"/>
    <n v="325164.96000000002"/>
    <n v="335819.64"/>
  </r>
  <r>
    <n v="5088"/>
    <x v="81"/>
    <x v="0"/>
    <x v="8"/>
    <x v="7"/>
    <n v="13776.54"/>
    <n v="15254.41"/>
  </r>
  <r>
    <n v="5089"/>
    <x v="82"/>
    <x v="0"/>
    <x v="12"/>
    <x v="2"/>
    <n v="22656.48"/>
    <n v="20657.22"/>
  </r>
  <r>
    <n v="5090"/>
    <x v="83"/>
    <x v="0"/>
    <x v="10"/>
    <x v="4"/>
    <n v="25342.92"/>
    <n v="31319.34"/>
  </r>
  <r>
    <n v="5091"/>
    <x v="84"/>
    <x v="1"/>
    <x v="7"/>
    <x v="6"/>
    <n v="319604.84999999998"/>
    <n v="379990.58"/>
  </r>
  <r>
    <n v="5092"/>
    <x v="85"/>
    <x v="0"/>
    <x v="5"/>
    <x v="2"/>
    <n v="26998.36"/>
    <n v="24269.21"/>
  </r>
  <r>
    <n v="5093"/>
    <x v="86"/>
    <x v="1"/>
    <x v="7"/>
    <x v="6"/>
    <n v="60793.86"/>
    <n v="57572.74"/>
  </r>
  <r>
    <n v="5094"/>
    <x v="87"/>
    <x v="0"/>
    <x v="6"/>
    <x v="7"/>
    <n v="135234.20000000001"/>
    <n v="157607.35"/>
  </r>
  <r>
    <n v="5095"/>
    <x v="88"/>
    <x v="0"/>
    <x v="11"/>
    <x v="3"/>
    <n v="237354.01"/>
    <n v="231955.68"/>
  </r>
  <r>
    <n v="5096"/>
    <x v="89"/>
    <x v="0"/>
    <x v="0"/>
    <x v="6"/>
    <n v="14849.18"/>
    <n v="12897.46"/>
  </r>
  <r>
    <n v="5097"/>
    <x v="90"/>
    <x v="0"/>
    <x v="12"/>
    <x v="5"/>
    <n v="13381.99"/>
    <n v="16332.59"/>
  </r>
  <r>
    <n v="5098"/>
    <x v="91"/>
    <x v="0"/>
    <x v="13"/>
    <x v="5"/>
    <n v="87766.25"/>
    <n v="93229.93"/>
  </r>
  <r>
    <n v="5099"/>
    <x v="92"/>
    <x v="1"/>
    <x v="9"/>
    <x v="5"/>
    <n v="334871.5"/>
    <n v="336788.72"/>
  </r>
  <r>
    <n v="5100"/>
    <x v="93"/>
    <x v="1"/>
    <x v="9"/>
    <x v="2"/>
    <n v="253636.98"/>
    <n v="298846.25"/>
  </r>
  <r>
    <n v="5101"/>
    <x v="94"/>
    <x v="0"/>
    <x v="5"/>
    <x v="0"/>
    <n v="15793.7"/>
    <n v="14132.97"/>
  </r>
  <r>
    <n v="5102"/>
    <x v="95"/>
    <x v="0"/>
    <x v="6"/>
    <x v="6"/>
    <n v="118510.25"/>
    <n v="141748.01999999999"/>
  </r>
  <r>
    <n v="5103"/>
    <x v="96"/>
    <x v="0"/>
    <x v="3"/>
    <x v="5"/>
    <n v="56155.35"/>
    <n v="67570.52"/>
  </r>
  <r>
    <n v="5104"/>
    <x v="97"/>
    <x v="1"/>
    <x v="9"/>
    <x v="4"/>
    <n v="228744.84"/>
    <n v="264925.15999999997"/>
  </r>
  <r>
    <n v="5105"/>
    <x v="98"/>
    <x v="0"/>
    <x v="6"/>
    <x v="1"/>
    <n v="19200.98"/>
    <n v="17966.23"/>
  </r>
  <r>
    <n v="5106"/>
    <x v="99"/>
    <x v="1"/>
    <x v="7"/>
    <x v="5"/>
    <n v="139371.81"/>
    <n v="138237.16"/>
  </r>
  <r>
    <n v="5107"/>
    <x v="42"/>
    <x v="1"/>
    <x v="7"/>
    <x v="4"/>
    <n v="250457.17"/>
    <n v="245799.65"/>
  </r>
  <r>
    <n v="5108"/>
    <x v="100"/>
    <x v="1"/>
    <x v="4"/>
    <x v="6"/>
    <n v="138110.67000000001"/>
    <n v="172458.25"/>
  </r>
  <r>
    <n v="5109"/>
    <x v="101"/>
    <x v="0"/>
    <x v="5"/>
    <x v="3"/>
    <n v="5972.51"/>
    <n v="6457.21"/>
  </r>
  <r>
    <n v="5110"/>
    <x v="102"/>
    <x v="1"/>
    <x v="7"/>
    <x v="2"/>
    <n v="438620.86"/>
    <n v="529606.18999999994"/>
  </r>
  <r>
    <n v="5111"/>
    <x v="103"/>
    <x v="0"/>
    <x v="8"/>
    <x v="7"/>
    <n v="194165.84"/>
    <n v="215915.12"/>
  </r>
  <r>
    <n v="5112"/>
    <x v="104"/>
    <x v="0"/>
    <x v="13"/>
    <x v="1"/>
    <n v="64716.02"/>
    <n v="56261.55"/>
  </r>
  <r>
    <n v="5113"/>
    <x v="78"/>
    <x v="1"/>
    <x v="4"/>
    <x v="1"/>
    <n v="238088.41"/>
    <n v="275072.14"/>
  </r>
  <r>
    <n v="5114"/>
    <x v="105"/>
    <x v="1"/>
    <x v="9"/>
    <x v="2"/>
    <n v="104772.47"/>
    <n v="113485.73"/>
  </r>
  <r>
    <n v="5115"/>
    <x v="58"/>
    <x v="0"/>
    <x v="13"/>
    <x v="3"/>
    <n v="93193.25"/>
    <n v="114663.88"/>
  </r>
  <r>
    <n v="5116"/>
    <x v="106"/>
    <x v="1"/>
    <x v="9"/>
    <x v="6"/>
    <n v="356875.45"/>
    <n v="422529.8"/>
  </r>
  <r>
    <n v="5117"/>
    <x v="107"/>
    <x v="0"/>
    <x v="10"/>
    <x v="0"/>
    <n v="68002.87"/>
    <n v="61476.84"/>
  </r>
  <r>
    <n v="5118"/>
    <x v="108"/>
    <x v="0"/>
    <x v="10"/>
    <x v="7"/>
    <n v="51308.49"/>
    <n v="60410.74"/>
  </r>
  <r>
    <n v="5119"/>
    <x v="109"/>
    <x v="0"/>
    <x v="5"/>
    <x v="6"/>
    <n v="38892.620000000003"/>
    <n v="33731.050000000003"/>
  </r>
  <r>
    <n v="5120"/>
    <x v="110"/>
    <x v="0"/>
    <x v="1"/>
    <x v="6"/>
    <n v="15337.13"/>
    <n v="13214.95"/>
  </r>
  <r>
    <n v="5121"/>
    <x v="111"/>
    <x v="0"/>
    <x v="1"/>
    <x v="7"/>
    <n v="213124.65"/>
    <n v="253358.55"/>
  </r>
  <r>
    <n v="5122"/>
    <x v="112"/>
    <x v="0"/>
    <x v="12"/>
    <x v="7"/>
    <n v="8557.69"/>
    <n v="10452.61"/>
  </r>
  <r>
    <n v="5123"/>
    <x v="113"/>
    <x v="0"/>
    <x v="10"/>
    <x v="7"/>
    <n v="58713.599999999999"/>
    <n v="58925.68"/>
  </r>
  <r>
    <n v="5124"/>
    <x v="114"/>
    <x v="0"/>
    <x v="11"/>
    <x v="7"/>
    <n v="235541.96"/>
    <n v="221661.74"/>
  </r>
  <r>
    <n v="5125"/>
    <x v="43"/>
    <x v="0"/>
    <x v="6"/>
    <x v="2"/>
    <n v="189193.01"/>
    <n v="228910.65"/>
  </r>
  <r>
    <n v="5126"/>
    <x v="28"/>
    <x v="0"/>
    <x v="5"/>
    <x v="1"/>
    <n v="30176.55"/>
    <n v="30940.09"/>
  </r>
  <r>
    <n v="5127"/>
    <x v="115"/>
    <x v="0"/>
    <x v="8"/>
    <x v="2"/>
    <n v="181285.93"/>
    <n v="194372.73"/>
  </r>
  <r>
    <n v="5128"/>
    <x v="26"/>
    <x v="0"/>
    <x v="3"/>
    <x v="6"/>
    <n v="116708.27"/>
    <n v="100656.14"/>
  </r>
  <r>
    <n v="5129"/>
    <x v="116"/>
    <x v="0"/>
    <x v="11"/>
    <x v="2"/>
    <n v="533184.61"/>
    <n v="663535.74"/>
  </r>
  <r>
    <n v="5130"/>
    <x v="117"/>
    <x v="1"/>
    <x v="2"/>
    <x v="4"/>
    <n v="492177.76"/>
    <n v="588341.78"/>
  </r>
  <r>
    <n v="5131"/>
    <x v="117"/>
    <x v="0"/>
    <x v="13"/>
    <x v="1"/>
    <n v="70057.06"/>
    <n v="77465.48"/>
  </r>
  <r>
    <n v="5132"/>
    <x v="118"/>
    <x v="1"/>
    <x v="7"/>
    <x v="1"/>
    <n v="460836.01"/>
    <n v="512219.74"/>
  </r>
  <r>
    <n v="5133"/>
    <x v="119"/>
    <x v="1"/>
    <x v="9"/>
    <x v="3"/>
    <n v="277924.45"/>
    <n v="249137.79"/>
  </r>
  <r>
    <n v="5134"/>
    <x v="120"/>
    <x v="0"/>
    <x v="3"/>
    <x v="7"/>
    <n v="136618.34"/>
    <n v="141268.45000000001"/>
  </r>
  <r>
    <n v="5135"/>
    <x v="121"/>
    <x v="1"/>
    <x v="7"/>
    <x v="5"/>
    <n v="154181.32"/>
    <n v="143072.29999999999"/>
  </r>
  <r>
    <n v="5136"/>
    <x v="122"/>
    <x v="1"/>
    <x v="2"/>
    <x v="3"/>
    <n v="381209.96"/>
    <n v="420519.33"/>
  </r>
  <r>
    <n v="5137"/>
    <x v="123"/>
    <x v="1"/>
    <x v="7"/>
    <x v="1"/>
    <n v="65456.98"/>
    <n v="74582.58"/>
  </r>
  <r>
    <n v="5138"/>
    <x v="63"/>
    <x v="0"/>
    <x v="8"/>
    <x v="3"/>
    <n v="123381.69"/>
    <n v="118218.84"/>
  </r>
  <r>
    <n v="5139"/>
    <x v="124"/>
    <x v="1"/>
    <x v="4"/>
    <x v="0"/>
    <n v="290316.34999999998"/>
    <n v="254034.25"/>
  </r>
  <r>
    <n v="5140"/>
    <x v="71"/>
    <x v="1"/>
    <x v="4"/>
    <x v="7"/>
    <n v="327427.07"/>
    <n v="369801.91"/>
  </r>
  <r>
    <n v="5141"/>
    <x v="125"/>
    <x v="0"/>
    <x v="0"/>
    <x v="0"/>
    <n v="15824.92"/>
    <n v="14591.6"/>
  </r>
  <r>
    <n v="5142"/>
    <x v="126"/>
    <x v="1"/>
    <x v="9"/>
    <x v="3"/>
    <n v="220564.64"/>
    <n v="266160.09000000003"/>
  </r>
  <r>
    <n v="5143"/>
    <x v="127"/>
    <x v="0"/>
    <x v="0"/>
    <x v="5"/>
    <n v="7796.72"/>
    <n v="8911.7800000000007"/>
  </r>
  <r>
    <n v="5144"/>
    <x v="128"/>
    <x v="1"/>
    <x v="9"/>
    <x v="0"/>
    <n v="199565.52"/>
    <n v="196854.25"/>
  </r>
  <r>
    <n v="5145"/>
    <x v="129"/>
    <x v="0"/>
    <x v="13"/>
    <x v="1"/>
    <n v="115030.48"/>
    <n v="108551.02"/>
  </r>
  <r>
    <n v="5146"/>
    <x v="130"/>
    <x v="1"/>
    <x v="7"/>
    <x v="1"/>
    <n v="390040.1"/>
    <n v="358479.02"/>
  </r>
  <r>
    <n v="5147"/>
    <x v="131"/>
    <x v="0"/>
    <x v="12"/>
    <x v="2"/>
    <n v="4925.96"/>
    <n v="4288.18"/>
  </r>
  <r>
    <n v="5148"/>
    <x v="132"/>
    <x v="0"/>
    <x v="12"/>
    <x v="1"/>
    <n v="12608.82"/>
    <n v="12719.35"/>
  </r>
  <r>
    <n v="5149"/>
    <x v="133"/>
    <x v="0"/>
    <x v="11"/>
    <x v="1"/>
    <n v="155935.07"/>
    <n v="190954.16"/>
  </r>
  <r>
    <n v="5150"/>
    <x v="134"/>
    <x v="0"/>
    <x v="8"/>
    <x v="1"/>
    <n v="86712.51"/>
    <n v="107100.69"/>
  </r>
  <r>
    <n v="5151"/>
    <x v="135"/>
    <x v="1"/>
    <x v="7"/>
    <x v="1"/>
    <n v="67654.039999999994"/>
    <n v="84036.52"/>
  </r>
  <r>
    <n v="5152"/>
    <x v="136"/>
    <x v="1"/>
    <x v="2"/>
    <x v="4"/>
    <n v="283574.86"/>
    <n v="331287.21000000002"/>
  </r>
  <r>
    <n v="5153"/>
    <x v="21"/>
    <x v="1"/>
    <x v="2"/>
    <x v="6"/>
    <n v="380714.68"/>
    <n v="472145.7"/>
  </r>
  <r>
    <n v="5154"/>
    <x v="137"/>
    <x v="0"/>
    <x v="5"/>
    <x v="4"/>
    <n v="23074.28"/>
    <n v="20432.419999999998"/>
  </r>
  <r>
    <n v="5155"/>
    <x v="138"/>
    <x v="0"/>
    <x v="0"/>
    <x v="5"/>
    <n v="20584.27"/>
    <n v="23767.759999999998"/>
  </r>
  <r>
    <n v="5156"/>
    <x v="139"/>
    <x v="0"/>
    <x v="0"/>
    <x v="7"/>
    <n v="16464"/>
    <n v="14350.9"/>
  </r>
  <r>
    <n v="5157"/>
    <x v="140"/>
    <x v="0"/>
    <x v="6"/>
    <x v="5"/>
    <n v="86455.24"/>
    <n v="93343.27"/>
  </r>
  <r>
    <n v="5158"/>
    <x v="141"/>
    <x v="0"/>
    <x v="0"/>
    <x v="3"/>
    <n v="22435.61"/>
    <n v="27061.22"/>
  </r>
  <r>
    <n v="5159"/>
    <x v="142"/>
    <x v="1"/>
    <x v="9"/>
    <x v="0"/>
    <n v="348493.06"/>
    <n v="299863.28999999998"/>
  </r>
  <r>
    <n v="5160"/>
    <x v="143"/>
    <x v="1"/>
    <x v="9"/>
    <x v="2"/>
    <n v="338855.53"/>
    <n v="411028.54"/>
  </r>
  <r>
    <n v="5161"/>
    <x v="144"/>
    <x v="0"/>
    <x v="0"/>
    <x v="4"/>
    <n v="10356.86"/>
    <n v="10982.33"/>
  </r>
  <r>
    <n v="5162"/>
    <x v="145"/>
    <x v="0"/>
    <x v="5"/>
    <x v="1"/>
    <n v="24133.77"/>
    <n v="29489.41"/>
  </r>
  <r>
    <n v="5163"/>
    <x v="146"/>
    <x v="0"/>
    <x v="0"/>
    <x v="3"/>
    <n v="12780.87"/>
    <n v="15482.92"/>
  </r>
  <r>
    <n v="5164"/>
    <x v="147"/>
    <x v="1"/>
    <x v="2"/>
    <x v="5"/>
    <n v="111681.53"/>
    <n v="130511.95"/>
  </r>
  <r>
    <n v="5165"/>
    <x v="148"/>
    <x v="1"/>
    <x v="7"/>
    <x v="6"/>
    <n v="100730.68"/>
    <n v="115041.57"/>
  </r>
  <r>
    <n v="5166"/>
    <x v="149"/>
    <x v="1"/>
    <x v="2"/>
    <x v="7"/>
    <n v="292365.55"/>
    <n v="356952.45"/>
  </r>
  <r>
    <n v="5167"/>
    <x v="25"/>
    <x v="0"/>
    <x v="12"/>
    <x v="0"/>
    <n v="53002.87"/>
    <n v="61216.49"/>
  </r>
  <r>
    <n v="5168"/>
    <x v="150"/>
    <x v="0"/>
    <x v="6"/>
    <x v="5"/>
    <n v="241206.09"/>
    <n v="245836.51"/>
  </r>
  <r>
    <n v="5169"/>
    <x v="151"/>
    <x v="0"/>
    <x v="8"/>
    <x v="0"/>
    <n v="14784.03"/>
    <n v="15755.74"/>
  </r>
  <r>
    <n v="5170"/>
    <x v="152"/>
    <x v="1"/>
    <x v="2"/>
    <x v="3"/>
    <n v="171216.52"/>
    <n v="193867.96"/>
  </r>
  <r>
    <n v="5171"/>
    <x v="153"/>
    <x v="0"/>
    <x v="3"/>
    <x v="0"/>
    <n v="127794.46"/>
    <n v="143715.67000000001"/>
  </r>
  <r>
    <n v="5172"/>
    <x v="154"/>
    <x v="0"/>
    <x v="13"/>
    <x v="1"/>
    <n v="87729.02"/>
    <n v="79199.399999999994"/>
  </r>
  <r>
    <n v="5173"/>
    <x v="155"/>
    <x v="0"/>
    <x v="12"/>
    <x v="6"/>
    <n v="50194.68"/>
    <n v="52937.59"/>
  </r>
  <r>
    <n v="5174"/>
    <x v="156"/>
    <x v="0"/>
    <x v="1"/>
    <x v="7"/>
    <n v="198630.68"/>
    <n v="246569.52"/>
  </r>
  <r>
    <n v="5175"/>
    <x v="157"/>
    <x v="0"/>
    <x v="3"/>
    <x v="4"/>
    <n v="75688.039999999994"/>
    <n v="78721.990000000005"/>
  </r>
  <r>
    <n v="5176"/>
    <x v="59"/>
    <x v="1"/>
    <x v="9"/>
    <x v="7"/>
    <n v="275854.33"/>
    <n v="271648.40000000002"/>
  </r>
  <r>
    <n v="5177"/>
    <x v="158"/>
    <x v="1"/>
    <x v="2"/>
    <x v="3"/>
    <n v="475080.13"/>
    <n v="435043.52"/>
  </r>
  <r>
    <n v="5178"/>
    <x v="159"/>
    <x v="1"/>
    <x v="9"/>
    <x v="2"/>
    <n v="89045.63"/>
    <n v="84969.82"/>
  </r>
  <r>
    <n v="5179"/>
    <x v="160"/>
    <x v="1"/>
    <x v="7"/>
    <x v="5"/>
    <n v="462473.66"/>
    <n v="510540.57"/>
  </r>
  <r>
    <n v="5180"/>
    <x v="161"/>
    <x v="1"/>
    <x v="9"/>
    <x v="5"/>
    <n v="170636.56"/>
    <n v="204076.76"/>
  </r>
  <r>
    <n v="5181"/>
    <x v="162"/>
    <x v="0"/>
    <x v="13"/>
    <x v="3"/>
    <n v="82203.149999999994"/>
    <n v="79076.83"/>
  </r>
  <r>
    <n v="5182"/>
    <x v="163"/>
    <x v="0"/>
    <x v="6"/>
    <x v="1"/>
    <n v="263230.26"/>
    <n v="315384.3"/>
  </r>
  <r>
    <n v="5183"/>
    <x v="164"/>
    <x v="1"/>
    <x v="9"/>
    <x v="7"/>
    <n v="273745.63"/>
    <n v="302320.03000000003"/>
  </r>
  <r>
    <n v="5184"/>
    <x v="165"/>
    <x v="0"/>
    <x v="6"/>
    <x v="4"/>
    <n v="108309.23"/>
    <n v="115935.73"/>
  </r>
  <r>
    <n v="5185"/>
    <x v="166"/>
    <x v="1"/>
    <x v="4"/>
    <x v="5"/>
    <n v="95256.9"/>
    <n v="106605.91"/>
  </r>
  <r>
    <n v="5186"/>
    <x v="167"/>
    <x v="0"/>
    <x v="5"/>
    <x v="3"/>
    <n v="20247.54"/>
    <n v="22439.32"/>
  </r>
  <r>
    <n v="5187"/>
    <x v="50"/>
    <x v="0"/>
    <x v="1"/>
    <x v="6"/>
    <n v="88658.14"/>
    <n v="79582.48"/>
  </r>
  <r>
    <n v="5188"/>
    <x v="119"/>
    <x v="0"/>
    <x v="0"/>
    <x v="4"/>
    <n v="7370.57"/>
    <n v="9025.59"/>
  </r>
  <r>
    <n v="5189"/>
    <x v="168"/>
    <x v="0"/>
    <x v="13"/>
    <x v="7"/>
    <n v="40094.980000000003"/>
    <n v="47275.519999999997"/>
  </r>
  <r>
    <n v="5190"/>
    <x v="130"/>
    <x v="1"/>
    <x v="9"/>
    <x v="5"/>
    <n v="369282.86"/>
    <n v="364761.85"/>
  </r>
  <r>
    <n v="5191"/>
    <x v="169"/>
    <x v="0"/>
    <x v="0"/>
    <x v="4"/>
    <n v="17680.71"/>
    <n v="18453.41"/>
  </r>
  <r>
    <n v="5192"/>
    <x v="100"/>
    <x v="0"/>
    <x v="12"/>
    <x v="7"/>
    <n v="44134.25"/>
    <n v="46170"/>
  </r>
  <r>
    <n v="5193"/>
    <x v="170"/>
    <x v="1"/>
    <x v="7"/>
    <x v="2"/>
    <n v="189653.64"/>
    <n v="172608.95"/>
  </r>
  <r>
    <n v="5194"/>
    <x v="171"/>
    <x v="0"/>
    <x v="13"/>
    <x v="5"/>
    <n v="49217.88"/>
    <n v="48045.08"/>
  </r>
  <r>
    <n v="5195"/>
    <x v="172"/>
    <x v="0"/>
    <x v="12"/>
    <x v="7"/>
    <n v="32683.72"/>
    <n v="38112.31"/>
  </r>
  <r>
    <n v="5196"/>
    <x v="173"/>
    <x v="1"/>
    <x v="9"/>
    <x v="6"/>
    <n v="103263.63"/>
    <n v="119058.09"/>
  </r>
  <r>
    <n v="5197"/>
    <x v="8"/>
    <x v="1"/>
    <x v="4"/>
    <x v="1"/>
    <n v="349011.41"/>
    <n v="397702.40000000002"/>
  </r>
  <r>
    <n v="5198"/>
    <x v="174"/>
    <x v="1"/>
    <x v="2"/>
    <x v="2"/>
    <n v="487394.79"/>
    <n v="547088.92000000004"/>
  </r>
  <r>
    <n v="5199"/>
    <x v="10"/>
    <x v="0"/>
    <x v="3"/>
    <x v="5"/>
    <n v="32013.65"/>
    <n v="28219.58"/>
  </r>
  <r>
    <n v="5200"/>
    <x v="175"/>
    <x v="0"/>
    <x v="12"/>
    <x v="6"/>
    <n v="10603.79"/>
    <n v="11922.17"/>
  </r>
  <r>
    <n v="5201"/>
    <x v="15"/>
    <x v="1"/>
    <x v="4"/>
    <x v="6"/>
    <n v="291581.40000000002"/>
    <n v="323071.28999999998"/>
  </r>
  <r>
    <n v="5202"/>
    <x v="108"/>
    <x v="1"/>
    <x v="7"/>
    <x v="0"/>
    <n v="393013.32"/>
    <n v="478235.05"/>
  </r>
  <r>
    <n v="5203"/>
    <x v="81"/>
    <x v="1"/>
    <x v="7"/>
    <x v="3"/>
    <n v="191453.64"/>
    <n v="193084.75"/>
  </r>
  <r>
    <n v="5204"/>
    <x v="176"/>
    <x v="1"/>
    <x v="2"/>
    <x v="3"/>
    <n v="166513.1"/>
    <n v="184323.69"/>
  </r>
  <r>
    <n v="5205"/>
    <x v="177"/>
    <x v="1"/>
    <x v="4"/>
    <x v="1"/>
    <n v="166281.88"/>
    <n v="173461.2"/>
  </r>
  <r>
    <n v="5206"/>
    <x v="178"/>
    <x v="0"/>
    <x v="3"/>
    <x v="0"/>
    <n v="107628.44"/>
    <n v="126067.22"/>
  </r>
  <r>
    <n v="5207"/>
    <x v="179"/>
    <x v="0"/>
    <x v="1"/>
    <x v="2"/>
    <n v="152025.76"/>
    <n v="131450.23999999999"/>
  </r>
  <r>
    <n v="5208"/>
    <x v="180"/>
    <x v="0"/>
    <x v="0"/>
    <x v="2"/>
    <n v="21493.42"/>
    <n v="21429.26"/>
  </r>
  <r>
    <n v="5209"/>
    <x v="55"/>
    <x v="1"/>
    <x v="2"/>
    <x v="6"/>
    <n v="435698.71"/>
    <n v="496219.65"/>
  </r>
  <r>
    <n v="5210"/>
    <x v="181"/>
    <x v="1"/>
    <x v="9"/>
    <x v="4"/>
    <n v="79668.789999999994"/>
    <n v="80225.8"/>
  </r>
  <r>
    <n v="5211"/>
    <x v="182"/>
    <x v="0"/>
    <x v="6"/>
    <x v="1"/>
    <n v="222092.53"/>
    <n v="200275.34"/>
  </r>
  <r>
    <n v="5212"/>
    <x v="183"/>
    <x v="0"/>
    <x v="8"/>
    <x v="2"/>
    <n v="59279.3"/>
    <n v="63777.29"/>
  </r>
  <r>
    <n v="5213"/>
    <x v="184"/>
    <x v="1"/>
    <x v="9"/>
    <x v="2"/>
    <n v="228583.06"/>
    <n v="220366.68"/>
  </r>
  <r>
    <n v="5214"/>
    <x v="173"/>
    <x v="0"/>
    <x v="3"/>
    <x v="7"/>
    <n v="73768.44"/>
    <n v="80335.960000000006"/>
  </r>
  <r>
    <n v="5215"/>
    <x v="185"/>
    <x v="0"/>
    <x v="5"/>
    <x v="5"/>
    <n v="14941.51"/>
    <n v="17749.349999999999"/>
  </r>
  <r>
    <n v="5216"/>
    <x v="186"/>
    <x v="0"/>
    <x v="5"/>
    <x v="3"/>
    <n v="26256.16"/>
    <n v="22561.919999999998"/>
  </r>
  <r>
    <n v="5217"/>
    <x v="187"/>
    <x v="0"/>
    <x v="13"/>
    <x v="7"/>
    <n v="49823.6"/>
    <n v="50013.89"/>
  </r>
  <r>
    <n v="5218"/>
    <x v="188"/>
    <x v="0"/>
    <x v="6"/>
    <x v="2"/>
    <n v="286642.61"/>
    <n v="294645.51"/>
  </r>
  <r>
    <n v="5219"/>
    <x v="189"/>
    <x v="0"/>
    <x v="3"/>
    <x v="0"/>
    <n v="104478.46"/>
    <n v="100041.64"/>
  </r>
  <r>
    <n v="5220"/>
    <x v="190"/>
    <x v="0"/>
    <x v="3"/>
    <x v="2"/>
    <n v="57816.19"/>
    <n v="63963.81"/>
  </r>
  <r>
    <n v="5221"/>
    <x v="191"/>
    <x v="1"/>
    <x v="4"/>
    <x v="5"/>
    <n v="383628.22"/>
    <n v="410645.94"/>
  </r>
  <r>
    <n v="5222"/>
    <x v="192"/>
    <x v="0"/>
    <x v="12"/>
    <x v="2"/>
    <n v="50794.41"/>
    <n v="49274.99"/>
  </r>
  <r>
    <n v="5223"/>
    <x v="54"/>
    <x v="0"/>
    <x v="11"/>
    <x v="4"/>
    <n v="456806.73"/>
    <n v="502931.49"/>
  </r>
  <r>
    <n v="5224"/>
    <x v="193"/>
    <x v="0"/>
    <x v="5"/>
    <x v="3"/>
    <n v="5985.89"/>
    <n v="7073.39"/>
  </r>
  <r>
    <n v="5225"/>
    <x v="194"/>
    <x v="0"/>
    <x v="8"/>
    <x v="7"/>
    <n v="94099.31"/>
    <n v="85054.13"/>
  </r>
  <r>
    <n v="5226"/>
    <x v="195"/>
    <x v="0"/>
    <x v="5"/>
    <x v="7"/>
    <n v="9891.43"/>
    <n v="12219.82"/>
  </r>
  <r>
    <n v="5227"/>
    <x v="196"/>
    <x v="0"/>
    <x v="5"/>
    <x v="3"/>
    <n v="35031.379999999997"/>
    <n v="36635.279999999999"/>
  </r>
  <r>
    <n v="5228"/>
    <x v="197"/>
    <x v="0"/>
    <x v="3"/>
    <x v="7"/>
    <n v="79292.800000000003"/>
    <n v="93609.51"/>
  </r>
  <r>
    <n v="5229"/>
    <x v="198"/>
    <x v="1"/>
    <x v="7"/>
    <x v="4"/>
    <n v="238892.39"/>
    <n v="291572.42"/>
  </r>
  <r>
    <n v="5230"/>
    <x v="199"/>
    <x v="0"/>
    <x v="12"/>
    <x v="5"/>
    <n v="13220.88"/>
    <n v="13192.15"/>
  </r>
  <r>
    <n v="5231"/>
    <x v="67"/>
    <x v="1"/>
    <x v="4"/>
    <x v="1"/>
    <n v="24303.39"/>
    <n v="28375.25"/>
  </r>
  <r>
    <n v="5232"/>
    <x v="200"/>
    <x v="1"/>
    <x v="9"/>
    <x v="0"/>
    <n v="179028.63"/>
    <n v="190992.09"/>
  </r>
  <r>
    <n v="5233"/>
    <x v="147"/>
    <x v="0"/>
    <x v="1"/>
    <x v="0"/>
    <n v="82935.03"/>
    <n v="83452.09"/>
  </r>
  <r>
    <n v="5234"/>
    <x v="201"/>
    <x v="1"/>
    <x v="4"/>
    <x v="3"/>
    <n v="244225.57"/>
    <n v="217459.77"/>
  </r>
  <r>
    <n v="5235"/>
    <x v="202"/>
    <x v="1"/>
    <x v="9"/>
    <x v="4"/>
    <n v="36894.49"/>
    <n v="38960.51"/>
  </r>
  <r>
    <n v="5236"/>
    <x v="203"/>
    <x v="0"/>
    <x v="0"/>
    <x v="7"/>
    <n v="2911.91"/>
    <n v="2751.64"/>
  </r>
  <r>
    <n v="5237"/>
    <x v="204"/>
    <x v="1"/>
    <x v="4"/>
    <x v="6"/>
    <n v="252577.38"/>
    <n v="286765.46999999997"/>
  </r>
  <r>
    <n v="5238"/>
    <x v="205"/>
    <x v="0"/>
    <x v="13"/>
    <x v="3"/>
    <n v="97886.720000000001"/>
    <n v="99047.62"/>
  </r>
  <r>
    <n v="5239"/>
    <x v="206"/>
    <x v="0"/>
    <x v="5"/>
    <x v="1"/>
    <n v="35591.21"/>
    <n v="39066.94"/>
  </r>
  <r>
    <n v="5240"/>
    <x v="207"/>
    <x v="1"/>
    <x v="4"/>
    <x v="7"/>
    <n v="259006.61"/>
    <n v="245439.84"/>
  </r>
  <r>
    <n v="5241"/>
    <x v="208"/>
    <x v="1"/>
    <x v="4"/>
    <x v="3"/>
    <n v="127105.26"/>
    <n v="127137.97"/>
  </r>
  <r>
    <n v="5242"/>
    <x v="98"/>
    <x v="0"/>
    <x v="6"/>
    <x v="4"/>
    <n v="158589.75"/>
    <n v="161628.72"/>
  </r>
  <r>
    <n v="5243"/>
    <x v="162"/>
    <x v="1"/>
    <x v="4"/>
    <x v="5"/>
    <n v="228470.17"/>
    <n v="284498.77"/>
  </r>
  <r>
    <n v="5244"/>
    <x v="204"/>
    <x v="0"/>
    <x v="3"/>
    <x v="2"/>
    <n v="146603.73000000001"/>
    <n v="181304.3"/>
  </r>
  <r>
    <n v="5245"/>
    <x v="34"/>
    <x v="1"/>
    <x v="2"/>
    <x v="6"/>
    <n v="482229.42"/>
    <n v="410096.16"/>
  </r>
  <r>
    <n v="5246"/>
    <x v="209"/>
    <x v="0"/>
    <x v="3"/>
    <x v="7"/>
    <n v="102352.8"/>
    <n v="93073.05"/>
  </r>
  <r>
    <n v="5247"/>
    <x v="210"/>
    <x v="0"/>
    <x v="13"/>
    <x v="0"/>
    <n v="80796.58"/>
    <n v="85702.36"/>
  </r>
  <r>
    <n v="5248"/>
    <x v="211"/>
    <x v="1"/>
    <x v="4"/>
    <x v="6"/>
    <n v="298855.13"/>
    <n v="306219.32"/>
  </r>
  <r>
    <n v="5249"/>
    <x v="212"/>
    <x v="0"/>
    <x v="12"/>
    <x v="5"/>
    <n v="29148.1"/>
    <n v="27294.65"/>
  </r>
  <r>
    <n v="5250"/>
    <x v="213"/>
    <x v="0"/>
    <x v="12"/>
    <x v="4"/>
    <n v="55710.49"/>
    <n v="67293.47"/>
  </r>
  <r>
    <n v="5251"/>
    <x v="214"/>
    <x v="0"/>
    <x v="13"/>
    <x v="5"/>
    <n v="44463.5"/>
    <n v="52263.95"/>
  </r>
  <r>
    <n v="5252"/>
    <x v="74"/>
    <x v="0"/>
    <x v="11"/>
    <x v="1"/>
    <n v="185613.88"/>
    <n v="182654.07"/>
  </r>
  <r>
    <n v="5253"/>
    <x v="208"/>
    <x v="0"/>
    <x v="13"/>
    <x v="1"/>
    <n v="51529.919999999998"/>
    <n v="54527.67"/>
  </r>
  <r>
    <n v="5254"/>
    <x v="215"/>
    <x v="1"/>
    <x v="2"/>
    <x v="7"/>
    <n v="325182.08000000002"/>
    <n v="340728.98"/>
  </r>
  <r>
    <n v="5255"/>
    <x v="173"/>
    <x v="0"/>
    <x v="12"/>
    <x v="6"/>
    <n v="13328.03"/>
    <n v="12321.77"/>
  </r>
  <r>
    <n v="5256"/>
    <x v="46"/>
    <x v="1"/>
    <x v="2"/>
    <x v="1"/>
    <n v="60074.27"/>
    <n v="66086.86"/>
  </r>
  <r>
    <n v="5257"/>
    <x v="216"/>
    <x v="0"/>
    <x v="12"/>
    <x v="3"/>
    <n v="13062.28"/>
    <n v="11407.93"/>
  </r>
  <r>
    <n v="5258"/>
    <x v="217"/>
    <x v="1"/>
    <x v="9"/>
    <x v="2"/>
    <n v="438062.13"/>
    <n v="526902.71"/>
  </r>
  <r>
    <n v="5259"/>
    <x v="85"/>
    <x v="1"/>
    <x v="9"/>
    <x v="2"/>
    <n v="136220.15"/>
    <n v="159693.43"/>
  </r>
  <r>
    <n v="5260"/>
    <x v="218"/>
    <x v="1"/>
    <x v="7"/>
    <x v="5"/>
    <n v="315925.90000000002"/>
    <n v="313411.90000000002"/>
  </r>
  <r>
    <n v="5261"/>
    <x v="219"/>
    <x v="1"/>
    <x v="9"/>
    <x v="4"/>
    <n v="56360.84"/>
    <n v="58431.71"/>
  </r>
  <r>
    <n v="5262"/>
    <x v="220"/>
    <x v="0"/>
    <x v="13"/>
    <x v="3"/>
    <n v="25720.51"/>
    <n v="25717.82"/>
  </r>
  <r>
    <n v="5263"/>
    <x v="94"/>
    <x v="0"/>
    <x v="11"/>
    <x v="5"/>
    <n v="557365.54"/>
    <n v="504362.87"/>
  </r>
  <r>
    <n v="5264"/>
    <x v="210"/>
    <x v="1"/>
    <x v="4"/>
    <x v="5"/>
    <n v="469763.62"/>
    <n v="418601.83"/>
  </r>
  <r>
    <n v="5265"/>
    <x v="1"/>
    <x v="0"/>
    <x v="5"/>
    <x v="7"/>
    <n v="34253.25"/>
    <n v="37616.019999999997"/>
  </r>
  <r>
    <n v="5266"/>
    <x v="221"/>
    <x v="0"/>
    <x v="6"/>
    <x v="4"/>
    <n v="165643.03"/>
    <n v="206706.61"/>
  </r>
  <r>
    <n v="5267"/>
    <x v="102"/>
    <x v="1"/>
    <x v="4"/>
    <x v="2"/>
    <n v="261299.05"/>
    <n v="223428.72"/>
  </r>
  <r>
    <n v="5268"/>
    <x v="222"/>
    <x v="1"/>
    <x v="7"/>
    <x v="3"/>
    <n v="388133.74"/>
    <n v="425180.11"/>
  </r>
  <r>
    <n v="5269"/>
    <x v="223"/>
    <x v="0"/>
    <x v="1"/>
    <x v="5"/>
    <n v="192255.26"/>
    <n v="221375.55"/>
  </r>
  <r>
    <n v="5270"/>
    <x v="224"/>
    <x v="0"/>
    <x v="8"/>
    <x v="4"/>
    <n v="182002.2"/>
    <n v="200823.08"/>
  </r>
  <r>
    <n v="5271"/>
    <x v="18"/>
    <x v="0"/>
    <x v="8"/>
    <x v="3"/>
    <n v="139043.53"/>
    <n v="124317.63"/>
  </r>
  <r>
    <n v="5272"/>
    <x v="225"/>
    <x v="0"/>
    <x v="6"/>
    <x v="0"/>
    <n v="35880.15"/>
    <n v="39295.57"/>
  </r>
  <r>
    <n v="5273"/>
    <x v="226"/>
    <x v="0"/>
    <x v="1"/>
    <x v="0"/>
    <n v="193759.5"/>
    <n v="194211.84"/>
  </r>
  <r>
    <n v="5274"/>
    <x v="208"/>
    <x v="0"/>
    <x v="3"/>
    <x v="1"/>
    <n v="46103.15"/>
    <n v="56804.15"/>
  </r>
  <r>
    <n v="5275"/>
    <x v="227"/>
    <x v="0"/>
    <x v="10"/>
    <x v="2"/>
    <n v="47261.65"/>
    <n v="57440.639999999999"/>
  </r>
  <r>
    <n v="5276"/>
    <x v="228"/>
    <x v="0"/>
    <x v="10"/>
    <x v="6"/>
    <n v="67717.929999999993"/>
    <n v="61700.15"/>
  </r>
  <r>
    <n v="5277"/>
    <x v="229"/>
    <x v="0"/>
    <x v="10"/>
    <x v="4"/>
    <n v="54788.19"/>
    <n v="49243.68"/>
  </r>
  <r>
    <n v="5278"/>
    <x v="69"/>
    <x v="0"/>
    <x v="1"/>
    <x v="0"/>
    <n v="10126.24"/>
    <n v="9689.61"/>
  </r>
  <r>
    <n v="5279"/>
    <x v="174"/>
    <x v="0"/>
    <x v="6"/>
    <x v="2"/>
    <n v="298762.94"/>
    <n v="275486.82"/>
  </r>
  <r>
    <n v="5280"/>
    <x v="80"/>
    <x v="0"/>
    <x v="6"/>
    <x v="5"/>
    <n v="278095.53999999998"/>
    <n v="276496.68"/>
  </r>
  <r>
    <n v="5281"/>
    <x v="230"/>
    <x v="0"/>
    <x v="8"/>
    <x v="0"/>
    <n v="82539.88"/>
    <n v="74523.490000000005"/>
  </r>
  <r>
    <n v="5282"/>
    <x v="231"/>
    <x v="0"/>
    <x v="5"/>
    <x v="4"/>
    <n v="25921.46"/>
    <n v="23018.48"/>
  </r>
  <r>
    <n v="5283"/>
    <x v="224"/>
    <x v="0"/>
    <x v="12"/>
    <x v="3"/>
    <n v="36989.47"/>
    <n v="36493.97"/>
  </r>
  <r>
    <n v="5284"/>
    <x v="85"/>
    <x v="0"/>
    <x v="12"/>
    <x v="7"/>
    <n v="7028.82"/>
    <n v="6639.81"/>
  </r>
  <r>
    <n v="5285"/>
    <x v="167"/>
    <x v="0"/>
    <x v="6"/>
    <x v="7"/>
    <n v="76988.08"/>
    <n v="88335.82"/>
  </r>
  <r>
    <n v="5286"/>
    <x v="232"/>
    <x v="0"/>
    <x v="3"/>
    <x v="6"/>
    <n v="143587.79"/>
    <n v="171862.54"/>
  </r>
  <r>
    <n v="5287"/>
    <x v="65"/>
    <x v="1"/>
    <x v="7"/>
    <x v="3"/>
    <n v="424039.55"/>
    <n v="402809.42"/>
  </r>
  <r>
    <n v="5288"/>
    <x v="135"/>
    <x v="0"/>
    <x v="6"/>
    <x v="2"/>
    <n v="225256.83"/>
    <n v="250978.15"/>
  </r>
  <r>
    <n v="5289"/>
    <x v="233"/>
    <x v="1"/>
    <x v="7"/>
    <x v="0"/>
    <n v="371523.77"/>
    <n v="418011.15"/>
  </r>
  <r>
    <n v="5290"/>
    <x v="234"/>
    <x v="0"/>
    <x v="3"/>
    <x v="2"/>
    <n v="99144.48"/>
    <n v="121682.26"/>
  </r>
  <r>
    <n v="5291"/>
    <x v="88"/>
    <x v="0"/>
    <x v="5"/>
    <x v="5"/>
    <n v="31629.55"/>
    <n v="32061.49"/>
  </r>
  <r>
    <n v="5292"/>
    <x v="235"/>
    <x v="0"/>
    <x v="11"/>
    <x v="7"/>
    <n v="367678.02"/>
    <n v="349420.25"/>
  </r>
  <r>
    <n v="5293"/>
    <x v="236"/>
    <x v="0"/>
    <x v="12"/>
    <x v="0"/>
    <n v="9957.58"/>
    <n v="11912.5"/>
  </r>
  <r>
    <n v="5294"/>
    <x v="237"/>
    <x v="1"/>
    <x v="4"/>
    <x v="7"/>
    <n v="336512.83"/>
    <n v="397785.28"/>
  </r>
  <r>
    <n v="5295"/>
    <x v="238"/>
    <x v="0"/>
    <x v="13"/>
    <x v="6"/>
    <n v="59483.47"/>
    <n v="51997.93"/>
  </r>
  <r>
    <n v="5296"/>
    <x v="239"/>
    <x v="0"/>
    <x v="3"/>
    <x v="5"/>
    <n v="123570.18"/>
    <n v="131824.21"/>
  </r>
  <r>
    <n v="5297"/>
    <x v="240"/>
    <x v="1"/>
    <x v="2"/>
    <x v="0"/>
    <n v="45756.1"/>
    <n v="44732.13"/>
  </r>
  <r>
    <n v="5298"/>
    <x v="241"/>
    <x v="0"/>
    <x v="5"/>
    <x v="1"/>
    <n v="39717.79"/>
    <n v="45313.78"/>
  </r>
  <r>
    <n v="5299"/>
    <x v="11"/>
    <x v="0"/>
    <x v="0"/>
    <x v="4"/>
    <n v="2107.33"/>
    <n v="1933.42"/>
  </r>
  <r>
    <n v="5300"/>
    <x v="242"/>
    <x v="1"/>
    <x v="7"/>
    <x v="4"/>
    <n v="259013.46"/>
    <n v="250025.55"/>
  </r>
  <r>
    <n v="5301"/>
    <x v="239"/>
    <x v="0"/>
    <x v="0"/>
    <x v="1"/>
    <n v="23266.34"/>
    <n v="22678.73"/>
  </r>
  <r>
    <n v="5302"/>
    <x v="243"/>
    <x v="0"/>
    <x v="1"/>
    <x v="5"/>
    <n v="132682.82"/>
    <n v="158400.29999999999"/>
  </r>
  <r>
    <n v="5303"/>
    <x v="244"/>
    <x v="0"/>
    <x v="12"/>
    <x v="7"/>
    <n v="20771.23"/>
    <n v="18468.12"/>
  </r>
  <r>
    <n v="5304"/>
    <x v="171"/>
    <x v="1"/>
    <x v="4"/>
    <x v="4"/>
    <n v="481309.92"/>
    <n v="468745.44"/>
  </r>
  <r>
    <n v="5305"/>
    <x v="245"/>
    <x v="0"/>
    <x v="13"/>
    <x v="1"/>
    <n v="36283.65"/>
    <n v="41240.54"/>
  </r>
  <r>
    <n v="5306"/>
    <x v="61"/>
    <x v="1"/>
    <x v="7"/>
    <x v="1"/>
    <n v="117379.33"/>
    <n v="108466.17"/>
  </r>
  <r>
    <n v="5307"/>
    <x v="246"/>
    <x v="0"/>
    <x v="13"/>
    <x v="7"/>
    <n v="105745.63"/>
    <n v="92921.57"/>
  </r>
  <r>
    <n v="5308"/>
    <x v="193"/>
    <x v="0"/>
    <x v="6"/>
    <x v="0"/>
    <n v="73717.09"/>
    <n v="85211.57"/>
  </r>
  <r>
    <n v="5309"/>
    <x v="247"/>
    <x v="1"/>
    <x v="9"/>
    <x v="1"/>
    <n v="374613.48"/>
    <n v="413270.97"/>
  </r>
  <r>
    <n v="5310"/>
    <x v="233"/>
    <x v="0"/>
    <x v="6"/>
    <x v="1"/>
    <n v="216509.39"/>
    <n v="194389.37"/>
  </r>
  <r>
    <n v="5311"/>
    <x v="248"/>
    <x v="0"/>
    <x v="0"/>
    <x v="3"/>
    <n v="21833.54"/>
    <n v="26591.16"/>
  </r>
  <r>
    <n v="5312"/>
    <x v="241"/>
    <x v="1"/>
    <x v="4"/>
    <x v="7"/>
    <n v="364030.06"/>
    <n v="420290.32"/>
  </r>
  <r>
    <n v="5313"/>
    <x v="117"/>
    <x v="1"/>
    <x v="9"/>
    <x v="3"/>
    <n v="337481.74"/>
    <n v="419622.77"/>
  </r>
  <r>
    <n v="5314"/>
    <x v="249"/>
    <x v="1"/>
    <x v="7"/>
    <x v="5"/>
    <n v="306613.90999999997"/>
    <n v="288298.98"/>
  </r>
  <r>
    <n v="5315"/>
    <x v="250"/>
    <x v="0"/>
    <x v="10"/>
    <x v="7"/>
    <n v="28325.040000000001"/>
    <n v="25772.1"/>
  </r>
  <r>
    <n v="5316"/>
    <x v="121"/>
    <x v="1"/>
    <x v="4"/>
    <x v="3"/>
    <n v="486143.65"/>
    <n v="547739.5"/>
  </r>
  <r>
    <n v="5317"/>
    <x v="251"/>
    <x v="0"/>
    <x v="6"/>
    <x v="5"/>
    <n v="194618.52"/>
    <n v="243233.05"/>
  </r>
  <r>
    <n v="5318"/>
    <x v="252"/>
    <x v="1"/>
    <x v="4"/>
    <x v="0"/>
    <n v="61460.63"/>
    <n v="61354.66"/>
  </r>
  <r>
    <n v="5319"/>
    <x v="78"/>
    <x v="0"/>
    <x v="10"/>
    <x v="4"/>
    <n v="56763.25"/>
    <n v="68424.490000000005"/>
  </r>
  <r>
    <n v="5320"/>
    <x v="253"/>
    <x v="0"/>
    <x v="13"/>
    <x v="2"/>
    <n v="13175.54"/>
    <n v="12736.46"/>
  </r>
  <r>
    <n v="5321"/>
    <x v="254"/>
    <x v="0"/>
    <x v="11"/>
    <x v="6"/>
    <n v="358793.45"/>
    <n v="390634.01"/>
  </r>
  <r>
    <n v="5322"/>
    <x v="255"/>
    <x v="1"/>
    <x v="9"/>
    <x v="0"/>
    <n v="416491.74"/>
    <n v="385628.49"/>
  </r>
  <r>
    <n v="5323"/>
    <x v="61"/>
    <x v="1"/>
    <x v="7"/>
    <x v="1"/>
    <n v="152408.04"/>
    <n v="151849.15"/>
  </r>
  <r>
    <n v="5324"/>
    <x v="25"/>
    <x v="1"/>
    <x v="9"/>
    <x v="4"/>
    <n v="421948.14"/>
    <n v="476056.52"/>
  </r>
  <r>
    <n v="5325"/>
    <x v="26"/>
    <x v="0"/>
    <x v="13"/>
    <x v="3"/>
    <n v="52374.03"/>
    <n v="64690.61"/>
  </r>
  <r>
    <n v="5326"/>
    <x v="130"/>
    <x v="0"/>
    <x v="10"/>
    <x v="0"/>
    <n v="63123.74"/>
    <n v="65537.56"/>
  </r>
  <r>
    <n v="5327"/>
    <x v="177"/>
    <x v="0"/>
    <x v="3"/>
    <x v="3"/>
    <n v="79316.69"/>
    <n v="77645.88"/>
  </r>
  <r>
    <n v="5328"/>
    <x v="140"/>
    <x v="0"/>
    <x v="8"/>
    <x v="3"/>
    <n v="80786.2"/>
    <n v="93576.79"/>
  </r>
  <r>
    <n v="5329"/>
    <x v="256"/>
    <x v="0"/>
    <x v="3"/>
    <x v="7"/>
    <n v="147643.47"/>
    <n v="181558.08"/>
  </r>
  <r>
    <n v="5330"/>
    <x v="16"/>
    <x v="0"/>
    <x v="3"/>
    <x v="7"/>
    <n v="107254.87"/>
    <n v="132660.16"/>
  </r>
  <r>
    <n v="5331"/>
    <x v="257"/>
    <x v="0"/>
    <x v="5"/>
    <x v="2"/>
    <n v="16786.57"/>
    <n v="15926.74"/>
  </r>
  <r>
    <n v="5332"/>
    <x v="51"/>
    <x v="1"/>
    <x v="4"/>
    <x v="0"/>
    <n v="369627.14"/>
    <n v="383067.88"/>
  </r>
  <r>
    <n v="5333"/>
    <x v="10"/>
    <x v="0"/>
    <x v="8"/>
    <x v="3"/>
    <n v="32389.75"/>
    <n v="28816.34"/>
  </r>
  <r>
    <n v="5334"/>
    <x v="147"/>
    <x v="1"/>
    <x v="4"/>
    <x v="6"/>
    <n v="352424.49"/>
    <n v="326838.63"/>
  </r>
  <r>
    <n v="5335"/>
    <x v="258"/>
    <x v="0"/>
    <x v="11"/>
    <x v="5"/>
    <n v="371959.15"/>
    <n v="410031.14"/>
  </r>
  <r>
    <n v="5336"/>
    <x v="67"/>
    <x v="0"/>
    <x v="3"/>
    <x v="1"/>
    <n v="111537.86"/>
    <n v="106472.42"/>
  </r>
  <r>
    <n v="5337"/>
    <x v="259"/>
    <x v="1"/>
    <x v="2"/>
    <x v="2"/>
    <n v="376633.29"/>
    <n v="459110.44"/>
  </r>
  <r>
    <n v="5338"/>
    <x v="260"/>
    <x v="1"/>
    <x v="7"/>
    <x v="2"/>
    <n v="243743.16"/>
    <n v="218045.53"/>
  </r>
  <r>
    <n v="5339"/>
    <x v="261"/>
    <x v="0"/>
    <x v="13"/>
    <x v="7"/>
    <n v="34274.720000000001"/>
    <n v="40322.269999999997"/>
  </r>
  <r>
    <n v="5340"/>
    <x v="262"/>
    <x v="0"/>
    <x v="11"/>
    <x v="5"/>
    <n v="381480.86"/>
    <n v="327693.28000000003"/>
  </r>
  <r>
    <n v="5341"/>
    <x v="263"/>
    <x v="0"/>
    <x v="13"/>
    <x v="3"/>
    <n v="32217.119999999999"/>
    <n v="32138.95"/>
  </r>
  <r>
    <n v="5342"/>
    <x v="264"/>
    <x v="1"/>
    <x v="9"/>
    <x v="3"/>
    <n v="310623.89"/>
    <n v="367532.23"/>
  </r>
  <r>
    <n v="5343"/>
    <x v="73"/>
    <x v="0"/>
    <x v="0"/>
    <x v="6"/>
    <n v="5109.92"/>
    <n v="6205.46"/>
  </r>
  <r>
    <n v="5344"/>
    <x v="119"/>
    <x v="1"/>
    <x v="9"/>
    <x v="0"/>
    <n v="110180.41"/>
    <n v="115501.81"/>
  </r>
  <r>
    <n v="5345"/>
    <x v="185"/>
    <x v="0"/>
    <x v="1"/>
    <x v="1"/>
    <n v="22574.67"/>
    <n v="27105.78"/>
  </r>
  <r>
    <n v="5346"/>
    <x v="200"/>
    <x v="1"/>
    <x v="4"/>
    <x v="5"/>
    <n v="334795.90000000002"/>
    <n v="314493.5"/>
  </r>
  <r>
    <n v="5347"/>
    <x v="265"/>
    <x v="0"/>
    <x v="13"/>
    <x v="7"/>
    <n v="109078.22"/>
    <n v="117476.94"/>
  </r>
  <r>
    <n v="5348"/>
    <x v="266"/>
    <x v="1"/>
    <x v="7"/>
    <x v="6"/>
    <n v="470793.74"/>
    <n v="542570.38"/>
  </r>
  <r>
    <n v="5349"/>
    <x v="267"/>
    <x v="0"/>
    <x v="1"/>
    <x v="6"/>
    <n v="140409.04"/>
    <n v="140454.99"/>
  </r>
  <r>
    <n v="5350"/>
    <x v="268"/>
    <x v="0"/>
    <x v="3"/>
    <x v="4"/>
    <n v="33865.57"/>
    <n v="30329.81"/>
  </r>
  <r>
    <n v="5351"/>
    <x v="269"/>
    <x v="1"/>
    <x v="9"/>
    <x v="1"/>
    <n v="139545.24"/>
    <n v="134775.09"/>
  </r>
  <r>
    <n v="5352"/>
    <x v="270"/>
    <x v="0"/>
    <x v="5"/>
    <x v="5"/>
    <n v="31490.45"/>
    <n v="28204.55"/>
  </r>
  <r>
    <n v="5353"/>
    <x v="20"/>
    <x v="0"/>
    <x v="13"/>
    <x v="3"/>
    <n v="86943.89"/>
    <n v="90052.84"/>
  </r>
  <r>
    <n v="5354"/>
    <x v="271"/>
    <x v="0"/>
    <x v="6"/>
    <x v="1"/>
    <n v="249540.07"/>
    <n v="289158.51"/>
  </r>
  <r>
    <n v="5355"/>
    <x v="272"/>
    <x v="1"/>
    <x v="7"/>
    <x v="5"/>
    <n v="104389.94"/>
    <n v="105010.17"/>
  </r>
  <r>
    <n v="5356"/>
    <x v="270"/>
    <x v="1"/>
    <x v="4"/>
    <x v="7"/>
    <n v="411485.21"/>
    <n v="488674.5"/>
  </r>
  <r>
    <n v="5357"/>
    <x v="72"/>
    <x v="0"/>
    <x v="12"/>
    <x v="6"/>
    <n v="43748.09"/>
    <n v="37387.370000000003"/>
  </r>
  <r>
    <n v="5358"/>
    <x v="273"/>
    <x v="0"/>
    <x v="12"/>
    <x v="4"/>
    <n v="43380.7"/>
    <n v="51541.46"/>
  </r>
  <r>
    <n v="5359"/>
    <x v="274"/>
    <x v="0"/>
    <x v="11"/>
    <x v="5"/>
    <n v="581629.97"/>
    <n v="669975.57999999996"/>
  </r>
  <r>
    <n v="5360"/>
    <x v="257"/>
    <x v="0"/>
    <x v="5"/>
    <x v="3"/>
    <n v="24528.91"/>
    <n v="27175.66"/>
  </r>
  <r>
    <n v="5361"/>
    <x v="84"/>
    <x v="1"/>
    <x v="4"/>
    <x v="5"/>
    <n v="153630.87"/>
    <n v="146416.60999999999"/>
  </r>
  <r>
    <n v="5362"/>
    <x v="116"/>
    <x v="1"/>
    <x v="9"/>
    <x v="3"/>
    <n v="282652.83"/>
    <n v="273007.57"/>
  </r>
  <r>
    <n v="5363"/>
    <x v="193"/>
    <x v="1"/>
    <x v="2"/>
    <x v="4"/>
    <n v="403122.07"/>
    <n v="465767.88"/>
  </r>
  <r>
    <n v="5364"/>
    <x v="275"/>
    <x v="1"/>
    <x v="2"/>
    <x v="5"/>
    <n v="454943.43"/>
    <n v="447491.4"/>
  </r>
  <r>
    <n v="5365"/>
    <x v="276"/>
    <x v="0"/>
    <x v="3"/>
    <x v="4"/>
    <n v="42742.11"/>
    <n v="38770.78"/>
  </r>
  <r>
    <n v="5366"/>
    <x v="277"/>
    <x v="0"/>
    <x v="1"/>
    <x v="4"/>
    <n v="210304.91"/>
    <n v="255513.16"/>
  </r>
  <r>
    <n v="5367"/>
    <x v="278"/>
    <x v="1"/>
    <x v="2"/>
    <x v="6"/>
    <n v="99133.84"/>
    <n v="110855.89"/>
  </r>
  <r>
    <n v="5368"/>
    <x v="176"/>
    <x v="0"/>
    <x v="12"/>
    <x v="7"/>
    <n v="44770.38"/>
    <n v="45821.09"/>
  </r>
  <r>
    <n v="5369"/>
    <x v="279"/>
    <x v="0"/>
    <x v="1"/>
    <x v="3"/>
    <n v="144774.39000000001"/>
    <n v="169658.27"/>
  </r>
  <r>
    <n v="5370"/>
    <x v="280"/>
    <x v="0"/>
    <x v="8"/>
    <x v="2"/>
    <n v="106129.60000000001"/>
    <n v="92410.71"/>
  </r>
  <r>
    <n v="5371"/>
    <x v="281"/>
    <x v="0"/>
    <x v="12"/>
    <x v="2"/>
    <n v="42922.54"/>
    <n v="42862.23"/>
  </r>
  <r>
    <n v="5372"/>
    <x v="235"/>
    <x v="1"/>
    <x v="2"/>
    <x v="6"/>
    <n v="487948.99"/>
    <n v="473707.05"/>
  </r>
  <r>
    <n v="5373"/>
    <x v="282"/>
    <x v="0"/>
    <x v="5"/>
    <x v="4"/>
    <n v="6437.61"/>
    <n v="7523.09"/>
  </r>
  <r>
    <n v="5374"/>
    <x v="283"/>
    <x v="1"/>
    <x v="9"/>
    <x v="7"/>
    <n v="404481.86"/>
    <n v="487634.02"/>
  </r>
  <r>
    <n v="5375"/>
    <x v="106"/>
    <x v="0"/>
    <x v="6"/>
    <x v="6"/>
    <n v="162657.45000000001"/>
    <n v="181254.36"/>
  </r>
  <r>
    <n v="5376"/>
    <x v="284"/>
    <x v="1"/>
    <x v="9"/>
    <x v="0"/>
    <n v="93520.53"/>
    <n v="106082.49"/>
  </r>
  <r>
    <n v="5377"/>
    <x v="285"/>
    <x v="0"/>
    <x v="10"/>
    <x v="0"/>
    <n v="10021.66"/>
    <n v="9319.75"/>
  </r>
  <r>
    <n v="5378"/>
    <x v="217"/>
    <x v="1"/>
    <x v="7"/>
    <x v="7"/>
    <n v="407063.33"/>
    <n v="472412.47"/>
  </r>
  <r>
    <n v="5379"/>
    <x v="286"/>
    <x v="1"/>
    <x v="4"/>
    <x v="5"/>
    <n v="59609.17"/>
    <n v="61774.16"/>
  </r>
  <r>
    <n v="5380"/>
    <x v="287"/>
    <x v="1"/>
    <x v="9"/>
    <x v="2"/>
    <n v="161550.32"/>
    <n v="161528.01999999999"/>
  </r>
  <r>
    <n v="5381"/>
    <x v="206"/>
    <x v="0"/>
    <x v="13"/>
    <x v="0"/>
    <n v="118366.14"/>
    <n v="130265.79"/>
  </r>
  <r>
    <n v="5382"/>
    <x v="288"/>
    <x v="1"/>
    <x v="7"/>
    <x v="3"/>
    <n v="460063.16"/>
    <n v="521650.42"/>
  </r>
  <r>
    <n v="5383"/>
    <x v="228"/>
    <x v="0"/>
    <x v="5"/>
    <x v="0"/>
    <n v="31387.43"/>
    <n v="32572.6"/>
  </r>
  <r>
    <n v="5384"/>
    <x v="289"/>
    <x v="1"/>
    <x v="7"/>
    <x v="2"/>
    <n v="314201.45"/>
    <n v="319679.18"/>
  </r>
  <r>
    <n v="5385"/>
    <x v="218"/>
    <x v="0"/>
    <x v="5"/>
    <x v="2"/>
    <n v="22307.77"/>
    <n v="23616.09"/>
  </r>
  <r>
    <n v="5386"/>
    <x v="205"/>
    <x v="0"/>
    <x v="3"/>
    <x v="4"/>
    <n v="41196.480000000003"/>
    <n v="47692.76"/>
  </r>
  <r>
    <n v="5387"/>
    <x v="62"/>
    <x v="0"/>
    <x v="1"/>
    <x v="6"/>
    <n v="161561.66"/>
    <n v="163128.95999999999"/>
  </r>
  <r>
    <n v="5388"/>
    <x v="290"/>
    <x v="1"/>
    <x v="7"/>
    <x v="5"/>
    <n v="334171.17"/>
    <n v="355601.7"/>
  </r>
  <r>
    <n v="5389"/>
    <x v="291"/>
    <x v="0"/>
    <x v="11"/>
    <x v="4"/>
    <n v="374932.28"/>
    <n v="433602.89"/>
  </r>
  <r>
    <n v="5390"/>
    <x v="292"/>
    <x v="0"/>
    <x v="1"/>
    <x v="4"/>
    <n v="153759.14000000001"/>
    <n v="177251.86"/>
  </r>
  <r>
    <n v="5391"/>
    <x v="38"/>
    <x v="1"/>
    <x v="9"/>
    <x v="2"/>
    <n v="60938.67"/>
    <n v="63922.78"/>
  </r>
  <r>
    <n v="5392"/>
    <x v="237"/>
    <x v="0"/>
    <x v="5"/>
    <x v="0"/>
    <n v="32338.26"/>
    <n v="36361.78"/>
  </r>
  <r>
    <n v="5393"/>
    <x v="293"/>
    <x v="0"/>
    <x v="0"/>
    <x v="3"/>
    <n v="21935.759999999998"/>
    <n v="25982.5"/>
  </r>
  <r>
    <n v="5394"/>
    <x v="178"/>
    <x v="1"/>
    <x v="4"/>
    <x v="0"/>
    <n v="263859.03000000003"/>
    <n v="260206.53"/>
  </r>
  <r>
    <n v="5395"/>
    <x v="294"/>
    <x v="1"/>
    <x v="4"/>
    <x v="5"/>
    <n v="361720.7"/>
    <n v="432452.77"/>
  </r>
  <r>
    <n v="5396"/>
    <x v="74"/>
    <x v="0"/>
    <x v="5"/>
    <x v="2"/>
    <n v="19310.45"/>
    <n v="19203.73"/>
  </r>
  <r>
    <n v="5397"/>
    <x v="254"/>
    <x v="0"/>
    <x v="1"/>
    <x v="6"/>
    <n v="178846.85"/>
    <n v="201878.56"/>
  </r>
  <r>
    <n v="5398"/>
    <x v="204"/>
    <x v="0"/>
    <x v="6"/>
    <x v="5"/>
    <n v="15484.93"/>
    <n v="17935.400000000001"/>
  </r>
  <r>
    <n v="5399"/>
    <x v="295"/>
    <x v="0"/>
    <x v="10"/>
    <x v="6"/>
    <n v="5086.41"/>
    <n v="5824.42"/>
  </r>
  <r>
    <n v="5400"/>
    <x v="132"/>
    <x v="0"/>
    <x v="8"/>
    <x v="5"/>
    <n v="171890.41"/>
    <n v="148660.64000000001"/>
  </r>
  <r>
    <n v="5401"/>
    <x v="296"/>
    <x v="1"/>
    <x v="9"/>
    <x v="0"/>
    <n v="127810.55"/>
    <n v="120431.36"/>
  </r>
  <r>
    <n v="5402"/>
    <x v="275"/>
    <x v="0"/>
    <x v="1"/>
    <x v="4"/>
    <n v="43526.04"/>
    <n v="48184.29"/>
  </r>
  <r>
    <n v="5403"/>
    <x v="297"/>
    <x v="0"/>
    <x v="1"/>
    <x v="3"/>
    <n v="198013.25"/>
    <n v="233940.17"/>
  </r>
  <r>
    <n v="5404"/>
    <x v="298"/>
    <x v="1"/>
    <x v="2"/>
    <x v="5"/>
    <n v="351828.24"/>
    <n v="379138.26"/>
  </r>
  <r>
    <n v="5405"/>
    <x v="239"/>
    <x v="0"/>
    <x v="1"/>
    <x v="4"/>
    <n v="172617.98"/>
    <n v="212783.98"/>
  </r>
  <r>
    <n v="5406"/>
    <x v="242"/>
    <x v="0"/>
    <x v="10"/>
    <x v="5"/>
    <n v="22918.03"/>
    <n v="27327.67"/>
  </r>
  <r>
    <n v="5407"/>
    <x v="299"/>
    <x v="1"/>
    <x v="4"/>
    <x v="7"/>
    <n v="252265.56"/>
    <n v="255593.36"/>
  </r>
  <r>
    <n v="5408"/>
    <x v="247"/>
    <x v="0"/>
    <x v="8"/>
    <x v="6"/>
    <n v="26005.68"/>
    <n v="30297.55"/>
  </r>
  <r>
    <n v="5409"/>
    <x v="222"/>
    <x v="1"/>
    <x v="4"/>
    <x v="7"/>
    <n v="26561.86"/>
    <n v="28078.97"/>
  </r>
  <r>
    <n v="5410"/>
    <x v="300"/>
    <x v="0"/>
    <x v="0"/>
    <x v="2"/>
    <n v="11906.76"/>
    <n v="12825.35"/>
  </r>
  <r>
    <n v="5411"/>
    <x v="5"/>
    <x v="1"/>
    <x v="2"/>
    <x v="3"/>
    <n v="206488.6"/>
    <n v="254227.35"/>
  </r>
  <r>
    <n v="5412"/>
    <x v="80"/>
    <x v="0"/>
    <x v="8"/>
    <x v="5"/>
    <n v="84078.49"/>
    <n v="88707.89"/>
  </r>
  <r>
    <n v="5413"/>
    <x v="301"/>
    <x v="0"/>
    <x v="8"/>
    <x v="1"/>
    <n v="171772.27"/>
    <n v="181566.45"/>
  </r>
  <r>
    <n v="5414"/>
    <x v="95"/>
    <x v="0"/>
    <x v="8"/>
    <x v="0"/>
    <n v="23798.880000000001"/>
    <n v="28995.57"/>
  </r>
  <r>
    <n v="5415"/>
    <x v="302"/>
    <x v="0"/>
    <x v="13"/>
    <x v="6"/>
    <n v="115680.31"/>
    <n v="130370.98"/>
  </r>
  <r>
    <n v="5416"/>
    <x v="303"/>
    <x v="0"/>
    <x v="10"/>
    <x v="1"/>
    <n v="22857.599999999999"/>
    <n v="19650.53"/>
  </r>
  <r>
    <n v="5417"/>
    <x v="304"/>
    <x v="0"/>
    <x v="8"/>
    <x v="4"/>
    <n v="50011.07"/>
    <n v="46642.89"/>
  </r>
  <r>
    <n v="5418"/>
    <x v="305"/>
    <x v="0"/>
    <x v="12"/>
    <x v="1"/>
    <n v="41175.58"/>
    <n v="37755.39"/>
  </r>
  <r>
    <n v="5419"/>
    <x v="53"/>
    <x v="0"/>
    <x v="11"/>
    <x v="7"/>
    <n v="337824.84"/>
    <n v="367882.41"/>
  </r>
  <r>
    <n v="5420"/>
    <x v="85"/>
    <x v="0"/>
    <x v="6"/>
    <x v="2"/>
    <n v="250050.24"/>
    <n v="220630.14"/>
  </r>
  <r>
    <n v="5421"/>
    <x v="224"/>
    <x v="0"/>
    <x v="0"/>
    <x v="1"/>
    <n v="2117.94"/>
    <n v="2469.0700000000002"/>
  </r>
  <r>
    <n v="5422"/>
    <x v="153"/>
    <x v="1"/>
    <x v="9"/>
    <x v="2"/>
    <n v="93929.51"/>
    <n v="116073.44"/>
  </r>
  <r>
    <n v="5423"/>
    <x v="74"/>
    <x v="1"/>
    <x v="2"/>
    <x v="6"/>
    <n v="258435.64"/>
    <n v="241471.2"/>
  </r>
  <r>
    <n v="5424"/>
    <x v="306"/>
    <x v="0"/>
    <x v="6"/>
    <x v="0"/>
    <n v="222922.22"/>
    <n v="223507.95"/>
  </r>
  <r>
    <n v="5425"/>
    <x v="307"/>
    <x v="1"/>
    <x v="2"/>
    <x v="7"/>
    <n v="106190.15"/>
    <n v="101988.84"/>
  </r>
  <r>
    <n v="5426"/>
    <x v="308"/>
    <x v="0"/>
    <x v="1"/>
    <x v="5"/>
    <n v="154543.97"/>
    <n v="151996.74"/>
  </r>
  <r>
    <n v="5427"/>
    <x v="240"/>
    <x v="1"/>
    <x v="2"/>
    <x v="0"/>
    <n v="495200.72"/>
    <n v="470711.33"/>
  </r>
  <r>
    <n v="5428"/>
    <x v="281"/>
    <x v="1"/>
    <x v="7"/>
    <x v="4"/>
    <n v="284698.05"/>
    <n v="270650.90999999997"/>
  </r>
  <r>
    <n v="5429"/>
    <x v="309"/>
    <x v="0"/>
    <x v="5"/>
    <x v="5"/>
    <n v="22828.58"/>
    <n v="25471.75"/>
  </r>
  <r>
    <n v="5430"/>
    <x v="310"/>
    <x v="0"/>
    <x v="11"/>
    <x v="3"/>
    <n v="528789.66"/>
    <n v="570778.89"/>
  </r>
  <r>
    <n v="5431"/>
    <x v="311"/>
    <x v="0"/>
    <x v="12"/>
    <x v="2"/>
    <n v="38321.68"/>
    <n v="37623.06"/>
  </r>
  <r>
    <n v="5432"/>
    <x v="97"/>
    <x v="1"/>
    <x v="4"/>
    <x v="6"/>
    <n v="185886.53"/>
    <n v="185681.33"/>
  </r>
  <r>
    <n v="5433"/>
    <x v="312"/>
    <x v="0"/>
    <x v="0"/>
    <x v="4"/>
    <n v="9737.0300000000007"/>
    <n v="10527.32"/>
  </r>
  <r>
    <n v="5434"/>
    <x v="313"/>
    <x v="0"/>
    <x v="11"/>
    <x v="6"/>
    <n v="361029"/>
    <n v="420870.89"/>
  </r>
  <r>
    <n v="5435"/>
    <x v="62"/>
    <x v="1"/>
    <x v="9"/>
    <x v="4"/>
    <n v="187366.77"/>
    <n v="217889.9"/>
  </r>
  <r>
    <n v="5436"/>
    <x v="314"/>
    <x v="0"/>
    <x v="6"/>
    <x v="3"/>
    <n v="208141.26"/>
    <n v="197716.64"/>
  </r>
  <r>
    <n v="5437"/>
    <x v="315"/>
    <x v="1"/>
    <x v="2"/>
    <x v="0"/>
    <n v="394351.43"/>
    <n v="408186.94"/>
  </r>
  <r>
    <n v="5438"/>
    <x v="316"/>
    <x v="1"/>
    <x v="9"/>
    <x v="5"/>
    <n v="274637.23"/>
    <n v="319064.75"/>
  </r>
  <r>
    <n v="5439"/>
    <x v="317"/>
    <x v="0"/>
    <x v="8"/>
    <x v="5"/>
    <n v="154161.54"/>
    <n v="159740.44"/>
  </r>
  <r>
    <n v="5440"/>
    <x v="318"/>
    <x v="0"/>
    <x v="6"/>
    <x v="3"/>
    <n v="74213.72"/>
    <n v="88606.44"/>
  </r>
  <r>
    <n v="5441"/>
    <x v="319"/>
    <x v="0"/>
    <x v="3"/>
    <x v="3"/>
    <n v="142631.32"/>
    <n v="132132.06"/>
  </r>
  <r>
    <n v="5442"/>
    <x v="271"/>
    <x v="1"/>
    <x v="7"/>
    <x v="5"/>
    <n v="354525.34"/>
    <n v="329997.90999999997"/>
  </r>
  <r>
    <n v="5443"/>
    <x v="320"/>
    <x v="1"/>
    <x v="4"/>
    <x v="6"/>
    <n v="311574.11"/>
    <n v="353323.04"/>
  </r>
  <r>
    <n v="5444"/>
    <x v="96"/>
    <x v="0"/>
    <x v="10"/>
    <x v="5"/>
    <n v="23647.1"/>
    <n v="21587.15"/>
  </r>
  <r>
    <n v="5445"/>
    <x v="321"/>
    <x v="0"/>
    <x v="0"/>
    <x v="3"/>
    <n v="11166.46"/>
    <n v="10969.09"/>
  </r>
  <r>
    <n v="5446"/>
    <x v="322"/>
    <x v="0"/>
    <x v="3"/>
    <x v="7"/>
    <n v="85253.82"/>
    <n v="87009.52"/>
  </r>
  <r>
    <n v="5447"/>
    <x v="67"/>
    <x v="0"/>
    <x v="13"/>
    <x v="1"/>
    <n v="41639.54"/>
    <n v="51904.85"/>
  </r>
  <r>
    <n v="5448"/>
    <x v="223"/>
    <x v="0"/>
    <x v="11"/>
    <x v="6"/>
    <n v="231811.36"/>
    <n v="256959.48"/>
  </r>
  <r>
    <n v="5449"/>
    <x v="323"/>
    <x v="0"/>
    <x v="6"/>
    <x v="3"/>
    <n v="129267.64"/>
    <n v="157924.04"/>
  </r>
  <r>
    <n v="5450"/>
    <x v="195"/>
    <x v="0"/>
    <x v="1"/>
    <x v="5"/>
    <n v="215158.2"/>
    <n v="252116.9"/>
  </r>
  <r>
    <n v="5451"/>
    <x v="324"/>
    <x v="1"/>
    <x v="4"/>
    <x v="5"/>
    <n v="67940.41"/>
    <n v="78649.48"/>
  </r>
  <r>
    <n v="5452"/>
    <x v="183"/>
    <x v="0"/>
    <x v="13"/>
    <x v="2"/>
    <n v="115658.37"/>
    <n v="118082.11"/>
  </r>
  <r>
    <n v="5453"/>
    <x v="26"/>
    <x v="1"/>
    <x v="4"/>
    <x v="7"/>
    <n v="424639.67"/>
    <n v="477211"/>
  </r>
  <r>
    <n v="5454"/>
    <x v="299"/>
    <x v="0"/>
    <x v="12"/>
    <x v="3"/>
    <n v="12299.25"/>
    <n v="15254.15"/>
  </r>
  <r>
    <n v="5455"/>
    <x v="325"/>
    <x v="1"/>
    <x v="9"/>
    <x v="2"/>
    <n v="229529.9"/>
    <n v="213151.77"/>
  </r>
  <r>
    <n v="5456"/>
    <x v="326"/>
    <x v="0"/>
    <x v="3"/>
    <x v="0"/>
    <n v="47347.63"/>
    <n v="45778.36"/>
  </r>
  <r>
    <n v="5457"/>
    <x v="327"/>
    <x v="1"/>
    <x v="9"/>
    <x v="7"/>
    <n v="158831.32"/>
    <n v="167054.60999999999"/>
  </r>
  <r>
    <n v="5458"/>
    <x v="328"/>
    <x v="0"/>
    <x v="8"/>
    <x v="0"/>
    <n v="53822.48"/>
    <n v="57172.38"/>
  </r>
  <r>
    <n v="5459"/>
    <x v="297"/>
    <x v="0"/>
    <x v="12"/>
    <x v="3"/>
    <n v="4694.8"/>
    <n v="5238.76"/>
  </r>
  <r>
    <n v="5460"/>
    <x v="329"/>
    <x v="0"/>
    <x v="5"/>
    <x v="1"/>
    <n v="29974.57"/>
    <n v="37375.68"/>
  </r>
  <r>
    <n v="5461"/>
    <x v="230"/>
    <x v="0"/>
    <x v="6"/>
    <x v="7"/>
    <n v="54357.35"/>
    <n v="60962"/>
  </r>
  <r>
    <n v="5462"/>
    <x v="330"/>
    <x v="0"/>
    <x v="13"/>
    <x v="7"/>
    <n v="8860.64"/>
    <n v="9249.35"/>
  </r>
  <r>
    <n v="5463"/>
    <x v="331"/>
    <x v="0"/>
    <x v="1"/>
    <x v="7"/>
    <n v="139708.10999999999"/>
    <n v="123746.07"/>
  </r>
  <r>
    <n v="5464"/>
    <x v="332"/>
    <x v="1"/>
    <x v="2"/>
    <x v="4"/>
    <n v="383786.93"/>
    <n v="389395.68"/>
  </r>
  <r>
    <n v="5465"/>
    <x v="236"/>
    <x v="0"/>
    <x v="6"/>
    <x v="5"/>
    <n v="238898.3"/>
    <n v="288399.93"/>
  </r>
  <r>
    <n v="5466"/>
    <x v="333"/>
    <x v="0"/>
    <x v="11"/>
    <x v="0"/>
    <n v="194741.76000000001"/>
    <n v="201264.37"/>
  </r>
  <r>
    <n v="5467"/>
    <x v="334"/>
    <x v="0"/>
    <x v="8"/>
    <x v="0"/>
    <n v="130249.98"/>
    <n v="157974.46"/>
  </r>
  <r>
    <n v="5468"/>
    <x v="299"/>
    <x v="0"/>
    <x v="11"/>
    <x v="4"/>
    <n v="557272.78"/>
    <n v="676313.48"/>
  </r>
  <r>
    <n v="5469"/>
    <x v="243"/>
    <x v="1"/>
    <x v="4"/>
    <x v="0"/>
    <n v="270335.95"/>
    <n v="265623.59999999998"/>
  </r>
  <r>
    <n v="5470"/>
    <x v="335"/>
    <x v="1"/>
    <x v="4"/>
    <x v="1"/>
    <n v="369024.03"/>
    <n v="369388.79999999999"/>
  </r>
  <r>
    <n v="5471"/>
    <x v="228"/>
    <x v="1"/>
    <x v="7"/>
    <x v="5"/>
    <n v="447778.95"/>
    <n v="472431.69"/>
  </r>
  <r>
    <n v="5472"/>
    <x v="114"/>
    <x v="0"/>
    <x v="6"/>
    <x v="0"/>
    <n v="100932.21"/>
    <n v="91344.14"/>
  </r>
  <r>
    <n v="5473"/>
    <x v="336"/>
    <x v="1"/>
    <x v="7"/>
    <x v="6"/>
    <n v="96336.52"/>
    <n v="104308.64"/>
  </r>
  <r>
    <n v="5474"/>
    <x v="337"/>
    <x v="0"/>
    <x v="3"/>
    <x v="4"/>
    <n v="64486.32"/>
    <n v="59951.88"/>
  </r>
  <r>
    <n v="5475"/>
    <x v="123"/>
    <x v="1"/>
    <x v="4"/>
    <x v="6"/>
    <n v="70390.67"/>
    <n v="84100.479999999996"/>
  </r>
  <r>
    <n v="5476"/>
    <x v="338"/>
    <x v="0"/>
    <x v="8"/>
    <x v="4"/>
    <n v="125915.57"/>
    <n v="129927.66"/>
  </r>
  <r>
    <n v="5477"/>
    <x v="339"/>
    <x v="0"/>
    <x v="5"/>
    <x v="0"/>
    <n v="30477.3"/>
    <n v="31266.03"/>
  </r>
  <r>
    <n v="5478"/>
    <x v="340"/>
    <x v="1"/>
    <x v="7"/>
    <x v="5"/>
    <n v="338337.44"/>
    <n v="315413.52"/>
  </r>
  <r>
    <n v="5479"/>
    <x v="341"/>
    <x v="0"/>
    <x v="11"/>
    <x v="1"/>
    <n v="194991.56"/>
    <n v="216041.18"/>
  </r>
  <r>
    <n v="5480"/>
    <x v="150"/>
    <x v="1"/>
    <x v="2"/>
    <x v="0"/>
    <n v="446124.17"/>
    <n v="515138.59"/>
  </r>
  <r>
    <n v="5481"/>
    <x v="342"/>
    <x v="0"/>
    <x v="10"/>
    <x v="4"/>
    <n v="15451.05"/>
    <n v="18743.48"/>
  </r>
  <r>
    <n v="5482"/>
    <x v="53"/>
    <x v="0"/>
    <x v="0"/>
    <x v="7"/>
    <n v="13980.18"/>
    <n v="15852.14"/>
  </r>
  <r>
    <n v="5483"/>
    <x v="343"/>
    <x v="1"/>
    <x v="9"/>
    <x v="1"/>
    <n v="402986"/>
    <n v="377297.42"/>
  </r>
  <r>
    <n v="5484"/>
    <x v="223"/>
    <x v="1"/>
    <x v="2"/>
    <x v="6"/>
    <n v="155058.54999999999"/>
    <n v="164265.31"/>
  </r>
  <r>
    <n v="5485"/>
    <x v="57"/>
    <x v="0"/>
    <x v="0"/>
    <x v="0"/>
    <n v="11577.13"/>
    <n v="12403.64"/>
  </r>
  <r>
    <n v="5486"/>
    <x v="20"/>
    <x v="1"/>
    <x v="9"/>
    <x v="1"/>
    <n v="74621.509999999995"/>
    <n v="72954.81"/>
  </r>
  <r>
    <n v="5487"/>
    <x v="273"/>
    <x v="0"/>
    <x v="10"/>
    <x v="3"/>
    <n v="35505.370000000003"/>
    <n v="36125.56"/>
  </r>
  <r>
    <n v="5488"/>
    <x v="344"/>
    <x v="1"/>
    <x v="7"/>
    <x v="4"/>
    <n v="34333.599999999999"/>
    <n v="35166.74"/>
  </r>
  <r>
    <n v="5489"/>
    <x v="335"/>
    <x v="0"/>
    <x v="12"/>
    <x v="3"/>
    <n v="48459.99"/>
    <n v="42427.45"/>
  </r>
  <r>
    <n v="5490"/>
    <x v="281"/>
    <x v="0"/>
    <x v="13"/>
    <x v="7"/>
    <n v="98524.68"/>
    <n v="117026.8"/>
  </r>
  <r>
    <n v="5491"/>
    <x v="107"/>
    <x v="0"/>
    <x v="5"/>
    <x v="7"/>
    <n v="23593.35"/>
    <n v="28235.9"/>
  </r>
  <r>
    <n v="5492"/>
    <x v="345"/>
    <x v="0"/>
    <x v="13"/>
    <x v="0"/>
    <n v="95815.81"/>
    <n v="116904.42"/>
  </r>
  <r>
    <n v="5493"/>
    <x v="298"/>
    <x v="0"/>
    <x v="1"/>
    <x v="6"/>
    <n v="127590.92"/>
    <n v="119198.94"/>
  </r>
  <r>
    <n v="5494"/>
    <x v="210"/>
    <x v="0"/>
    <x v="13"/>
    <x v="6"/>
    <n v="86057"/>
    <n v="92186.13"/>
  </r>
  <r>
    <n v="5495"/>
    <x v="180"/>
    <x v="1"/>
    <x v="4"/>
    <x v="6"/>
    <n v="449187.19"/>
    <n v="407106.74"/>
  </r>
  <r>
    <n v="5496"/>
    <x v="346"/>
    <x v="0"/>
    <x v="8"/>
    <x v="1"/>
    <n v="170958.21"/>
    <n v="183325.79"/>
  </r>
  <r>
    <n v="5497"/>
    <x v="251"/>
    <x v="1"/>
    <x v="7"/>
    <x v="7"/>
    <n v="76909.11"/>
    <n v="77170.649999999994"/>
  </r>
  <r>
    <n v="5498"/>
    <x v="86"/>
    <x v="1"/>
    <x v="7"/>
    <x v="0"/>
    <n v="40785.43"/>
    <n v="42458.92"/>
  </r>
  <r>
    <n v="5499"/>
    <x v="347"/>
    <x v="1"/>
    <x v="4"/>
    <x v="1"/>
    <n v="278778.39"/>
    <n v="343204.1"/>
  </r>
  <r>
    <n v="5500"/>
    <x v="348"/>
    <x v="0"/>
    <x v="11"/>
    <x v="3"/>
    <n v="160616.20000000001"/>
    <n v="139805.41"/>
  </r>
  <r>
    <n v="5501"/>
    <x v="120"/>
    <x v="0"/>
    <x v="3"/>
    <x v="4"/>
    <n v="64315.24"/>
    <n v="64932.7"/>
  </r>
  <r>
    <n v="5502"/>
    <x v="324"/>
    <x v="0"/>
    <x v="13"/>
    <x v="5"/>
    <n v="43064.97"/>
    <n v="47645.83"/>
  </r>
  <r>
    <n v="5503"/>
    <x v="310"/>
    <x v="1"/>
    <x v="9"/>
    <x v="6"/>
    <n v="482195.76"/>
    <n v="503813.54"/>
  </r>
  <r>
    <n v="5504"/>
    <x v="194"/>
    <x v="0"/>
    <x v="13"/>
    <x v="5"/>
    <n v="111749.15"/>
    <n v="112988.67"/>
  </r>
  <r>
    <n v="5505"/>
    <x v="349"/>
    <x v="0"/>
    <x v="13"/>
    <x v="5"/>
    <n v="17549.47"/>
    <n v="16507.5"/>
  </r>
  <r>
    <n v="5506"/>
    <x v="350"/>
    <x v="1"/>
    <x v="2"/>
    <x v="6"/>
    <n v="282598.77"/>
    <n v="340047.35999999999"/>
  </r>
  <r>
    <n v="5507"/>
    <x v="351"/>
    <x v="0"/>
    <x v="5"/>
    <x v="2"/>
    <n v="32311.65"/>
    <n v="31835.59"/>
  </r>
  <r>
    <n v="5508"/>
    <x v="352"/>
    <x v="0"/>
    <x v="13"/>
    <x v="2"/>
    <n v="119249.85"/>
    <n v="113587.31"/>
  </r>
  <r>
    <n v="5509"/>
    <x v="353"/>
    <x v="0"/>
    <x v="11"/>
    <x v="2"/>
    <n v="144175.51"/>
    <n v="139301.5"/>
  </r>
  <r>
    <n v="5510"/>
    <x v="354"/>
    <x v="0"/>
    <x v="3"/>
    <x v="4"/>
    <n v="135136.64000000001"/>
    <n v="128305.60000000001"/>
  </r>
  <r>
    <n v="5511"/>
    <x v="140"/>
    <x v="0"/>
    <x v="1"/>
    <x v="4"/>
    <n v="51093.39"/>
    <n v="44711.91"/>
  </r>
  <r>
    <n v="5512"/>
    <x v="355"/>
    <x v="1"/>
    <x v="2"/>
    <x v="2"/>
    <n v="24927.99"/>
    <n v="22437.7"/>
  </r>
  <r>
    <n v="5513"/>
    <x v="356"/>
    <x v="1"/>
    <x v="2"/>
    <x v="0"/>
    <n v="184757.11"/>
    <n v="223273.21"/>
  </r>
  <r>
    <n v="5514"/>
    <x v="357"/>
    <x v="0"/>
    <x v="6"/>
    <x v="4"/>
    <n v="272820.06"/>
    <n v="329203.83"/>
  </r>
  <r>
    <n v="5515"/>
    <x v="233"/>
    <x v="0"/>
    <x v="1"/>
    <x v="0"/>
    <n v="208623.07"/>
    <n v="237668.26"/>
  </r>
  <r>
    <n v="5516"/>
    <x v="123"/>
    <x v="0"/>
    <x v="10"/>
    <x v="5"/>
    <n v="78649.429999999993"/>
    <n v="80672.5"/>
  </r>
  <r>
    <n v="5517"/>
    <x v="53"/>
    <x v="0"/>
    <x v="11"/>
    <x v="4"/>
    <n v="390747.87"/>
    <n v="374852.06"/>
  </r>
  <r>
    <n v="5518"/>
    <x v="165"/>
    <x v="1"/>
    <x v="7"/>
    <x v="5"/>
    <n v="445528.13"/>
    <n v="478735.31"/>
  </r>
  <r>
    <n v="5519"/>
    <x v="171"/>
    <x v="0"/>
    <x v="1"/>
    <x v="4"/>
    <n v="25131.37"/>
    <n v="25722.46"/>
  </r>
  <r>
    <n v="5520"/>
    <x v="358"/>
    <x v="0"/>
    <x v="3"/>
    <x v="3"/>
    <n v="71290.14"/>
    <n v="71410.48"/>
  </r>
  <r>
    <n v="5521"/>
    <x v="359"/>
    <x v="0"/>
    <x v="1"/>
    <x v="4"/>
    <n v="133161.91"/>
    <n v="150089.45000000001"/>
  </r>
  <r>
    <n v="5522"/>
    <x v="319"/>
    <x v="0"/>
    <x v="3"/>
    <x v="2"/>
    <n v="106311.36"/>
    <n v="117829.18"/>
  </r>
  <r>
    <n v="5523"/>
    <x v="360"/>
    <x v="1"/>
    <x v="4"/>
    <x v="6"/>
    <n v="438502.64"/>
    <n v="390758.99"/>
  </r>
  <r>
    <n v="5524"/>
    <x v="40"/>
    <x v="0"/>
    <x v="1"/>
    <x v="4"/>
    <n v="171806.51"/>
    <n v="200200.35"/>
  </r>
  <r>
    <n v="5525"/>
    <x v="361"/>
    <x v="1"/>
    <x v="7"/>
    <x v="2"/>
    <n v="403360.4"/>
    <n v="488806.03"/>
  </r>
  <r>
    <n v="5526"/>
    <x v="264"/>
    <x v="0"/>
    <x v="13"/>
    <x v="2"/>
    <n v="113391.49"/>
    <n v="137293.16"/>
  </r>
  <r>
    <n v="5527"/>
    <x v="362"/>
    <x v="1"/>
    <x v="4"/>
    <x v="6"/>
    <n v="336244.15"/>
    <n v="310765.74"/>
  </r>
  <r>
    <n v="5528"/>
    <x v="363"/>
    <x v="0"/>
    <x v="12"/>
    <x v="2"/>
    <n v="5913.46"/>
    <n v="5987.98"/>
  </r>
  <r>
    <n v="5529"/>
    <x v="3"/>
    <x v="0"/>
    <x v="0"/>
    <x v="2"/>
    <n v="20467.68"/>
    <n v="24107.84"/>
  </r>
  <r>
    <n v="5530"/>
    <x v="29"/>
    <x v="1"/>
    <x v="7"/>
    <x v="7"/>
    <n v="400247.21"/>
    <n v="375852.43"/>
  </r>
  <r>
    <n v="5531"/>
    <x v="364"/>
    <x v="0"/>
    <x v="1"/>
    <x v="7"/>
    <n v="147287.82999999999"/>
    <n v="183093.83"/>
  </r>
  <r>
    <n v="5532"/>
    <x v="180"/>
    <x v="1"/>
    <x v="9"/>
    <x v="2"/>
    <n v="434257.58"/>
    <n v="478925.84"/>
  </r>
  <r>
    <n v="5533"/>
    <x v="365"/>
    <x v="0"/>
    <x v="6"/>
    <x v="1"/>
    <n v="204149.63"/>
    <n v="188677.75"/>
  </r>
  <r>
    <n v="5534"/>
    <x v="366"/>
    <x v="0"/>
    <x v="13"/>
    <x v="0"/>
    <n v="15843.18"/>
    <n v="16090.75"/>
  </r>
  <r>
    <n v="5535"/>
    <x v="367"/>
    <x v="0"/>
    <x v="3"/>
    <x v="6"/>
    <n v="125380.66"/>
    <n v="154715.04999999999"/>
  </r>
  <r>
    <n v="5536"/>
    <x v="94"/>
    <x v="0"/>
    <x v="11"/>
    <x v="0"/>
    <n v="333328.44"/>
    <n v="299861.94"/>
  </r>
  <r>
    <n v="5537"/>
    <x v="273"/>
    <x v="1"/>
    <x v="9"/>
    <x v="7"/>
    <n v="488777.41"/>
    <n v="526962.56000000006"/>
  </r>
  <r>
    <n v="5538"/>
    <x v="32"/>
    <x v="1"/>
    <x v="4"/>
    <x v="4"/>
    <n v="317504.78999999998"/>
    <n v="367609.38"/>
  </r>
  <r>
    <n v="5539"/>
    <x v="368"/>
    <x v="0"/>
    <x v="8"/>
    <x v="3"/>
    <n v="198443.85"/>
    <n v="219848.23"/>
  </r>
  <r>
    <n v="5540"/>
    <x v="369"/>
    <x v="0"/>
    <x v="12"/>
    <x v="4"/>
    <n v="48637.29"/>
    <n v="51336.62"/>
  </r>
  <r>
    <n v="5541"/>
    <x v="101"/>
    <x v="0"/>
    <x v="10"/>
    <x v="3"/>
    <n v="23127.49"/>
    <n v="24797.34"/>
  </r>
  <r>
    <n v="5542"/>
    <x v="370"/>
    <x v="1"/>
    <x v="2"/>
    <x v="0"/>
    <n v="293256.58"/>
    <n v="289129.89"/>
  </r>
  <r>
    <n v="5543"/>
    <x v="56"/>
    <x v="0"/>
    <x v="0"/>
    <x v="3"/>
    <n v="11875.81"/>
    <n v="10328.27"/>
  </r>
  <r>
    <n v="5544"/>
    <x v="131"/>
    <x v="0"/>
    <x v="0"/>
    <x v="4"/>
    <n v="1622.34"/>
    <n v="1583.46"/>
  </r>
  <r>
    <n v="5545"/>
    <x v="275"/>
    <x v="0"/>
    <x v="6"/>
    <x v="0"/>
    <n v="250858.79"/>
    <n v="302179.83"/>
  </r>
  <r>
    <n v="5546"/>
    <x v="371"/>
    <x v="1"/>
    <x v="9"/>
    <x v="1"/>
    <n v="102610.58"/>
    <n v="125641.3"/>
  </r>
  <r>
    <n v="5547"/>
    <x v="372"/>
    <x v="0"/>
    <x v="8"/>
    <x v="1"/>
    <n v="19238.439999999999"/>
    <n v="22419.61"/>
  </r>
  <r>
    <n v="5548"/>
    <x v="373"/>
    <x v="0"/>
    <x v="13"/>
    <x v="7"/>
    <n v="103821.59"/>
    <n v="114360.37"/>
  </r>
  <r>
    <n v="5549"/>
    <x v="374"/>
    <x v="0"/>
    <x v="11"/>
    <x v="5"/>
    <n v="576914.36"/>
    <n v="668922.47"/>
  </r>
  <r>
    <n v="5550"/>
    <x v="262"/>
    <x v="0"/>
    <x v="0"/>
    <x v="3"/>
    <n v="5408.26"/>
    <n v="5820.4"/>
  </r>
  <r>
    <n v="5551"/>
    <x v="22"/>
    <x v="1"/>
    <x v="2"/>
    <x v="6"/>
    <n v="146530.19"/>
    <n v="172114.06"/>
  </r>
  <r>
    <n v="5552"/>
    <x v="375"/>
    <x v="1"/>
    <x v="9"/>
    <x v="5"/>
    <n v="98789.05"/>
    <n v="86297.8"/>
  </r>
  <r>
    <n v="5553"/>
    <x v="376"/>
    <x v="0"/>
    <x v="13"/>
    <x v="7"/>
    <n v="51645.24"/>
    <n v="55755.79"/>
  </r>
  <r>
    <n v="5554"/>
    <x v="377"/>
    <x v="0"/>
    <x v="10"/>
    <x v="2"/>
    <n v="46206.21"/>
    <n v="43145.14"/>
  </r>
  <r>
    <n v="5555"/>
    <x v="378"/>
    <x v="1"/>
    <x v="2"/>
    <x v="3"/>
    <n v="397032.47"/>
    <n v="492547.37"/>
  </r>
  <r>
    <n v="5556"/>
    <x v="379"/>
    <x v="0"/>
    <x v="0"/>
    <x v="0"/>
    <n v="20201.25"/>
    <n v="20289.810000000001"/>
  </r>
  <r>
    <n v="5557"/>
    <x v="380"/>
    <x v="0"/>
    <x v="13"/>
    <x v="5"/>
    <n v="89195.66"/>
    <n v="104088.73"/>
  </r>
  <r>
    <n v="5558"/>
    <x v="330"/>
    <x v="0"/>
    <x v="11"/>
    <x v="3"/>
    <n v="238630.97"/>
    <n v="283257.25"/>
  </r>
  <r>
    <n v="5559"/>
    <x v="234"/>
    <x v="0"/>
    <x v="5"/>
    <x v="7"/>
    <n v="21059.57"/>
    <n v="24570.53"/>
  </r>
  <r>
    <n v="5560"/>
    <x v="308"/>
    <x v="0"/>
    <x v="8"/>
    <x v="3"/>
    <n v="171808.49"/>
    <n v="154975.71"/>
  </r>
  <r>
    <n v="5561"/>
    <x v="381"/>
    <x v="1"/>
    <x v="4"/>
    <x v="0"/>
    <n v="207575.15"/>
    <n v="230456.39"/>
  </r>
  <r>
    <n v="5562"/>
    <x v="382"/>
    <x v="0"/>
    <x v="12"/>
    <x v="2"/>
    <n v="44437.86"/>
    <n v="43865.87"/>
  </r>
  <r>
    <n v="5563"/>
    <x v="319"/>
    <x v="0"/>
    <x v="1"/>
    <x v="6"/>
    <n v="24612.02"/>
    <n v="28250.86"/>
  </r>
  <r>
    <n v="5564"/>
    <x v="383"/>
    <x v="1"/>
    <x v="4"/>
    <x v="6"/>
    <n v="475358.49"/>
    <n v="408823.24"/>
  </r>
  <r>
    <n v="5565"/>
    <x v="172"/>
    <x v="0"/>
    <x v="5"/>
    <x v="7"/>
    <n v="22478.05"/>
    <n v="20099"/>
  </r>
  <r>
    <n v="5566"/>
    <x v="23"/>
    <x v="0"/>
    <x v="8"/>
    <x v="1"/>
    <n v="127655.94"/>
    <n v="128332.22"/>
  </r>
  <r>
    <n v="5567"/>
    <x v="384"/>
    <x v="0"/>
    <x v="8"/>
    <x v="2"/>
    <n v="43795.25"/>
    <n v="51610.5"/>
  </r>
  <r>
    <n v="5568"/>
    <x v="385"/>
    <x v="0"/>
    <x v="10"/>
    <x v="3"/>
    <n v="34747.78"/>
    <n v="34095.86"/>
  </r>
  <r>
    <n v="5569"/>
    <x v="386"/>
    <x v="1"/>
    <x v="9"/>
    <x v="1"/>
    <n v="83277.62"/>
    <n v="101156.45"/>
  </r>
  <r>
    <n v="5570"/>
    <x v="264"/>
    <x v="0"/>
    <x v="3"/>
    <x v="7"/>
    <n v="139980.01"/>
    <n v="142318.28"/>
  </r>
  <r>
    <n v="5571"/>
    <x v="9"/>
    <x v="0"/>
    <x v="11"/>
    <x v="6"/>
    <n v="317787.27"/>
    <n v="339236.1"/>
  </r>
  <r>
    <n v="5572"/>
    <x v="38"/>
    <x v="0"/>
    <x v="10"/>
    <x v="0"/>
    <n v="61007.9"/>
    <n v="71067.070000000007"/>
  </r>
  <r>
    <n v="5573"/>
    <x v="185"/>
    <x v="0"/>
    <x v="1"/>
    <x v="1"/>
    <n v="116482.9"/>
    <n v="132545.09"/>
  </r>
  <r>
    <n v="5574"/>
    <x v="256"/>
    <x v="0"/>
    <x v="6"/>
    <x v="2"/>
    <n v="16277.75"/>
    <n v="18836.330000000002"/>
  </r>
  <r>
    <n v="5575"/>
    <x v="387"/>
    <x v="0"/>
    <x v="11"/>
    <x v="5"/>
    <n v="294359.48"/>
    <n v="270802.09000000003"/>
  </r>
  <r>
    <n v="5576"/>
    <x v="168"/>
    <x v="0"/>
    <x v="10"/>
    <x v="0"/>
    <n v="57899.839999999997"/>
    <n v="68411.44"/>
  </r>
  <r>
    <n v="5577"/>
    <x v="388"/>
    <x v="0"/>
    <x v="12"/>
    <x v="3"/>
    <n v="27398.66"/>
    <n v="27696.6"/>
  </r>
  <r>
    <n v="5578"/>
    <x v="389"/>
    <x v="0"/>
    <x v="10"/>
    <x v="6"/>
    <n v="72125.67"/>
    <n v="79038.3"/>
  </r>
  <r>
    <n v="5579"/>
    <x v="390"/>
    <x v="0"/>
    <x v="1"/>
    <x v="4"/>
    <n v="135868.9"/>
    <n v="130370.17"/>
  </r>
  <r>
    <n v="5580"/>
    <x v="391"/>
    <x v="0"/>
    <x v="8"/>
    <x v="2"/>
    <n v="161370.35"/>
    <n v="165729.76"/>
  </r>
  <r>
    <n v="5581"/>
    <x v="392"/>
    <x v="1"/>
    <x v="9"/>
    <x v="6"/>
    <n v="111961.71"/>
    <n v="101417.95"/>
  </r>
  <r>
    <n v="5582"/>
    <x v="141"/>
    <x v="0"/>
    <x v="1"/>
    <x v="5"/>
    <n v="84134.47"/>
    <n v="98847.1"/>
  </r>
  <r>
    <n v="5583"/>
    <x v="393"/>
    <x v="1"/>
    <x v="4"/>
    <x v="6"/>
    <n v="492183.62"/>
    <n v="606602.11"/>
  </r>
  <r>
    <n v="5584"/>
    <x v="4"/>
    <x v="1"/>
    <x v="4"/>
    <x v="1"/>
    <n v="174511.32"/>
    <n v="200109.57"/>
  </r>
  <r>
    <n v="5585"/>
    <x v="288"/>
    <x v="0"/>
    <x v="12"/>
    <x v="5"/>
    <n v="31527.38"/>
    <n v="28349.18"/>
  </r>
  <r>
    <n v="5586"/>
    <x v="394"/>
    <x v="0"/>
    <x v="11"/>
    <x v="0"/>
    <n v="423156.53"/>
    <n v="446762.52"/>
  </r>
  <r>
    <n v="5587"/>
    <x v="177"/>
    <x v="0"/>
    <x v="6"/>
    <x v="4"/>
    <n v="283269.39"/>
    <n v="348575.81"/>
  </r>
  <r>
    <n v="5588"/>
    <x v="159"/>
    <x v="0"/>
    <x v="1"/>
    <x v="7"/>
    <n v="73024.320000000007"/>
    <n v="70518.19"/>
  </r>
  <r>
    <n v="5589"/>
    <x v="395"/>
    <x v="0"/>
    <x v="5"/>
    <x v="2"/>
    <n v="22730.47"/>
    <n v="19481.36"/>
  </r>
  <r>
    <n v="5590"/>
    <x v="396"/>
    <x v="0"/>
    <x v="13"/>
    <x v="6"/>
    <n v="27152.46"/>
    <n v="30688.31"/>
  </r>
  <r>
    <n v="5591"/>
    <x v="120"/>
    <x v="1"/>
    <x v="9"/>
    <x v="6"/>
    <n v="206996.42"/>
    <n v="234791.18"/>
  </r>
  <r>
    <n v="5592"/>
    <x v="397"/>
    <x v="0"/>
    <x v="6"/>
    <x v="6"/>
    <n v="42781.23"/>
    <n v="48134.95"/>
  </r>
  <r>
    <n v="5593"/>
    <x v="268"/>
    <x v="0"/>
    <x v="6"/>
    <x v="7"/>
    <n v="199745.03"/>
    <n v="248494.24"/>
  </r>
  <r>
    <n v="5594"/>
    <x v="250"/>
    <x v="0"/>
    <x v="3"/>
    <x v="2"/>
    <n v="143961.68"/>
    <n v="155873.49"/>
  </r>
  <r>
    <n v="5595"/>
    <x v="119"/>
    <x v="0"/>
    <x v="10"/>
    <x v="6"/>
    <n v="70812.990000000005"/>
    <n v="75428.91"/>
  </r>
  <r>
    <n v="5596"/>
    <x v="398"/>
    <x v="0"/>
    <x v="12"/>
    <x v="0"/>
    <n v="6404.6"/>
    <n v="7335.92"/>
  </r>
  <r>
    <n v="5597"/>
    <x v="318"/>
    <x v="1"/>
    <x v="4"/>
    <x v="4"/>
    <n v="156824.89000000001"/>
    <n v="163028.22"/>
  </r>
  <r>
    <n v="5598"/>
    <x v="325"/>
    <x v="0"/>
    <x v="12"/>
    <x v="5"/>
    <n v="26365.78"/>
    <n v="26270.7"/>
  </r>
  <r>
    <n v="5599"/>
    <x v="364"/>
    <x v="1"/>
    <x v="4"/>
    <x v="0"/>
    <n v="130134.09"/>
    <n v="151799.82"/>
  </r>
  <r>
    <n v="5600"/>
    <x v="399"/>
    <x v="1"/>
    <x v="9"/>
    <x v="0"/>
    <n v="474340.26"/>
    <n v="494213.78"/>
  </r>
  <r>
    <n v="5601"/>
    <x v="400"/>
    <x v="0"/>
    <x v="12"/>
    <x v="0"/>
    <n v="51520.02"/>
    <n v="44883.74"/>
  </r>
  <r>
    <n v="5602"/>
    <x v="259"/>
    <x v="1"/>
    <x v="9"/>
    <x v="4"/>
    <n v="485434.46"/>
    <n v="559395.06000000006"/>
  </r>
  <r>
    <n v="5603"/>
    <x v="401"/>
    <x v="0"/>
    <x v="0"/>
    <x v="6"/>
    <n v="4873.08"/>
    <n v="4333.3999999999996"/>
  </r>
  <r>
    <n v="5604"/>
    <x v="123"/>
    <x v="0"/>
    <x v="3"/>
    <x v="0"/>
    <n v="62225.3"/>
    <n v="60026.55"/>
  </r>
  <r>
    <n v="5605"/>
    <x v="402"/>
    <x v="0"/>
    <x v="8"/>
    <x v="1"/>
    <n v="157117.04999999999"/>
    <n v="165020.62"/>
  </r>
  <r>
    <n v="5606"/>
    <x v="403"/>
    <x v="1"/>
    <x v="9"/>
    <x v="3"/>
    <n v="492895.51"/>
    <n v="580619.66"/>
  </r>
  <r>
    <n v="5607"/>
    <x v="339"/>
    <x v="1"/>
    <x v="2"/>
    <x v="1"/>
    <n v="152191.64000000001"/>
    <n v="171836.72"/>
  </r>
  <r>
    <n v="5608"/>
    <x v="35"/>
    <x v="0"/>
    <x v="13"/>
    <x v="7"/>
    <n v="52004.33"/>
    <n v="46573.5"/>
  </r>
  <r>
    <n v="5609"/>
    <x v="297"/>
    <x v="0"/>
    <x v="12"/>
    <x v="0"/>
    <n v="42145.56"/>
    <n v="48110.26"/>
  </r>
  <r>
    <n v="5610"/>
    <x v="255"/>
    <x v="1"/>
    <x v="9"/>
    <x v="2"/>
    <n v="132952.92000000001"/>
    <n v="115939.91"/>
  </r>
  <r>
    <n v="5611"/>
    <x v="168"/>
    <x v="0"/>
    <x v="8"/>
    <x v="5"/>
    <n v="29189.72"/>
    <n v="34034.199999999997"/>
  </r>
  <r>
    <n v="5612"/>
    <x v="98"/>
    <x v="0"/>
    <x v="6"/>
    <x v="4"/>
    <n v="69165.59"/>
    <n v="79275.42"/>
  </r>
  <r>
    <n v="5613"/>
    <x v="404"/>
    <x v="0"/>
    <x v="5"/>
    <x v="6"/>
    <n v="15014.12"/>
    <n v="16584.14"/>
  </r>
  <r>
    <n v="5614"/>
    <x v="405"/>
    <x v="1"/>
    <x v="9"/>
    <x v="7"/>
    <n v="241395.26"/>
    <n v="223725.53"/>
  </r>
  <r>
    <n v="5615"/>
    <x v="196"/>
    <x v="0"/>
    <x v="5"/>
    <x v="1"/>
    <n v="28761.43"/>
    <n v="33438.629999999997"/>
  </r>
  <r>
    <n v="5616"/>
    <x v="349"/>
    <x v="1"/>
    <x v="7"/>
    <x v="2"/>
    <n v="326935.59000000003"/>
    <n v="370381.77"/>
  </r>
  <r>
    <n v="5617"/>
    <x v="406"/>
    <x v="0"/>
    <x v="13"/>
    <x v="5"/>
    <n v="117403.92"/>
    <n v="140808.48000000001"/>
  </r>
  <r>
    <n v="5618"/>
    <x v="407"/>
    <x v="0"/>
    <x v="3"/>
    <x v="1"/>
    <n v="113375.62"/>
    <n v="141550.75"/>
  </r>
  <r>
    <n v="5619"/>
    <x v="169"/>
    <x v="0"/>
    <x v="10"/>
    <x v="1"/>
    <n v="59787.83"/>
    <n v="50910.01"/>
  </r>
  <r>
    <n v="5620"/>
    <x v="208"/>
    <x v="0"/>
    <x v="0"/>
    <x v="6"/>
    <n v="14992.41"/>
    <n v="17398.939999999999"/>
  </r>
  <r>
    <n v="5621"/>
    <x v="408"/>
    <x v="1"/>
    <x v="2"/>
    <x v="0"/>
    <n v="32987.589999999997"/>
    <n v="31553.64"/>
  </r>
  <r>
    <n v="5622"/>
    <x v="378"/>
    <x v="0"/>
    <x v="12"/>
    <x v="5"/>
    <n v="42608.54"/>
    <n v="38779.050000000003"/>
  </r>
  <r>
    <n v="5623"/>
    <x v="409"/>
    <x v="0"/>
    <x v="0"/>
    <x v="0"/>
    <n v="3082.05"/>
    <n v="3393.67"/>
  </r>
  <r>
    <n v="5624"/>
    <x v="316"/>
    <x v="0"/>
    <x v="6"/>
    <x v="3"/>
    <n v="34998.870000000003"/>
    <n v="40108.550000000003"/>
  </r>
  <r>
    <n v="5625"/>
    <x v="366"/>
    <x v="0"/>
    <x v="13"/>
    <x v="6"/>
    <n v="33614.42"/>
    <n v="33832.47"/>
  </r>
  <r>
    <n v="5626"/>
    <x v="397"/>
    <x v="1"/>
    <x v="7"/>
    <x v="2"/>
    <n v="396831.81"/>
    <n v="458268.52"/>
  </r>
  <r>
    <n v="5627"/>
    <x v="410"/>
    <x v="0"/>
    <x v="11"/>
    <x v="5"/>
    <n v="150688.23000000001"/>
    <n v="149437.20000000001"/>
  </r>
  <r>
    <n v="5628"/>
    <x v="411"/>
    <x v="0"/>
    <x v="1"/>
    <x v="3"/>
    <n v="149678.26999999999"/>
    <n v="165259.28"/>
  </r>
  <r>
    <n v="5629"/>
    <x v="412"/>
    <x v="0"/>
    <x v="13"/>
    <x v="3"/>
    <n v="81150.38"/>
    <n v="79543.22"/>
  </r>
  <r>
    <n v="5630"/>
    <x v="413"/>
    <x v="1"/>
    <x v="2"/>
    <x v="2"/>
    <n v="266803.88"/>
    <n v="269113.53999999998"/>
  </r>
  <r>
    <n v="5631"/>
    <x v="67"/>
    <x v="0"/>
    <x v="6"/>
    <x v="4"/>
    <n v="167903.09"/>
    <n v="191728.18"/>
  </r>
  <r>
    <n v="5632"/>
    <x v="414"/>
    <x v="0"/>
    <x v="11"/>
    <x v="4"/>
    <n v="298054.34000000003"/>
    <n v="340371.44"/>
  </r>
  <r>
    <n v="5633"/>
    <x v="415"/>
    <x v="0"/>
    <x v="12"/>
    <x v="6"/>
    <n v="30604.959999999999"/>
    <n v="31792.78"/>
  </r>
  <r>
    <n v="5634"/>
    <x v="300"/>
    <x v="0"/>
    <x v="3"/>
    <x v="7"/>
    <n v="126300.46"/>
    <n v="148344.21"/>
  </r>
  <r>
    <n v="5635"/>
    <x v="249"/>
    <x v="0"/>
    <x v="3"/>
    <x v="7"/>
    <n v="60966.97"/>
    <n v="67256.399999999994"/>
  </r>
  <r>
    <n v="5636"/>
    <x v="215"/>
    <x v="0"/>
    <x v="8"/>
    <x v="2"/>
    <n v="110196.9"/>
    <n v="106026.45"/>
  </r>
  <r>
    <n v="5637"/>
    <x v="168"/>
    <x v="1"/>
    <x v="4"/>
    <x v="3"/>
    <n v="290983.75"/>
    <n v="350550.79"/>
  </r>
  <r>
    <n v="5638"/>
    <x v="47"/>
    <x v="0"/>
    <x v="10"/>
    <x v="0"/>
    <n v="6634.64"/>
    <n v="7810.86"/>
  </r>
  <r>
    <n v="5639"/>
    <x v="416"/>
    <x v="0"/>
    <x v="10"/>
    <x v="6"/>
    <n v="41589.800000000003"/>
    <n v="43385.34"/>
  </r>
  <r>
    <n v="5640"/>
    <x v="334"/>
    <x v="0"/>
    <x v="11"/>
    <x v="4"/>
    <n v="568616.02"/>
    <n v="489239.11"/>
  </r>
  <r>
    <n v="5641"/>
    <x v="212"/>
    <x v="1"/>
    <x v="2"/>
    <x v="5"/>
    <n v="257253.61"/>
    <n v="297103.21000000002"/>
  </r>
  <r>
    <n v="5642"/>
    <x v="233"/>
    <x v="0"/>
    <x v="12"/>
    <x v="5"/>
    <n v="51606.51"/>
    <n v="49702.36"/>
  </r>
  <r>
    <n v="5643"/>
    <x v="295"/>
    <x v="0"/>
    <x v="0"/>
    <x v="7"/>
    <n v="22747.78"/>
    <n v="21056.13"/>
  </r>
  <r>
    <n v="5644"/>
    <x v="417"/>
    <x v="0"/>
    <x v="6"/>
    <x v="7"/>
    <n v="33855.589999999997"/>
    <n v="38691.67"/>
  </r>
  <r>
    <n v="5645"/>
    <x v="378"/>
    <x v="1"/>
    <x v="2"/>
    <x v="0"/>
    <n v="194071.08"/>
    <n v="236833.88"/>
  </r>
  <r>
    <n v="5646"/>
    <x v="382"/>
    <x v="1"/>
    <x v="7"/>
    <x v="5"/>
    <n v="486801.06"/>
    <n v="535268.71"/>
  </r>
  <r>
    <n v="5647"/>
    <x v="207"/>
    <x v="0"/>
    <x v="5"/>
    <x v="4"/>
    <n v="5188.53"/>
    <n v="5365.55"/>
  </r>
  <r>
    <n v="5648"/>
    <x v="280"/>
    <x v="1"/>
    <x v="7"/>
    <x v="7"/>
    <n v="74559.81"/>
    <n v="84584.53"/>
  </r>
  <r>
    <n v="5649"/>
    <x v="418"/>
    <x v="1"/>
    <x v="4"/>
    <x v="0"/>
    <n v="64768.13"/>
    <n v="77483.63"/>
  </r>
  <r>
    <n v="5650"/>
    <x v="419"/>
    <x v="0"/>
    <x v="10"/>
    <x v="2"/>
    <n v="35130.769999999997"/>
    <n v="40921.040000000001"/>
  </r>
  <r>
    <n v="5651"/>
    <x v="420"/>
    <x v="0"/>
    <x v="8"/>
    <x v="7"/>
    <n v="75846.75"/>
    <n v="85532.63"/>
  </r>
  <r>
    <n v="5652"/>
    <x v="265"/>
    <x v="1"/>
    <x v="9"/>
    <x v="5"/>
    <n v="62697.7"/>
    <n v="65913.95"/>
  </r>
  <r>
    <n v="5653"/>
    <x v="178"/>
    <x v="0"/>
    <x v="12"/>
    <x v="3"/>
    <n v="19299.11"/>
    <n v="17556.07"/>
  </r>
  <r>
    <n v="5654"/>
    <x v="279"/>
    <x v="0"/>
    <x v="10"/>
    <x v="4"/>
    <n v="3484.29"/>
    <n v="3238.19"/>
  </r>
  <r>
    <n v="5655"/>
    <x v="74"/>
    <x v="0"/>
    <x v="11"/>
    <x v="3"/>
    <n v="509438.71"/>
    <n v="513192.72"/>
  </r>
  <r>
    <n v="5656"/>
    <x v="54"/>
    <x v="0"/>
    <x v="11"/>
    <x v="7"/>
    <n v="124232.86"/>
    <n v="126595.6"/>
  </r>
  <r>
    <n v="5657"/>
    <x v="215"/>
    <x v="0"/>
    <x v="13"/>
    <x v="4"/>
    <n v="87408.17"/>
    <n v="97179.23"/>
  </r>
  <r>
    <n v="5658"/>
    <x v="226"/>
    <x v="0"/>
    <x v="1"/>
    <x v="4"/>
    <n v="97841.4"/>
    <n v="102243.87"/>
  </r>
  <r>
    <n v="5659"/>
    <x v="237"/>
    <x v="0"/>
    <x v="11"/>
    <x v="5"/>
    <n v="553592"/>
    <n v="489232.49"/>
  </r>
  <r>
    <n v="5660"/>
    <x v="98"/>
    <x v="1"/>
    <x v="4"/>
    <x v="4"/>
    <n v="359940.23"/>
    <n v="418397.63"/>
  </r>
  <r>
    <n v="5661"/>
    <x v="421"/>
    <x v="1"/>
    <x v="9"/>
    <x v="5"/>
    <n v="50267.76"/>
    <n v="43726.81"/>
  </r>
  <r>
    <n v="5662"/>
    <x v="101"/>
    <x v="0"/>
    <x v="5"/>
    <x v="3"/>
    <n v="5561.34"/>
    <n v="5271.96"/>
  </r>
  <r>
    <n v="5663"/>
    <x v="422"/>
    <x v="1"/>
    <x v="4"/>
    <x v="0"/>
    <n v="177376.44"/>
    <n v="155331.20000000001"/>
  </r>
  <r>
    <n v="5664"/>
    <x v="423"/>
    <x v="1"/>
    <x v="2"/>
    <x v="7"/>
    <n v="426369.93"/>
    <n v="380577.72"/>
  </r>
  <r>
    <n v="5665"/>
    <x v="414"/>
    <x v="0"/>
    <x v="10"/>
    <x v="6"/>
    <n v="51002.74"/>
    <n v="54679.17"/>
  </r>
  <r>
    <n v="5666"/>
    <x v="70"/>
    <x v="0"/>
    <x v="11"/>
    <x v="7"/>
    <n v="453179.39"/>
    <n v="396590.05"/>
  </r>
  <r>
    <n v="5667"/>
    <x v="118"/>
    <x v="1"/>
    <x v="4"/>
    <x v="7"/>
    <n v="310090.90999999997"/>
    <n v="349574.36"/>
  </r>
  <r>
    <n v="5668"/>
    <x v="355"/>
    <x v="0"/>
    <x v="8"/>
    <x v="6"/>
    <n v="85223.79"/>
    <n v="104582"/>
  </r>
  <r>
    <n v="5669"/>
    <x v="248"/>
    <x v="1"/>
    <x v="2"/>
    <x v="4"/>
    <n v="130330.7"/>
    <n v="115088.98"/>
  </r>
  <r>
    <n v="5670"/>
    <x v="192"/>
    <x v="0"/>
    <x v="13"/>
    <x v="1"/>
    <n v="59824.85"/>
    <n v="52602.81"/>
  </r>
  <r>
    <n v="5671"/>
    <x v="243"/>
    <x v="0"/>
    <x v="6"/>
    <x v="3"/>
    <n v="198770.94"/>
    <n v="170439.31"/>
  </r>
  <r>
    <n v="5672"/>
    <x v="286"/>
    <x v="0"/>
    <x v="13"/>
    <x v="1"/>
    <n v="108104.57"/>
    <n v="111946.13"/>
  </r>
  <r>
    <n v="5673"/>
    <x v="373"/>
    <x v="1"/>
    <x v="7"/>
    <x v="1"/>
    <n v="88977.2"/>
    <n v="105318.82"/>
  </r>
  <r>
    <n v="5674"/>
    <x v="231"/>
    <x v="0"/>
    <x v="6"/>
    <x v="0"/>
    <n v="37353.279999999999"/>
    <n v="33062.83"/>
  </r>
  <r>
    <n v="5675"/>
    <x v="424"/>
    <x v="0"/>
    <x v="0"/>
    <x v="3"/>
    <n v="21314.34"/>
    <n v="25766.04"/>
  </r>
  <r>
    <n v="5676"/>
    <x v="425"/>
    <x v="0"/>
    <x v="12"/>
    <x v="5"/>
    <n v="21445.02"/>
    <n v="19514.900000000001"/>
  </r>
  <r>
    <n v="5677"/>
    <x v="426"/>
    <x v="1"/>
    <x v="4"/>
    <x v="4"/>
    <n v="29151.49"/>
    <n v="27317.87"/>
  </r>
  <r>
    <n v="5678"/>
    <x v="290"/>
    <x v="1"/>
    <x v="9"/>
    <x v="4"/>
    <n v="388469.04"/>
    <n v="353705.67"/>
  </r>
  <r>
    <n v="5679"/>
    <x v="294"/>
    <x v="0"/>
    <x v="10"/>
    <x v="0"/>
    <n v="77963.86"/>
    <n v="91002.38"/>
  </r>
  <r>
    <n v="5680"/>
    <x v="427"/>
    <x v="0"/>
    <x v="11"/>
    <x v="0"/>
    <n v="368356.95"/>
    <n v="318344.61"/>
  </r>
  <r>
    <n v="5681"/>
    <x v="428"/>
    <x v="1"/>
    <x v="9"/>
    <x v="2"/>
    <n v="424800.08"/>
    <n v="470432.06"/>
  </r>
  <r>
    <n v="5682"/>
    <x v="243"/>
    <x v="0"/>
    <x v="3"/>
    <x v="4"/>
    <n v="142461.60999999999"/>
    <n v="121125.7"/>
  </r>
  <r>
    <n v="5683"/>
    <x v="290"/>
    <x v="0"/>
    <x v="13"/>
    <x v="0"/>
    <n v="10782.36"/>
    <n v="11201.33"/>
  </r>
  <r>
    <n v="5684"/>
    <x v="200"/>
    <x v="0"/>
    <x v="8"/>
    <x v="3"/>
    <n v="99708.63"/>
    <n v="94131.15"/>
  </r>
  <r>
    <n v="5685"/>
    <x v="242"/>
    <x v="1"/>
    <x v="4"/>
    <x v="2"/>
    <n v="485748.53"/>
    <n v="507967.63"/>
  </r>
  <r>
    <n v="5686"/>
    <x v="315"/>
    <x v="1"/>
    <x v="9"/>
    <x v="6"/>
    <n v="289668.18"/>
    <n v="301997.65999999997"/>
  </r>
  <r>
    <n v="5687"/>
    <x v="422"/>
    <x v="1"/>
    <x v="4"/>
    <x v="5"/>
    <n v="187197.02"/>
    <n v="213879.73"/>
  </r>
  <r>
    <n v="5688"/>
    <x v="329"/>
    <x v="0"/>
    <x v="8"/>
    <x v="3"/>
    <n v="159808.07999999999"/>
    <n v="188441.71"/>
  </r>
  <r>
    <n v="5689"/>
    <x v="429"/>
    <x v="0"/>
    <x v="12"/>
    <x v="2"/>
    <n v="27731.15"/>
    <n v="30044.720000000001"/>
  </r>
  <r>
    <n v="5690"/>
    <x v="407"/>
    <x v="0"/>
    <x v="8"/>
    <x v="3"/>
    <n v="14113.3"/>
    <n v="15059.67"/>
  </r>
  <r>
    <n v="5691"/>
    <x v="430"/>
    <x v="0"/>
    <x v="6"/>
    <x v="4"/>
    <n v="168547.3"/>
    <n v="165512.20000000001"/>
  </r>
  <r>
    <n v="5692"/>
    <x v="431"/>
    <x v="0"/>
    <x v="0"/>
    <x v="7"/>
    <n v="22330.2"/>
    <n v="21451.99"/>
  </r>
  <r>
    <n v="5693"/>
    <x v="432"/>
    <x v="0"/>
    <x v="6"/>
    <x v="3"/>
    <n v="299707.02"/>
    <n v="298724.07"/>
  </r>
  <r>
    <n v="5694"/>
    <x v="68"/>
    <x v="0"/>
    <x v="0"/>
    <x v="7"/>
    <n v="3728.09"/>
    <n v="4227.3"/>
  </r>
  <r>
    <n v="5695"/>
    <x v="433"/>
    <x v="0"/>
    <x v="5"/>
    <x v="6"/>
    <n v="29567.47"/>
    <n v="25829.48"/>
  </r>
  <r>
    <n v="5696"/>
    <x v="382"/>
    <x v="1"/>
    <x v="7"/>
    <x v="3"/>
    <n v="371753.54"/>
    <n v="448771.89"/>
  </r>
  <r>
    <n v="5697"/>
    <x v="434"/>
    <x v="0"/>
    <x v="11"/>
    <x v="6"/>
    <n v="178737.06"/>
    <n v="204737.2"/>
  </r>
  <r>
    <n v="5698"/>
    <x v="32"/>
    <x v="1"/>
    <x v="4"/>
    <x v="6"/>
    <n v="280854.25"/>
    <n v="297756.21000000002"/>
  </r>
  <r>
    <n v="5699"/>
    <x v="435"/>
    <x v="1"/>
    <x v="9"/>
    <x v="4"/>
    <n v="253894.06"/>
    <n v="243303.56"/>
  </r>
  <r>
    <n v="5700"/>
    <x v="88"/>
    <x v="1"/>
    <x v="4"/>
    <x v="0"/>
    <n v="381967.87"/>
    <n v="325881.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4D8E9B-9918-435D-92EE-05BD3D2DF931}" name="PivotTable4" cacheId="4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rowHeaderCaption="Department">
  <location ref="A2:C12" firstHeaderRow="1" firstDataRow="2" firstDataCol="1"/>
  <pivotFields count="9">
    <pivotField showAll="0"/>
    <pivotField numFmtId="14" showAll="0">
      <items count="437">
        <item x="158"/>
        <item x="2"/>
        <item x="296"/>
        <item x="252"/>
        <item x="79"/>
        <item x="204"/>
        <item x="223"/>
        <item x="83"/>
        <item x="337"/>
        <item x="299"/>
        <item x="98"/>
        <item x="315"/>
        <item x="422"/>
        <item x="197"/>
        <item x="174"/>
        <item x="396"/>
        <item x="434"/>
        <item x="17"/>
        <item x="256"/>
        <item x="150"/>
        <item x="283"/>
        <item x="362"/>
        <item x="136"/>
        <item x="160"/>
        <item x="313"/>
        <item x="258"/>
        <item x="288"/>
        <item x="27"/>
        <item x="317"/>
        <item x="105"/>
        <item x="360"/>
        <item x="115"/>
        <item x="149"/>
        <item x="225"/>
        <item x="333"/>
        <item x="381"/>
        <item x="351"/>
        <item x="319"/>
        <item x="151"/>
        <item x="246"/>
        <item x="366"/>
        <item x="56"/>
        <item x="235"/>
        <item x="232"/>
        <item x="7"/>
        <item x="145"/>
        <item x="262"/>
        <item x="91"/>
        <item x="367"/>
        <item x="259"/>
        <item x="307"/>
        <item x="208"/>
        <item x="374"/>
        <item x="243"/>
        <item x="5"/>
        <item x="275"/>
        <item x="383"/>
        <item x="24"/>
        <item x="404"/>
        <item x="410"/>
        <item x="425"/>
        <item x="210"/>
        <item x="138"/>
        <item x="253"/>
        <item x="359"/>
        <item x="347"/>
        <item x="388"/>
        <item x="251"/>
        <item x="292"/>
        <item x="219"/>
        <item x="86"/>
        <item x="217"/>
        <item x="344"/>
        <item x="352"/>
        <item x="152"/>
        <item x="431"/>
        <item x="326"/>
        <item x="162"/>
        <item x="384"/>
        <item x="75"/>
        <item x="226"/>
        <item x="94"/>
        <item x="398"/>
        <item x="349"/>
        <item x="287"/>
        <item x="182"/>
        <item x="147"/>
        <item x="18"/>
        <item x="286"/>
        <item x="50"/>
        <item x="234"/>
        <item x="244"/>
        <item x="385"/>
        <item x="55"/>
        <item x="45"/>
        <item x="386"/>
        <item x="418"/>
        <item x="236"/>
        <item x="10"/>
        <item x="184"/>
        <item x="156"/>
        <item x="92"/>
        <item x="0"/>
        <item x="220"/>
        <item x="26"/>
        <item x="239"/>
        <item x="209"/>
        <item x="227"/>
        <item x="328"/>
        <item x="169"/>
        <item x="186"/>
        <item x="408"/>
        <item x="325"/>
        <item x="218"/>
        <item x="200"/>
        <item x="130"/>
        <item x="271"/>
        <item x="142"/>
        <item x="126"/>
        <item x="190"/>
        <item x="395"/>
        <item x="172"/>
        <item x="97"/>
        <item x="146"/>
        <item x="161"/>
        <item x="421"/>
        <item x="195"/>
        <item x="415"/>
        <item x="336"/>
        <item x="372"/>
        <item x="254"/>
        <item x="424"/>
        <item x="60"/>
        <item x="48"/>
        <item x="361"/>
        <item x="62"/>
        <item x="247"/>
        <item x="85"/>
        <item x="248"/>
        <item x="118"/>
        <item x="180"/>
        <item x="148"/>
        <item x="211"/>
        <item x="382"/>
        <item x="128"/>
        <item x="3"/>
        <item x="257"/>
        <item x="273"/>
        <item x="393"/>
        <item x="394"/>
        <item x="255"/>
        <item x="230"/>
        <item x="13"/>
        <item x="194"/>
        <item x="59"/>
        <item x="70"/>
        <item x="318"/>
        <item x="107"/>
        <item x="322"/>
        <item x="157"/>
        <item x="44"/>
        <item x="154"/>
        <item x="123"/>
        <item x="63"/>
        <item x="409"/>
        <item x="102"/>
        <item x="302"/>
        <item x="57"/>
        <item x="400"/>
        <item x="378"/>
        <item x="36"/>
        <item x="187"/>
        <item x="242"/>
        <item x="109"/>
        <item x="280"/>
        <item x="25"/>
        <item x="168"/>
        <item x="363"/>
        <item x="380"/>
        <item x="93"/>
        <item x="30"/>
        <item x="114"/>
        <item x="341"/>
        <item x="392"/>
        <item x="133"/>
        <item x="369"/>
        <item x="113"/>
        <item x="357"/>
        <item x="116"/>
        <item x="413"/>
        <item x="414"/>
        <item x="314"/>
        <item x="430"/>
        <item x="312"/>
        <item x="330"/>
        <item x="111"/>
        <item x="428"/>
        <item x="276"/>
        <item x="101"/>
        <item x="4"/>
        <item x="192"/>
        <item x="237"/>
        <item x="77"/>
        <item x="348"/>
        <item x="99"/>
        <item x="316"/>
        <item x="324"/>
        <item x="350"/>
        <item x="291"/>
        <item x="135"/>
        <item x="216"/>
        <item x="108"/>
        <item x="110"/>
        <item x="12"/>
        <item x="401"/>
        <item x="179"/>
        <item x="376"/>
        <item x="66"/>
        <item x="377"/>
        <item x="429"/>
        <item x="355"/>
        <item x="224"/>
        <item x="339"/>
        <item x="163"/>
        <item x="20"/>
        <item x="189"/>
        <item x="51"/>
        <item x="68"/>
        <item x="196"/>
        <item x="38"/>
        <item x="173"/>
        <item x="264"/>
        <item x="42"/>
        <item x="103"/>
        <item x="46"/>
        <item x="134"/>
        <item x="334"/>
        <item x="293"/>
        <item x="37"/>
        <item x="40"/>
        <item x="310"/>
        <item x="8"/>
        <item x="41"/>
        <item x="73"/>
        <item x="389"/>
        <item x="354"/>
        <item x="49"/>
        <item x="6"/>
        <item x="35"/>
        <item x="90"/>
        <item x="231"/>
        <item x="233"/>
        <item x="80"/>
        <item x="267"/>
        <item x="335"/>
        <item x="33"/>
        <item x="412"/>
        <item x="69"/>
        <item x="96"/>
        <item x="129"/>
        <item x="411"/>
        <item x="104"/>
        <item x="206"/>
        <item x="43"/>
        <item x="177"/>
        <item x="240"/>
        <item x="53"/>
        <item x="222"/>
        <item x="188"/>
        <item x="399"/>
        <item x="72"/>
        <item x="117"/>
        <item x="406"/>
        <item x="329"/>
        <item x="171"/>
        <item x="198"/>
        <item x="34"/>
        <item x="331"/>
        <item x="65"/>
        <item x="397"/>
        <item x="308"/>
        <item x="304"/>
        <item x="167"/>
        <item x="82"/>
        <item x="193"/>
        <item x="84"/>
        <item x="277"/>
        <item x="268"/>
        <item x="28"/>
        <item x="345"/>
        <item x="203"/>
        <item x="371"/>
        <item x="121"/>
        <item x="1"/>
        <item x="21"/>
        <item x="61"/>
        <item x="185"/>
        <item x="379"/>
        <item x="16"/>
        <item x="261"/>
        <item x="245"/>
        <item x="266"/>
        <item x="212"/>
        <item x="272"/>
        <item x="364"/>
        <item x="278"/>
        <item x="356"/>
        <item x="269"/>
        <item x="332"/>
        <item x="340"/>
        <item x="64"/>
        <item x="9"/>
        <item x="124"/>
        <item x="281"/>
        <item x="403"/>
        <item x="265"/>
        <item x="402"/>
        <item x="81"/>
        <item x="320"/>
        <item x="241"/>
        <item x="88"/>
        <item x="11"/>
        <item x="201"/>
        <item x="137"/>
        <item x="417"/>
        <item x="19"/>
        <item x="202"/>
        <item x="303"/>
        <item x="159"/>
        <item x="391"/>
        <item x="120"/>
        <item x="390"/>
        <item x="71"/>
        <item x="215"/>
        <item x="435"/>
        <item x="285"/>
        <item x="164"/>
        <item x="423"/>
        <item x="52"/>
        <item x="74"/>
        <item x="106"/>
        <item x="298"/>
        <item x="119"/>
        <item x="141"/>
        <item x="32"/>
        <item x="305"/>
        <item x="207"/>
        <item x="373"/>
        <item x="282"/>
        <item x="122"/>
        <item x="165"/>
        <item x="427"/>
        <item x="67"/>
        <item x="321"/>
        <item x="199"/>
        <item x="23"/>
        <item x="342"/>
        <item x="419"/>
        <item x="279"/>
        <item x="15"/>
        <item x="176"/>
        <item x="405"/>
        <item x="370"/>
        <item x="131"/>
        <item x="155"/>
        <item x="76"/>
        <item x="87"/>
        <item x="260"/>
        <item x="31"/>
        <item x="433"/>
        <item x="290"/>
        <item x="166"/>
        <item x="54"/>
        <item x="170"/>
        <item x="238"/>
        <item x="346"/>
        <item x="139"/>
        <item x="191"/>
        <item x="426"/>
        <item x="112"/>
        <item x="311"/>
        <item x="306"/>
        <item x="309"/>
        <item x="143"/>
        <item x="297"/>
        <item x="301"/>
        <item x="295"/>
        <item x="432"/>
        <item x="228"/>
        <item x="250"/>
        <item x="183"/>
        <item x="270"/>
        <item x="365"/>
        <item x="416"/>
        <item x="300"/>
        <item x="213"/>
        <item x="100"/>
        <item x="58"/>
        <item x="144"/>
        <item x="205"/>
        <item x="127"/>
        <item x="387"/>
        <item x="181"/>
        <item x="289"/>
        <item x="95"/>
        <item x="407"/>
        <item x="221"/>
        <item x="47"/>
        <item x="214"/>
        <item x="39"/>
        <item x="375"/>
        <item x="294"/>
        <item x="338"/>
        <item x="132"/>
        <item x="274"/>
        <item x="323"/>
        <item x="175"/>
        <item x="14"/>
        <item x="125"/>
        <item x="22"/>
        <item x="229"/>
        <item x="89"/>
        <item x="358"/>
        <item x="178"/>
        <item x="263"/>
        <item x="249"/>
        <item x="29"/>
        <item x="420"/>
        <item x="353"/>
        <item x="327"/>
        <item x="140"/>
        <item x="343"/>
        <item x="368"/>
        <item x="153"/>
        <item x="284"/>
        <item x="78"/>
        <item t="default"/>
      </items>
    </pivotField>
    <pivotField axis="axisCol" showAll="0">
      <items count="3">
        <item x="0"/>
        <item h="1" x="1"/>
        <item t="default"/>
      </items>
    </pivotField>
    <pivotField showAll="0">
      <items count="15">
        <item h="1" x="1"/>
        <item x="6"/>
        <item h="1" x="0"/>
        <item h="1" x="2"/>
        <item h="1" x="4"/>
        <item h="1" x="8"/>
        <item h="1" x="3"/>
        <item h="1" x="11"/>
        <item h="1" x="7"/>
        <item h="1" x="13"/>
        <item h="1" x="9"/>
        <item h="1" x="12"/>
        <item h="1" x="10"/>
        <item h="1" x="5"/>
        <item t="default"/>
      </items>
    </pivotField>
    <pivotField axis="axisRow" showAll="0">
      <items count="9">
        <item x="3"/>
        <item x="1"/>
        <item x="0"/>
        <item x="7"/>
        <item x="5"/>
        <item x="2"/>
        <item x="4"/>
        <item x="6"/>
        <item t="default"/>
      </items>
    </pivotField>
    <pivotField dataField="1" numFmtId="4" showAll="0"/>
    <pivotField numFmtId="4"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9">
    <i>
      <x/>
    </i>
    <i>
      <x v="1"/>
    </i>
    <i>
      <x v="2"/>
    </i>
    <i>
      <x v="3"/>
    </i>
    <i>
      <x v="4"/>
    </i>
    <i>
      <x v="5"/>
    </i>
    <i>
      <x v="6"/>
    </i>
    <i>
      <x v="7"/>
    </i>
    <i t="grand">
      <x/>
    </i>
  </rowItems>
  <colFields count="1">
    <field x="2"/>
  </colFields>
  <colItems count="2">
    <i>
      <x/>
    </i>
    <i t="grand">
      <x/>
    </i>
  </colItems>
  <dataFields count="1">
    <dataField name="Sum of Amount" fld="5" baseField="0" baseItem="0" numFmtId="4"/>
  </dataFields>
  <chartFormats count="18">
    <chartFormat chart="1" format="2" series="1">
      <pivotArea type="data" outline="0" fieldPosition="0">
        <references count="2">
          <reference field="4294967294" count="1" selected="0">
            <x v="0"/>
          </reference>
          <reference field="2" count="1" selected="0">
            <x v="0"/>
          </reference>
        </references>
      </pivotArea>
    </chartFormat>
    <chartFormat chart="1" format="3">
      <pivotArea type="data" outline="0" fieldPosition="0">
        <references count="3">
          <reference field="4294967294" count="1" selected="0">
            <x v="0"/>
          </reference>
          <reference field="2" count="1" selected="0">
            <x v="0"/>
          </reference>
          <reference field="4" count="1" selected="0">
            <x v="0"/>
          </reference>
        </references>
      </pivotArea>
    </chartFormat>
    <chartFormat chart="1" format="4">
      <pivotArea type="data" outline="0" fieldPosition="0">
        <references count="3">
          <reference field="4294967294" count="1" selected="0">
            <x v="0"/>
          </reference>
          <reference field="2" count="1" selected="0">
            <x v="0"/>
          </reference>
          <reference field="4" count="1" selected="0">
            <x v="1"/>
          </reference>
        </references>
      </pivotArea>
    </chartFormat>
    <chartFormat chart="1" format="5">
      <pivotArea type="data" outline="0" fieldPosition="0">
        <references count="3">
          <reference field="4294967294" count="1" selected="0">
            <x v="0"/>
          </reference>
          <reference field="2" count="1" selected="0">
            <x v="0"/>
          </reference>
          <reference field="4" count="1" selected="0">
            <x v="2"/>
          </reference>
        </references>
      </pivotArea>
    </chartFormat>
    <chartFormat chart="1" format="6">
      <pivotArea type="data" outline="0" fieldPosition="0">
        <references count="3">
          <reference field="4294967294" count="1" selected="0">
            <x v="0"/>
          </reference>
          <reference field="2" count="1" selected="0">
            <x v="0"/>
          </reference>
          <reference field="4" count="1" selected="0">
            <x v="3"/>
          </reference>
        </references>
      </pivotArea>
    </chartFormat>
    <chartFormat chart="1" format="7">
      <pivotArea type="data" outline="0" fieldPosition="0">
        <references count="3">
          <reference field="4294967294" count="1" selected="0">
            <x v="0"/>
          </reference>
          <reference field="2" count="1" selected="0">
            <x v="0"/>
          </reference>
          <reference field="4" count="1" selected="0">
            <x v="4"/>
          </reference>
        </references>
      </pivotArea>
    </chartFormat>
    <chartFormat chart="1" format="8">
      <pivotArea type="data" outline="0" fieldPosition="0">
        <references count="3">
          <reference field="4294967294" count="1" selected="0">
            <x v="0"/>
          </reference>
          <reference field="2" count="1" selected="0">
            <x v="0"/>
          </reference>
          <reference field="4" count="1" selected="0">
            <x v="5"/>
          </reference>
        </references>
      </pivotArea>
    </chartFormat>
    <chartFormat chart="1" format="9">
      <pivotArea type="data" outline="0" fieldPosition="0">
        <references count="3">
          <reference field="4294967294" count="1" selected="0">
            <x v="0"/>
          </reference>
          <reference field="2" count="1" selected="0">
            <x v="0"/>
          </reference>
          <reference field="4" count="1" selected="0">
            <x v="6"/>
          </reference>
        </references>
      </pivotArea>
    </chartFormat>
    <chartFormat chart="1" format="10">
      <pivotArea type="data" outline="0" fieldPosition="0">
        <references count="3">
          <reference field="4294967294" count="1" selected="0">
            <x v="0"/>
          </reference>
          <reference field="2" count="1" selected="0">
            <x v="0"/>
          </reference>
          <reference field="4" count="1" selected="0">
            <x v="7"/>
          </reference>
        </references>
      </pivotArea>
    </chartFormat>
    <chartFormat chart="1" format="11" series="1">
      <pivotArea type="data" outline="0" fieldPosition="0">
        <references count="2">
          <reference field="4294967294" count="1" selected="0">
            <x v="0"/>
          </reference>
          <reference field="2" count="1" selected="0">
            <x v="1"/>
          </reference>
        </references>
      </pivotArea>
    </chartFormat>
    <chartFormat chart="1" format="12">
      <pivotArea type="data" outline="0" fieldPosition="0">
        <references count="3">
          <reference field="4294967294" count="1" selected="0">
            <x v="0"/>
          </reference>
          <reference field="2" count="1" selected="0">
            <x v="1"/>
          </reference>
          <reference field="4" count="1" selected="0">
            <x v="0"/>
          </reference>
        </references>
      </pivotArea>
    </chartFormat>
    <chartFormat chart="1" format="13">
      <pivotArea type="data" outline="0" fieldPosition="0">
        <references count="3">
          <reference field="4294967294" count="1" selected="0">
            <x v="0"/>
          </reference>
          <reference field="2" count="1" selected="0">
            <x v="1"/>
          </reference>
          <reference field="4" count="1" selected="0">
            <x v="1"/>
          </reference>
        </references>
      </pivotArea>
    </chartFormat>
    <chartFormat chart="1" format="14">
      <pivotArea type="data" outline="0" fieldPosition="0">
        <references count="3">
          <reference field="4294967294" count="1" selected="0">
            <x v="0"/>
          </reference>
          <reference field="2" count="1" selected="0">
            <x v="1"/>
          </reference>
          <reference field="4" count="1" selected="0">
            <x v="2"/>
          </reference>
        </references>
      </pivotArea>
    </chartFormat>
    <chartFormat chart="1" format="15">
      <pivotArea type="data" outline="0" fieldPosition="0">
        <references count="3">
          <reference field="4294967294" count="1" selected="0">
            <x v="0"/>
          </reference>
          <reference field="2" count="1" selected="0">
            <x v="1"/>
          </reference>
          <reference field="4" count="1" selected="0">
            <x v="3"/>
          </reference>
        </references>
      </pivotArea>
    </chartFormat>
    <chartFormat chart="1" format="16">
      <pivotArea type="data" outline="0" fieldPosition="0">
        <references count="3">
          <reference field="4294967294" count="1" selected="0">
            <x v="0"/>
          </reference>
          <reference field="2" count="1" selected="0">
            <x v="1"/>
          </reference>
          <reference field="4" count="1" selected="0">
            <x v="4"/>
          </reference>
        </references>
      </pivotArea>
    </chartFormat>
    <chartFormat chart="1" format="17">
      <pivotArea type="data" outline="0" fieldPosition="0">
        <references count="3">
          <reference field="4294967294" count="1" selected="0">
            <x v="0"/>
          </reference>
          <reference field="2" count="1" selected="0">
            <x v="1"/>
          </reference>
          <reference field="4" count="1" selected="0">
            <x v="5"/>
          </reference>
        </references>
      </pivotArea>
    </chartFormat>
    <chartFormat chart="1" format="18">
      <pivotArea type="data" outline="0" fieldPosition="0">
        <references count="3">
          <reference field="4294967294" count="1" selected="0">
            <x v="0"/>
          </reference>
          <reference field="2" count="1" selected="0">
            <x v="1"/>
          </reference>
          <reference field="4" count="1" selected="0">
            <x v="6"/>
          </reference>
        </references>
      </pivotArea>
    </chartFormat>
    <chartFormat chart="1" format="19">
      <pivotArea type="data" outline="0" fieldPosition="0">
        <references count="3">
          <reference field="4294967294" count="1" selected="0">
            <x v="0"/>
          </reference>
          <reference field="2" count="1" selected="0">
            <x v="1"/>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02AFB2-3F34-43FD-8F77-52CDE056516D}" name="PivotTable3"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E2:F11" firstHeaderRow="1" firstDataRow="1" firstDataCol="1"/>
  <pivotFields count="9">
    <pivotField showAll="0"/>
    <pivotField numFmtId="14" showAll="0">
      <items count="437">
        <item x="158"/>
        <item x="2"/>
        <item x="296"/>
        <item x="252"/>
        <item x="79"/>
        <item x="204"/>
        <item x="223"/>
        <item x="83"/>
        <item x="337"/>
        <item x="299"/>
        <item x="98"/>
        <item x="315"/>
        <item x="422"/>
        <item x="197"/>
        <item x="174"/>
        <item x="396"/>
        <item x="434"/>
        <item x="17"/>
        <item x="256"/>
        <item x="150"/>
        <item x="283"/>
        <item x="362"/>
        <item x="136"/>
        <item x="160"/>
        <item x="313"/>
        <item x="258"/>
        <item x="288"/>
        <item x="27"/>
        <item x="317"/>
        <item x="105"/>
        <item x="360"/>
        <item x="115"/>
        <item x="149"/>
        <item x="225"/>
        <item x="333"/>
        <item x="381"/>
        <item x="351"/>
        <item x="319"/>
        <item x="151"/>
        <item x="246"/>
        <item x="366"/>
        <item x="56"/>
        <item x="235"/>
        <item x="232"/>
        <item x="7"/>
        <item x="145"/>
        <item x="262"/>
        <item x="91"/>
        <item x="367"/>
        <item x="259"/>
        <item x="307"/>
        <item x="208"/>
        <item x="374"/>
        <item x="243"/>
        <item x="5"/>
        <item x="275"/>
        <item x="383"/>
        <item x="24"/>
        <item x="404"/>
        <item x="410"/>
        <item x="425"/>
        <item x="210"/>
        <item x="138"/>
        <item x="253"/>
        <item x="359"/>
        <item x="347"/>
        <item x="388"/>
        <item x="251"/>
        <item x="292"/>
        <item x="219"/>
        <item x="86"/>
        <item x="217"/>
        <item x="344"/>
        <item x="352"/>
        <item x="152"/>
        <item x="431"/>
        <item x="326"/>
        <item x="162"/>
        <item x="384"/>
        <item x="75"/>
        <item x="226"/>
        <item x="94"/>
        <item x="398"/>
        <item x="349"/>
        <item x="287"/>
        <item x="182"/>
        <item x="147"/>
        <item x="18"/>
        <item x="286"/>
        <item x="50"/>
        <item x="234"/>
        <item x="244"/>
        <item x="385"/>
        <item x="55"/>
        <item x="45"/>
        <item x="386"/>
        <item x="418"/>
        <item x="236"/>
        <item x="10"/>
        <item x="184"/>
        <item x="156"/>
        <item x="92"/>
        <item x="0"/>
        <item x="220"/>
        <item x="26"/>
        <item x="239"/>
        <item x="209"/>
        <item x="227"/>
        <item x="328"/>
        <item x="169"/>
        <item x="186"/>
        <item x="408"/>
        <item x="325"/>
        <item x="218"/>
        <item x="200"/>
        <item x="130"/>
        <item x="271"/>
        <item x="142"/>
        <item x="126"/>
        <item x="190"/>
        <item x="395"/>
        <item x="172"/>
        <item x="97"/>
        <item x="146"/>
        <item x="161"/>
        <item x="421"/>
        <item x="195"/>
        <item x="415"/>
        <item x="336"/>
        <item x="372"/>
        <item x="254"/>
        <item x="424"/>
        <item x="60"/>
        <item x="48"/>
        <item x="361"/>
        <item x="62"/>
        <item x="247"/>
        <item x="85"/>
        <item x="248"/>
        <item x="118"/>
        <item x="180"/>
        <item x="148"/>
        <item x="211"/>
        <item x="382"/>
        <item x="128"/>
        <item x="3"/>
        <item x="257"/>
        <item x="273"/>
        <item x="393"/>
        <item x="394"/>
        <item x="255"/>
        <item x="230"/>
        <item x="13"/>
        <item x="194"/>
        <item x="59"/>
        <item x="70"/>
        <item x="318"/>
        <item x="107"/>
        <item x="322"/>
        <item x="157"/>
        <item x="44"/>
        <item x="154"/>
        <item x="123"/>
        <item x="63"/>
        <item x="409"/>
        <item x="102"/>
        <item x="302"/>
        <item x="57"/>
        <item x="400"/>
        <item x="378"/>
        <item x="36"/>
        <item x="187"/>
        <item x="242"/>
        <item x="109"/>
        <item x="280"/>
        <item x="25"/>
        <item x="168"/>
        <item x="363"/>
        <item x="380"/>
        <item x="93"/>
        <item x="30"/>
        <item x="114"/>
        <item x="341"/>
        <item x="392"/>
        <item x="133"/>
        <item x="369"/>
        <item x="113"/>
        <item x="357"/>
        <item x="116"/>
        <item x="413"/>
        <item x="414"/>
        <item x="314"/>
        <item x="430"/>
        <item x="312"/>
        <item x="330"/>
        <item x="111"/>
        <item x="428"/>
        <item x="276"/>
        <item x="101"/>
        <item x="4"/>
        <item x="192"/>
        <item x="237"/>
        <item x="77"/>
        <item x="348"/>
        <item x="99"/>
        <item x="316"/>
        <item x="324"/>
        <item x="350"/>
        <item x="291"/>
        <item x="135"/>
        <item x="216"/>
        <item x="108"/>
        <item x="110"/>
        <item x="12"/>
        <item x="401"/>
        <item x="179"/>
        <item x="376"/>
        <item x="66"/>
        <item x="377"/>
        <item x="429"/>
        <item x="355"/>
        <item x="224"/>
        <item x="339"/>
        <item x="163"/>
        <item x="20"/>
        <item x="189"/>
        <item x="51"/>
        <item x="68"/>
        <item x="196"/>
        <item x="38"/>
        <item x="173"/>
        <item x="264"/>
        <item x="42"/>
        <item x="103"/>
        <item x="46"/>
        <item x="134"/>
        <item x="334"/>
        <item x="293"/>
        <item x="37"/>
        <item x="40"/>
        <item x="310"/>
        <item x="8"/>
        <item x="41"/>
        <item x="73"/>
        <item x="389"/>
        <item x="354"/>
        <item x="49"/>
        <item x="6"/>
        <item x="35"/>
        <item x="90"/>
        <item x="231"/>
        <item x="233"/>
        <item x="80"/>
        <item x="267"/>
        <item x="335"/>
        <item x="33"/>
        <item x="412"/>
        <item x="69"/>
        <item x="96"/>
        <item x="129"/>
        <item x="411"/>
        <item x="104"/>
        <item x="206"/>
        <item x="43"/>
        <item x="177"/>
        <item x="240"/>
        <item x="53"/>
        <item x="222"/>
        <item x="188"/>
        <item x="399"/>
        <item x="72"/>
        <item x="117"/>
        <item x="406"/>
        <item x="329"/>
        <item x="171"/>
        <item x="198"/>
        <item x="34"/>
        <item x="331"/>
        <item x="65"/>
        <item x="397"/>
        <item x="308"/>
        <item x="304"/>
        <item x="167"/>
        <item x="82"/>
        <item x="193"/>
        <item x="84"/>
        <item x="277"/>
        <item x="268"/>
        <item x="28"/>
        <item x="345"/>
        <item x="203"/>
        <item x="371"/>
        <item x="121"/>
        <item x="1"/>
        <item x="21"/>
        <item x="61"/>
        <item x="185"/>
        <item x="379"/>
        <item x="16"/>
        <item x="261"/>
        <item x="245"/>
        <item x="266"/>
        <item x="212"/>
        <item x="272"/>
        <item x="364"/>
        <item x="278"/>
        <item x="356"/>
        <item x="269"/>
        <item x="332"/>
        <item x="340"/>
        <item x="64"/>
        <item x="9"/>
        <item x="124"/>
        <item x="281"/>
        <item x="403"/>
        <item x="265"/>
        <item x="402"/>
        <item x="81"/>
        <item x="320"/>
        <item x="241"/>
        <item x="88"/>
        <item x="11"/>
        <item x="201"/>
        <item x="137"/>
        <item x="417"/>
        <item x="19"/>
        <item x="202"/>
        <item x="303"/>
        <item x="159"/>
        <item x="391"/>
        <item x="120"/>
        <item x="390"/>
        <item x="71"/>
        <item x="215"/>
        <item x="435"/>
        <item x="285"/>
        <item x="164"/>
        <item x="423"/>
        <item x="52"/>
        <item x="74"/>
        <item x="106"/>
        <item x="298"/>
        <item x="119"/>
        <item x="141"/>
        <item x="32"/>
        <item x="305"/>
        <item x="207"/>
        <item x="373"/>
        <item x="282"/>
        <item x="122"/>
        <item x="165"/>
        <item x="427"/>
        <item x="67"/>
        <item x="321"/>
        <item x="199"/>
        <item x="23"/>
        <item x="342"/>
        <item x="419"/>
        <item x="279"/>
        <item x="15"/>
        <item x="176"/>
        <item x="405"/>
        <item x="370"/>
        <item x="131"/>
        <item x="155"/>
        <item x="76"/>
        <item x="87"/>
        <item x="260"/>
        <item x="31"/>
        <item x="433"/>
        <item x="290"/>
        <item x="166"/>
        <item x="54"/>
        <item x="170"/>
        <item x="238"/>
        <item x="346"/>
        <item x="139"/>
        <item x="191"/>
        <item x="426"/>
        <item x="112"/>
        <item x="311"/>
        <item x="306"/>
        <item x="309"/>
        <item x="143"/>
        <item x="297"/>
        <item x="301"/>
        <item x="295"/>
        <item x="432"/>
        <item x="228"/>
        <item x="250"/>
        <item x="183"/>
        <item x="270"/>
        <item x="365"/>
        <item x="416"/>
        <item x="300"/>
        <item x="213"/>
        <item x="100"/>
        <item x="58"/>
        <item x="144"/>
        <item x="205"/>
        <item x="127"/>
        <item x="387"/>
        <item x="181"/>
        <item x="289"/>
        <item x="95"/>
        <item x="407"/>
        <item x="221"/>
        <item x="47"/>
        <item x="214"/>
        <item x="39"/>
        <item x="375"/>
        <item x="294"/>
        <item x="338"/>
        <item x="132"/>
        <item x="274"/>
        <item x="323"/>
        <item x="175"/>
        <item x="14"/>
        <item x="125"/>
        <item x="22"/>
        <item x="229"/>
        <item x="89"/>
        <item x="358"/>
        <item x="178"/>
        <item x="263"/>
        <item x="249"/>
        <item x="29"/>
        <item x="420"/>
        <item x="353"/>
        <item x="327"/>
        <item x="140"/>
        <item x="343"/>
        <item x="368"/>
        <item x="153"/>
        <item x="284"/>
        <item x="78"/>
        <item t="default"/>
      </items>
    </pivotField>
    <pivotField showAll="0">
      <items count="3">
        <item x="0"/>
        <item h="1" x="1"/>
        <item t="default"/>
      </items>
    </pivotField>
    <pivotField showAll="0">
      <items count="15">
        <item h="1" x="1"/>
        <item x="6"/>
        <item h="1" x="0"/>
        <item h="1" x="2"/>
        <item h="1" x="4"/>
        <item h="1" x="8"/>
        <item h="1" x="3"/>
        <item h="1" x="11"/>
        <item h="1" x="7"/>
        <item h="1" x="13"/>
        <item h="1" x="9"/>
        <item h="1" x="12"/>
        <item h="1" x="10"/>
        <item h="1" x="5"/>
        <item t="default"/>
      </items>
    </pivotField>
    <pivotField axis="axisRow" showAll="0">
      <items count="9">
        <item x="3"/>
        <item x="1"/>
        <item x="0"/>
        <item x="7"/>
        <item x="5"/>
        <item x="2"/>
        <item x="4"/>
        <item x="6"/>
        <item t="default"/>
      </items>
    </pivotField>
    <pivotField dataField="1" numFmtId="4" showAll="0"/>
    <pivotField numFmtId="4"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4"/>
  </rowFields>
  <rowItems count="9">
    <i>
      <x/>
    </i>
    <i>
      <x v="1"/>
    </i>
    <i>
      <x v="2"/>
    </i>
    <i>
      <x v="3"/>
    </i>
    <i>
      <x v="4"/>
    </i>
    <i>
      <x v="5"/>
    </i>
    <i>
      <x v="6"/>
    </i>
    <i>
      <x v="7"/>
    </i>
    <i t="grand">
      <x/>
    </i>
  </rowItems>
  <colItems count="1">
    <i/>
  </colItems>
  <dataFields count="1">
    <dataField name="Sum of Amount" fld="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AAFA00-3FD4-49AC-B5C5-FCA24D5981E3}" name="PivotTable2"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14:B16" firstHeaderRow="1" firstDataRow="1" firstDataCol="1"/>
  <pivotFields count="9">
    <pivotField showAll="0"/>
    <pivotField numFmtId="14" showAll="0">
      <items count="437">
        <item x="158"/>
        <item x="2"/>
        <item x="296"/>
        <item x="252"/>
        <item x="79"/>
        <item x="204"/>
        <item x="223"/>
        <item x="83"/>
        <item x="337"/>
        <item x="299"/>
        <item x="98"/>
        <item x="315"/>
        <item x="422"/>
        <item x="197"/>
        <item x="174"/>
        <item x="396"/>
        <item x="434"/>
        <item x="17"/>
        <item x="256"/>
        <item x="150"/>
        <item x="283"/>
        <item x="362"/>
        <item x="136"/>
        <item x="160"/>
        <item x="313"/>
        <item x="258"/>
        <item x="288"/>
        <item x="27"/>
        <item x="317"/>
        <item x="105"/>
        <item x="360"/>
        <item x="115"/>
        <item x="149"/>
        <item x="225"/>
        <item x="333"/>
        <item x="381"/>
        <item x="351"/>
        <item x="319"/>
        <item x="151"/>
        <item x="246"/>
        <item x="366"/>
        <item x="56"/>
        <item x="235"/>
        <item x="232"/>
        <item x="7"/>
        <item x="145"/>
        <item x="262"/>
        <item x="91"/>
        <item x="367"/>
        <item x="259"/>
        <item x="307"/>
        <item x="208"/>
        <item x="374"/>
        <item x="243"/>
        <item x="5"/>
        <item x="275"/>
        <item x="383"/>
        <item x="24"/>
        <item x="404"/>
        <item x="410"/>
        <item x="425"/>
        <item x="210"/>
        <item x="138"/>
        <item x="253"/>
        <item x="359"/>
        <item x="347"/>
        <item x="388"/>
        <item x="251"/>
        <item x="292"/>
        <item x="219"/>
        <item x="86"/>
        <item x="217"/>
        <item x="344"/>
        <item x="352"/>
        <item x="152"/>
        <item x="431"/>
        <item x="326"/>
        <item x="162"/>
        <item x="384"/>
        <item x="75"/>
        <item x="226"/>
        <item x="94"/>
        <item x="398"/>
        <item x="349"/>
        <item x="287"/>
        <item x="182"/>
        <item x="147"/>
        <item x="18"/>
        <item x="286"/>
        <item x="50"/>
        <item x="234"/>
        <item x="244"/>
        <item x="385"/>
        <item x="55"/>
        <item x="45"/>
        <item x="386"/>
        <item x="418"/>
        <item x="236"/>
        <item x="10"/>
        <item x="184"/>
        <item x="156"/>
        <item x="92"/>
        <item x="0"/>
        <item x="220"/>
        <item x="26"/>
        <item x="239"/>
        <item x="209"/>
        <item x="227"/>
        <item x="328"/>
        <item x="169"/>
        <item x="186"/>
        <item x="408"/>
        <item x="325"/>
        <item x="218"/>
        <item x="200"/>
        <item x="130"/>
        <item x="271"/>
        <item x="142"/>
        <item x="126"/>
        <item x="190"/>
        <item x="395"/>
        <item x="172"/>
        <item x="97"/>
        <item x="146"/>
        <item x="161"/>
        <item x="421"/>
        <item x="195"/>
        <item x="415"/>
        <item x="336"/>
        <item x="372"/>
        <item x="254"/>
        <item x="424"/>
        <item x="60"/>
        <item x="48"/>
        <item x="361"/>
        <item x="62"/>
        <item x="247"/>
        <item x="85"/>
        <item x="248"/>
        <item x="118"/>
        <item x="180"/>
        <item x="148"/>
        <item x="211"/>
        <item x="382"/>
        <item x="128"/>
        <item x="3"/>
        <item x="257"/>
        <item x="273"/>
        <item x="393"/>
        <item x="394"/>
        <item x="255"/>
        <item x="230"/>
        <item x="13"/>
        <item x="194"/>
        <item x="59"/>
        <item x="70"/>
        <item x="318"/>
        <item x="107"/>
        <item x="322"/>
        <item x="157"/>
        <item x="44"/>
        <item x="154"/>
        <item x="123"/>
        <item x="63"/>
        <item x="409"/>
        <item x="102"/>
        <item x="302"/>
        <item x="57"/>
        <item x="400"/>
        <item x="378"/>
        <item x="36"/>
        <item x="187"/>
        <item x="242"/>
        <item x="109"/>
        <item x="280"/>
        <item x="25"/>
        <item x="168"/>
        <item x="363"/>
        <item x="380"/>
        <item x="93"/>
        <item x="30"/>
        <item x="114"/>
        <item x="341"/>
        <item x="392"/>
        <item x="133"/>
        <item x="369"/>
        <item x="113"/>
        <item x="357"/>
        <item x="116"/>
        <item x="413"/>
        <item x="414"/>
        <item x="314"/>
        <item x="430"/>
        <item x="312"/>
        <item x="330"/>
        <item x="111"/>
        <item x="428"/>
        <item x="276"/>
        <item x="101"/>
        <item x="4"/>
        <item x="192"/>
        <item x="237"/>
        <item x="77"/>
        <item x="348"/>
        <item x="99"/>
        <item x="316"/>
        <item x="324"/>
        <item x="350"/>
        <item x="291"/>
        <item x="135"/>
        <item x="216"/>
        <item x="108"/>
        <item x="110"/>
        <item x="12"/>
        <item x="401"/>
        <item x="179"/>
        <item x="376"/>
        <item x="66"/>
        <item x="377"/>
        <item x="429"/>
        <item x="355"/>
        <item x="224"/>
        <item x="339"/>
        <item x="163"/>
        <item x="20"/>
        <item x="189"/>
        <item x="51"/>
        <item x="68"/>
        <item x="196"/>
        <item x="38"/>
        <item x="173"/>
        <item x="264"/>
        <item x="42"/>
        <item x="103"/>
        <item x="46"/>
        <item x="134"/>
        <item x="334"/>
        <item x="293"/>
        <item x="37"/>
        <item x="40"/>
        <item x="310"/>
        <item x="8"/>
        <item x="41"/>
        <item x="73"/>
        <item x="389"/>
        <item x="354"/>
        <item x="49"/>
        <item x="6"/>
        <item x="35"/>
        <item x="90"/>
        <item x="231"/>
        <item x="233"/>
        <item x="80"/>
        <item x="267"/>
        <item x="335"/>
        <item x="33"/>
        <item x="412"/>
        <item x="69"/>
        <item x="96"/>
        <item x="129"/>
        <item x="411"/>
        <item x="104"/>
        <item x="206"/>
        <item x="43"/>
        <item x="177"/>
        <item x="240"/>
        <item x="53"/>
        <item x="222"/>
        <item x="188"/>
        <item x="399"/>
        <item x="72"/>
        <item x="117"/>
        <item x="406"/>
        <item x="329"/>
        <item x="171"/>
        <item x="198"/>
        <item x="34"/>
        <item x="331"/>
        <item x="65"/>
        <item x="397"/>
        <item x="308"/>
        <item x="304"/>
        <item x="167"/>
        <item x="82"/>
        <item x="193"/>
        <item x="84"/>
        <item x="277"/>
        <item x="268"/>
        <item x="28"/>
        <item x="345"/>
        <item x="203"/>
        <item x="371"/>
        <item x="121"/>
        <item x="1"/>
        <item x="21"/>
        <item x="61"/>
        <item x="185"/>
        <item x="379"/>
        <item x="16"/>
        <item x="261"/>
        <item x="245"/>
        <item x="266"/>
        <item x="212"/>
        <item x="272"/>
        <item x="364"/>
        <item x="278"/>
        <item x="356"/>
        <item x="269"/>
        <item x="332"/>
        <item x="340"/>
        <item x="64"/>
        <item x="9"/>
        <item x="124"/>
        <item x="281"/>
        <item x="403"/>
        <item x="265"/>
        <item x="402"/>
        <item x="81"/>
        <item x="320"/>
        <item x="241"/>
        <item x="88"/>
        <item x="11"/>
        <item x="201"/>
        <item x="137"/>
        <item x="417"/>
        <item x="19"/>
        <item x="202"/>
        <item x="303"/>
        <item x="159"/>
        <item x="391"/>
        <item x="120"/>
        <item x="390"/>
        <item x="71"/>
        <item x="215"/>
        <item x="435"/>
        <item x="285"/>
        <item x="164"/>
        <item x="423"/>
        <item x="52"/>
        <item x="74"/>
        <item x="106"/>
        <item x="298"/>
        <item x="119"/>
        <item x="141"/>
        <item x="32"/>
        <item x="305"/>
        <item x="207"/>
        <item x="373"/>
        <item x="282"/>
        <item x="122"/>
        <item x="165"/>
        <item x="427"/>
        <item x="67"/>
        <item x="321"/>
        <item x="199"/>
        <item x="23"/>
        <item x="342"/>
        <item x="419"/>
        <item x="279"/>
        <item x="15"/>
        <item x="176"/>
        <item x="405"/>
        <item x="370"/>
        <item x="131"/>
        <item x="155"/>
        <item x="76"/>
        <item x="87"/>
        <item x="260"/>
        <item x="31"/>
        <item x="433"/>
        <item x="290"/>
        <item x="166"/>
        <item x="54"/>
        <item x="170"/>
        <item x="238"/>
        <item x="346"/>
        <item x="139"/>
        <item x="191"/>
        <item x="426"/>
        <item x="112"/>
        <item x="311"/>
        <item x="306"/>
        <item x="309"/>
        <item x="143"/>
        <item x="297"/>
        <item x="301"/>
        <item x="295"/>
        <item x="432"/>
        <item x="228"/>
        <item x="250"/>
        <item x="183"/>
        <item x="270"/>
        <item x="365"/>
        <item x="416"/>
        <item x="300"/>
        <item x="213"/>
        <item x="100"/>
        <item x="58"/>
        <item x="144"/>
        <item x="205"/>
        <item x="127"/>
        <item x="387"/>
        <item x="181"/>
        <item x="289"/>
        <item x="95"/>
        <item x="407"/>
        <item x="221"/>
        <item x="47"/>
        <item x="214"/>
        <item x="39"/>
        <item x="375"/>
        <item x="294"/>
        <item x="338"/>
        <item x="132"/>
        <item x="274"/>
        <item x="323"/>
        <item x="175"/>
        <item x="14"/>
        <item x="125"/>
        <item x="22"/>
        <item x="229"/>
        <item x="89"/>
        <item x="358"/>
        <item x="178"/>
        <item x="263"/>
        <item x="249"/>
        <item x="29"/>
        <item x="420"/>
        <item x="353"/>
        <item x="327"/>
        <item x="140"/>
        <item x="343"/>
        <item x="368"/>
        <item x="153"/>
        <item x="284"/>
        <item x="78"/>
        <item t="default"/>
      </items>
    </pivotField>
    <pivotField showAll="0">
      <items count="3">
        <item x="0"/>
        <item h="1" x="1"/>
        <item t="default"/>
      </items>
    </pivotField>
    <pivotField axis="axisRow" showAll="0">
      <items count="15">
        <item h="1" x="1"/>
        <item x="6"/>
        <item h="1" x="0"/>
        <item h="1" x="2"/>
        <item h="1" x="4"/>
        <item h="1" x="8"/>
        <item h="1" x="3"/>
        <item h="1" x="11"/>
        <item h="1" x="7"/>
        <item h="1" x="13"/>
        <item h="1" x="9"/>
        <item h="1" x="12"/>
        <item h="1" x="10"/>
        <item h="1" x="5"/>
        <item t="default"/>
      </items>
    </pivotField>
    <pivotField showAll="0">
      <items count="9">
        <item x="3"/>
        <item x="1"/>
        <item x="0"/>
        <item x="7"/>
        <item x="5"/>
        <item x="2"/>
        <item x="4"/>
        <item x="6"/>
        <item t="default"/>
      </items>
    </pivotField>
    <pivotField dataField="1" numFmtId="4" showAll="0"/>
    <pivotField numFmtId="4"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3"/>
  </rowFields>
  <rowItems count="2">
    <i>
      <x v="1"/>
    </i>
    <i t="grand">
      <x/>
    </i>
  </rowItems>
  <colItems count="1">
    <i/>
  </colItems>
  <dataFields count="1">
    <dataField name="Sum of Amount" fld="5" baseField="0" baseItem="0" numFmtId="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D60CF4-56D2-4425-A726-B61B96394EAF}" name="PivotTable7"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ate">
  <location ref="E17:G31" firstHeaderRow="1" firstDataRow="2" firstDataCol="1"/>
  <pivotFields count="9">
    <pivotField showAll="0"/>
    <pivotField numFmtId="14" showAll="0">
      <items count="437">
        <item x="158"/>
        <item x="2"/>
        <item x="296"/>
        <item x="252"/>
        <item x="79"/>
        <item x="204"/>
        <item x="223"/>
        <item x="83"/>
        <item x="337"/>
        <item x="299"/>
        <item x="98"/>
        <item x="315"/>
        <item x="422"/>
        <item x="197"/>
        <item x="174"/>
        <item x="396"/>
        <item x="434"/>
        <item x="17"/>
        <item x="256"/>
        <item x="150"/>
        <item x="283"/>
        <item x="362"/>
        <item x="136"/>
        <item x="160"/>
        <item x="313"/>
        <item x="258"/>
        <item x="288"/>
        <item x="27"/>
        <item x="317"/>
        <item x="105"/>
        <item x="360"/>
        <item x="115"/>
        <item x="149"/>
        <item x="225"/>
        <item x="333"/>
        <item x="381"/>
        <item x="351"/>
        <item x="319"/>
        <item x="151"/>
        <item x="246"/>
        <item x="366"/>
        <item x="56"/>
        <item x="235"/>
        <item x="232"/>
        <item x="7"/>
        <item x="145"/>
        <item x="262"/>
        <item x="91"/>
        <item x="367"/>
        <item x="259"/>
        <item x="307"/>
        <item x="208"/>
        <item x="374"/>
        <item x="243"/>
        <item x="5"/>
        <item x="275"/>
        <item x="383"/>
        <item x="24"/>
        <item x="404"/>
        <item x="410"/>
        <item x="425"/>
        <item x="210"/>
        <item x="138"/>
        <item x="253"/>
        <item x="359"/>
        <item x="347"/>
        <item x="388"/>
        <item x="251"/>
        <item x="292"/>
        <item x="219"/>
        <item x="86"/>
        <item x="217"/>
        <item x="344"/>
        <item x="352"/>
        <item x="152"/>
        <item x="431"/>
        <item x="326"/>
        <item x="162"/>
        <item x="384"/>
        <item x="75"/>
        <item x="226"/>
        <item x="94"/>
        <item x="398"/>
        <item x="349"/>
        <item x="287"/>
        <item x="182"/>
        <item x="147"/>
        <item x="18"/>
        <item x="286"/>
        <item x="50"/>
        <item x="234"/>
        <item x="244"/>
        <item x="385"/>
        <item x="55"/>
        <item x="45"/>
        <item x="386"/>
        <item x="418"/>
        <item x="236"/>
        <item x="10"/>
        <item x="184"/>
        <item x="156"/>
        <item x="92"/>
        <item x="0"/>
        <item x="220"/>
        <item x="26"/>
        <item x="239"/>
        <item x="209"/>
        <item x="227"/>
        <item x="328"/>
        <item x="169"/>
        <item x="186"/>
        <item x="408"/>
        <item x="325"/>
        <item x="218"/>
        <item x="200"/>
        <item x="130"/>
        <item x="271"/>
        <item x="142"/>
        <item x="126"/>
        <item x="190"/>
        <item x="395"/>
        <item x="172"/>
        <item x="97"/>
        <item x="146"/>
        <item x="161"/>
        <item x="421"/>
        <item x="195"/>
        <item x="415"/>
        <item x="336"/>
        <item x="372"/>
        <item x="254"/>
        <item x="424"/>
        <item x="60"/>
        <item x="48"/>
        <item x="361"/>
        <item x="62"/>
        <item x="247"/>
        <item x="85"/>
        <item x="248"/>
        <item x="118"/>
        <item x="180"/>
        <item x="148"/>
        <item x="211"/>
        <item x="382"/>
        <item x="128"/>
        <item x="3"/>
        <item x="257"/>
        <item x="273"/>
        <item x="393"/>
        <item x="394"/>
        <item x="255"/>
        <item x="230"/>
        <item x="13"/>
        <item x="194"/>
        <item x="59"/>
        <item x="70"/>
        <item x="318"/>
        <item x="107"/>
        <item x="322"/>
        <item x="157"/>
        <item x="44"/>
        <item x="154"/>
        <item x="123"/>
        <item x="63"/>
        <item x="409"/>
        <item x="102"/>
        <item x="302"/>
        <item x="57"/>
        <item x="400"/>
        <item x="378"/>
        <item x="36"/>
        <item x="187"/>
        <item x="242"/>
        <item x="109"/>
        <item x="280"/>
        <item x="25"/>
        <item x="168"/>
        <item x="363"/>
        <item x="380"/>
        <item x="93"/>
        <item x="30"/>
        <item x="114"/>
        <item x="341"/>
        <item x="392"/>
        <item x="133"/>
        <item x="369"/>
        <item x="113"/>
        <item x="357"/>
        <item x="116"/>
        <item x="413"/>
        <item x="414"/>
        <item x="314"/>
        <item x="430"/>
        <item x="312"/>
        <item x="330"/>
        <item x="111"/>
        <item x="428"/>
        <item x="276"/>
        <item x="101"/>
        <item x="4"/>
        <item x="192"/>
        <item x="237"/>
        <item x="77"/>
        <item x="348"/>
        <item x="99"/>
        <item x="316"/>
        <item x="324"/>
        <item x="350"/>
        <item x="291"/>
        <item x="135"/>
        <item x="216"/>
        <item x="108"/>
        <item x="110"/>
        <item x="12"/>
        <item x="401"/>
        <item x="179"/>
        <item x="376"/>
        <item x="66"/>
        <item x="377"/>
        <item x="429"/>
        <item x="355"/>
        <item x="224"/>
        <item x="339"/>
        <item x="163"/>
        <item x="20"/>
        <item x="189"/>
        <item x="51"/>
        <item x="68"/>
        <item x="196"/>
        <item x="38"/>
        <item x="173"/>
        <item x="264"/>
        <item x="42"/>
        <item x="103"/>
        <item x="46"/>
        <item x="134"/>
        <item x="334"/>
        <item x="293"/>
        <item x="37"/>
        <item x="40"/>
        <item x="310"/>
        <item x="8"/>
        <item x="41"/>
        <item x="73"/>
        <item x="389"/>
        <item x="354"/>
        <item x="49"/>
        <item x="6"/>
        <item x="35"/>
        <item x="90"/>
        <item x="231"/>
        <item x="233"/>
        <item x="80"/>
        <item x="267"/>
        <item x="335"/>
        <item x="33"/>
        <item x="412"/>
        <item x="69"/>
        <item x="96"/>
        <item x="129"/>
        <item x="411"/>
        <item x="104"/>
        <item x="206"/>
        <item x="43"/>
        <item x="177"/>
        <item x="240"/>
        <item x="53"/>
        <item x="222"/>
        <item x="188"/>
        <item x="399"/>
        <item x="72"/>
        <item x="117"/>
        <item x="406"/>
        <item x="329"/>
        <item x="171"/>
        <item x="198"/>
        <item x="34"/>
        <item x="331"/>
        <item x="65"/>
        <item x="397"/>
        <item x="308"/>
        <item x="304"/>
        <item x="167"/>
        <item x="82"/>
        <item x="193"/>
        <item x="84"/>
        <item x="277"/>
        <item x="268"/>
        <item x="28"/>
        <item x="345"/>
        <item x="203"/>
        <item x="371"/>
        <item x="121"/>
        <item x="1"/>
        <item x="21"/>
        <item x="61"/>
        <item x="185"/>
        <item x="379"/>
        <item x="16"/>
        <item x="261"/>
        <item x="245"/>
        <item x="266"/>
        <item x="212"/>
        <item x="272"/>
        <item x="364"/>
        <item x="278"/>
        <item x="356"/>
        <item x="269"/>
        <item x="332"/>
        <item x="340"/>
        <item x="64"/>
        <item x="9"/>
        <item x="124"/>
        <item x="281"/>
        <item x="403"/>
        <item x="265"/>
        <item x="402"/>
        <item x="81"/>
        <item x="320"/>
        <item x="241"/>
        <item x="88"/>
        <item x="11"/>
        <item x="201"/>
        <item x="137"/>
        <item x="417"/>
        <item x="19"/>
        <item x="202"/>
        <item x="303"/>
        <item x="159"/>
        <item x="391"/>
        <item x="120"/>
        <item x="390"/>
        <item x="71"/>
        <item x="215"/>
        <item x="435"/>
        <item x="285"/>
        <item x="164"/>
        <item x="423"/>
        <item x="52"/>
        <item x="74"/>
        <item x="106"/>
        <item x="298"/>
        <item x="119"/>
        <item x="141"/>
        <item x="32"/>
        <item x="305"/>
        <item x="207"/>
        <item x="373"/>
        <item x="282"/>
        <item x="122"/>
        <item x="165"/>
        <item x="427"/>
        <item x="67"/>
        <item x="321"/>
        <item x="199"/>
        <item x="23"/>
        <item x="342"/>
        <item x="419"/>
        <item x="279"/>
        <item x="15"/>
        <item x="176"/>
        <item x="405"/>
        <item x="370"/>
        <item x="131"/>
        <item x="155"/>
        <item x="76"/>
        <item x="87"/>
        <item x="260"/>
        <item x="31"/>
        <item x="433"/>
        <item x="290"/>
        <item x="166"/>
        <item x="54"/>
        <item x="170"/>
        <item x="238"/>
        <item x="346"/>
        <item x="139"/>
        <item x="191"/>
        <item x="426"/>
        <item x="112"/>
        <item x="311"/>
        <item x="306"/>
        <item x="309"/>
        <item x="143"/>
        <item x="297"/>
        <item x="301"/>
        <item x="295"/>
        <item x="432"/>
        <item x="228"/>
        <item x="250"/>
        <item x="183"/>
        <item x="270"/>
        <item x="365"/>
        <item x="416"/>
        <item x="300"/>
        <item x="213"/>
        <item x="100"/>
        <item x="58"/>
        <item x="144"/>
        <item x="205"/>
        <item x="127"/>
        <item x="387"/>
        <item x="181"/>
        <item x="289"/>
        <item x="95"/>
        <item x="407"/>
        <item x="221"/>
        <item x="47"/>
        <item x="214"/>
        <item x="39"/>
        <item x="375"/>
        <item x="294"/>
        <item x="338"/>
        <item x="132"/>
        <item x="274"/>
        <item x="323"/>
        <item x="175"/>
        <item x="14"/>
        <item x="125"/>
        <item x="22"/>
        <item x="229"/>
        <item x="89"/>
        <item x="358"/>
        <item x="178"/>
        <item x="263"/>
        <item x="249"/>
        <item x="29"/>
        <item x="420"/>
        <item x="353"/>
        <item x="327"/>
        <item x="140"/>
        <item x="343"/>
        <item x="368"/>
        <item x="153"/>
        <item x="284"/>
        <item x="78"/>
        <item t="default"/>
      </items>
    </pivotField>
    <pivotField axis="axisCol" showAll="0">
      <items count="3">
        <item x="0"/>
        <item h="1" x="1"/>
        <item t="default"/>
      </items>
    </pivotField>
    <pivotField showAll="0">
      <items count="15">
        <item h="1" x="1"/>
        <item x="6"/>
        <item h="1" x="0"/>
        <item h="1" x="2"/>
        <item h="1" x="4"/>
        <item h="1" x="8"/>
        <item h="1" x="3"/>
        <item h="1" x="11"/>
        <item h="1" x="7"/>
        <item h="1" x="13"/>
        <item h="1" x="9"/>
        <item h="1" x="12"/>
        <item h="1" x="10"/>
        <item h="1" x="5"/>
        <item t="default"/>
      </items>
    </pivotField>
    <pivotField showAll="0">
      <items count="9">
        <item x="3"/>
        <item x="1"/>
        <item x="0"/>
        <item x="7"/>
        <item x="5"/>
        <item x="2"/>
        <item x="4"/>
        <item x="6"/>
        <item t="default"/>
      </items>
    </pivotField>
    <pivotField dataField="1" numFmtId="4" showAll="0"/>
    <pivotField numFmtId="4"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7"/>
  </rowFields>
  <rowItems count="13">
    <i>
      <x v="1"/>
    </i>
    <i>
      <x v="2"/>
    </i>
    <i>
      <x v="3"/>
    </i>
    <i>
      <x v="4"/>
    </i>
    <i>
      <x v="5"/>
    </i>
    <i>
      <x v="6"/>
    </i>
    <i>
      <x v="7"/>
    </i>
    <i>
      <x v="8"/>
    </i>
    <i>
      <x v="9"/>
    </i>
    <i>
      <x v="10"/>
    </i>
    <i>
      <x v="11"/>
    </i>
    <i>
      <x v="12"/>
    </i>
    <i t="grand">
      <x/>
    </i>
  </rowItems>
  <colFields count="1">
    <field x="2"/>
  </colFields>
  <colItems count="2">
    <i>
      <x/>
    </i>
    <i t="grand">
      <x/>
    </i>
  </colItems>
  <dataFields count="1">
    <dataField name="Sum of Amount" fld="5" baseField="0" baseItem="0" numFmtId="4"/>
  </dataFields>
  <chartFormats count="6">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10" format="1" series="1">
      <pivotArea type="data" outline="0" fieldPosition="0">
        <references count="2">
          <reference field="4294967294" count="1" selected="0">
            <x v="0"/>
          </reference>
          <reference field="2" count="1" selected="0">
            <x v="0"/>
          </reference>
        </references>
      </pivotArea>
    </chartFormat>
    <chartFormat chart="10" format="2" series="1">
      <pivotArea type="data" outline="0" fieldPosition="0">
        <references count="2">
          <reference field="4294967294" count="1" selected="0">
            <x v="0"/>
          </reference>
          <reference field="2" count="1" selected="0">
            <x v="1"/>
          </reference>
        </references>
      </pivotArea>
    </chartFormat>
    <chartFormat chart="16" format="1" series="1">
      <pivotArea type="data" outline="0" fieldPosition="0">
        <references count="2">
          <reference field="4294967294" count="1" selected="0">
            <x v="0"/>
          </reference>
          <reference field="2" count="1" selected="0">
            <x v="1"/>
          </reference>
        </references>
      </pivotArea>
    </chartFormat>
    <chartFormat chart="16" format="2"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5012627-D77E-4C8A-9C08-46FE251694BB}" name="PivotTable6"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E33:H35" firstHeaderRow="0" firstDataRow="1" firstDataCol="1"/>
  <pivotFields count="9">
    <pivotField showAll="0"/>
    <pivotField numFmtId="14" showAll="0">
      <items count="437">
        <item x="158"/>
        <item x="2"/>
        <item x="296"/>
        <item x="252"/>
        <item x="79"/>
        <item x="204"/>
        <item x="223"/>
        <item x="83"/>
        <item x="337"/>
        <item x="299"/>
        <item x="98"/>
        <item x="315"/>
        <item x="422"/>
        <item x="197"/>
        <item x="174"/>
        <item x="396"/>
        <item x="434"/>
        <item x="17"/>
        <item x="256"/>
        <item x="150"/>
        <item x="283"/>
        <item x="362"/>
        <item x="136"/>
        <item x="160"/>
        <item x="313"/>
        <item x="258"/>
        <item x="288"/>
        <item x="27"/>
        <item x="317"/>
        <item x="105"/>
        <item x="360"/>
        <item x="115"/>
        <item x="149"/>
        <item x="225"/>
        <item x="333"/>
        <item x="381"/>
        <item x="351"/>
        <item x="319"/>
        <item x="151"/>
        <item x="246"/>
        <item x="366"/>
        <item x="56"/>
        <item x="235"/>
        <item x="232"/>
        <item x="7"/>
        <item x="145"/>
        <item x="262"/>
        <item x="91"/>
        <item x="367"/>
        <item x="259"/>
        <item x="307"/>
        <item x="208"/>
        <item x="374"/>
        <item x="243"/>
        <item x="5"/>
        <item x="275"/>
        <item x="383"/>
        <item x="24"/>
        <item x="404"/>
        <item x="410"/>
        <item x="425"/>
        <item x="210"/>
        <item x="138"/>
        <item x="253"/>
        <item x="359"/>
        <item x="347"/>
        <item x="388"/>
        <item x="251"/>
        <item x="292"/>
        <item x="219"/>
        <item x="86"/>
        <item x="217"/>
        <item x="344"/>
        <item x="352"/>
        <item x="152"/>
        <item x="431"/>
        <item x="326"/>
        <item x="162"/>
        <item x="384"/>
        <item x="75"/>
        <item x="226"/>
        <item x="94"/>
        <item x="398"/>
        <item x="349"/>
        <item x="287"/>
        <item x="182"/>
        <item x="147"/>
        <item x="18"/>
        <item x="286"/>
        <item x="50"/>
        <item x="234"/>
        <item x="244"/>
        <item x="385"/>
        <item x="55"/>
        <item x="45"/>
        <item x="386"/>
        <item x="418"/>
        <item x="236"/>
        <item x="10"/>
        <item x="184"/>
        <item x="156"/>
        <item x="92"/>
        <item x="0"/>
        <item x="220"/>
        <item x="26"/>
        <item x="239"/>
        <item x="209"/>
        <item x="227"/>
        <item x="328"/>
        <item x="169"/>
        <item x="186"/>
        <item x="408"/>
        <item x="325"/>
        <item x="218"/>
        <item x="200"/>
        <item x="130"/>
        <item x="271"/>
        <item x="142"/>
        <item x="126"/>
        <item x="190"/>
        <item x="395"/>
        <item x="172"/>
        <item x="97"/>
        <item x="146"/>
        <item x="161"/>
        <item x="421"/>
        <item x="195"/>
        <item x="415"/>
        <item x="336"/>
        <item x="372"/>
        <item x="254"/>
        <item x="424"/>
        <item x="60"/>
        <item x="48"/>
        <item x="361"/>
        <item x="62"/>
        <item x="247"/>
        <item x="85"/>
        <item x="248"/>
        <item x="118"/>
        <item x="180"/>
        <item x="148"/>
        <item x="211"/>
        <item x="382"/>
        <item x="128"/>
        <item x="3"/>
        <item x="257"/>
        <item x="273"/>
        <item x="393"/>
        <item x="394"/>
        <item x="255"/>
        <item x="230"/>
        <item x="13"/>
        <item x="194"/>
        <item x="59"/>
        <item x="70"/>
        <item x="318"/>
        <item x="107"/>
        <item x="322"/>
        <item x="157"/>
        <item x="44"/>
        <item x="154"/>
        <item x="123"/>
        <item x="63"/>
        <item x="409"/>
        <item x="102"/>
        <item x="302"/>
        <item x="57"/>
        <item x="400"/>
        <item x="378"/>
        <item x="36"/>
        <item x="187"/>
        <item x="242"/>
        <item x="109"/>
        <item x="280"/>
        <item x="25"/>
        <item x="168"/>
        <item x="363"/>
        <item x="380"/>
        <item x="93"/>
        <item x="30"/>
        <item x="114"/>
        <item x="341"/>
        <item x="392"/>
        <item x="133"/>
        <item x="369"/>
        <item x="113"/>
        <item x="357"/>
        <item x="116"/>
        <item x="413"/>
        <item x="414"/>
        <item x="314"/>
        <item x="430"/>
        <item x="312"/>
        <item x="330"/>
        <item x="111"/>
        <item x="428"/>
        <item x="276"/>
        <item x="101"/>
        <item x="4"/>
        <item x="192"/>
        <item x="237"/>
        <item x="77"/>
        <item x="348"/>
        <item x="99"/>
        <item x="316"/>
        <item x="324"/>
        <item x="350"/>
        <item x="291"/>
        <item x="135"/>
        <item x="216"/>
        <item x="108"/>
        <item x="110"/>
        <item x="12"/>
        <item x="401"/>
        <item x="179"/>
        <item x="376"/>
        <item x="66"/>
        <item x="377"/>
        <item x="429"/>
        <item x="355"/>
        <item x="224"/>
        <item x="339"/>
        <item x="163"/>
        <item x="20"/>
        <item x="189"/>
        <item x="51"/>
        <item x="68"/>
        <item x="196"/>
        <item x="38"/>
        <item x="173"/>
        <item x="264"/>
        <item x="42"/>
        <item x="103"/>
        <item x="46"/>
        <item x="134"/>
        <item x="334"/>
        <item x="293"/>
        <item x="37"/>
        <item x="40"/>
        <item x="310"/>
        <item x="8"/>
        <item x="41"/>
        <item x="73"/>
        <item x="389"/>
        <item x="354"/>
        <item x="49"/>
        <item x="6"/>
        <item x="35"/>
        <item x="90"/>
        <item x="231"/>
        <item x="233"/>
        <item x="80"/>
        <item x="267"/>
        <item x="335"/>
        <item x="33"/>
        <item x="412"/>
        <item x="69"/>
        <item x="96"/>
        <item x="129"/>
        <item x="411"/>
        <item x="104"/>
        <item x="206"/>
        <item x="43"/>
        <item x="177"/>
        <item x="240"/>
        <item x="53"/>
        <item x="222"/>
        <item x="188"/>
        <item x="399"/>
        <item x="72"/>
        <item x="117"/>
        <item x="406"/>
        <item x="329"/>
        <item x="171"/>
        <item x="198"/>
        <item x="34"/>
        <item x="331"/>
        <item x="65"/>
        <item x="397"/>
        <item x="308"/>
        <item x="304"/>
        <item x="167"/>
        <item x="82"/>
        <item x="193"/>
        <item x="84"/>
        <item x="277"/>
        <item x="268"/>
        <item x="28"/>
        <item x="345"/>
        <item x="203"/>
        <item x="371"/>
        <item x="121"/>
        <item x="1"/>
        <item x="21"/>
        <item x="61"/>
        <item x="185"/>
        <item x="379"/>
        <item x="16"/>
        <item x="261"/>
        <item x="245"/>
        <item x="266"/>
        <item x="212"/>
        <item x="272"/>
        <item x="364"/>
        <item x="278"/>
        <item x="356"/>
        <item x="269"/>
        <item x="332"/>
        <item x="340"/>
        <item x="64"/>
        <item x="9"/>
        <item x="124"/>
        <item x="281"/>
        <item x="403"/>
        <item x="265"/>
        <item x="402"/>
        <item x="81"/>
        <item x="320"/>
        <item x="241"/>
        <item x="88"/>
        <item x="11"/>
        <item x="201"/>
        <item x="137"/>
        <item x="417"/>
        <item x="19"/>
        <item x="202"/>
        <item x="303"/>
        <item x="159"/>
        <item x="391"/>
        <item x="120"/>
        <item x="390"/>
        <item x="71"/>
        <item x="215"/>
        <item x="435"/>
        <item x="285"/>
        <item x="164"/>
        <item x="423"/>
        <item x="52"/>
        <item x="74"/>
        <item x="106"/>
        <item x="298"/>
        <item x="119"/>
        <item x="141"/>
        <item x="32"/>
        <item x="305"/>
        <item x="207"/>
        <item x="373"/>
        <item x="282"/>
        <item x="122"/>
        <item x="165"/>
        <item x="427"/>
        <item x="67"/>
        <item x="321"/>
        <item x="199"/>
        <item x="23"/>
        <item x="342"/>
        <item x="419"/>
        <item x="279"/>
        <item x="15"/>
        <item x="176"/>
        <item x="405"/>
        <item x="370"/>
        <item x="131"/>
        <item x="155"/>
        <item x="76"/>
        <item x="87"/>
        <item x="260"/>
        <item x="31"/>
        <item x="433"/>
        <item x="290"/>
        <item x="166"/>
        <item x="54"/>
        <item x="170"/>
        <item x="238"/>
        <item x="346"/>
        <item x="139"/>
        <item x="191"/>
        <item x="426"/>
        <item x="112"/>
        <item x="311"/>
        <item x="306"/>
        <item x="309"/>
        <item x="143"/>
        <item x="297"/>
        <item x="301"/>
        <item x="295"/>
        <item x="432"/>
        <item x="228"/>
        <item x="250"/>
        <item x="183"/>
        <item x="270"/>
        <item x="365"/>
        <item x="416"/>
        <item x="300"/>
        <item x="213"/>
        <item x="100"/>
        <item x="58"/>
        <item x="144"/>
        <item x="205"/>
        <item x="127"/>
        <item x="387"/>
        <item x="181"/>
        <item x="289"/>
        <item x="95"/>
        <item x="407"/>
        <item x="221"/>
        <item x="47"/>
        <item x="214"/>
        <item x="39"/>
        <item x="375"/>
        <item x="294"/>
        <item x="338"/>
        <item x="132"/>
        <item x="274"/>
        <item x="323"/>
        <item x="175"/>
        <item x="14"/>
        <item x="125"/>
        <item x="22"/>
        <item x="229"/>
        <item x="89"/>
        <item x="358"/>
        <item x="178"/>
        <item x="263"/>
        <item x="249"/>
        <item x="29"/>
        <item x="420"/>
        <item x="353"/>
        <item x="327"/>
        <item x="140"/>
        <item x="343"/>
        <item x="368"/>
        <item x="153"/>
        <item x="284"/>
        <item x="78"/>
        <item t="default"/>
      </items>
    </pivotField>
    <pivotField showAll="0">
      <items count="3">
        <item x="0"/>
        <item h="1" x="1"/>
        <item t="default"/>
      </items>
    </pivotField>
    <pivotField axis="axisRow" showAll="0">
      <items count="15">
        <item h="1" x="1"/>
        <item x="6"/>
        <item h="1" x="0"/>
        <item h="1" x="2"/>
        <item h="1" x="4"/>
        <item h="1" x="8"/>
        <item h="1" x="3"/>
        <item h="1" x="11"/>
        <item h="1" x="7"/>
        <item h="1" x="13"/>
        <item h="1" x="9"/>
        <item h="1" x="12"/>
        <item h="1" x="10"/>
        <item h="1" x="5"/>
        <item t="default"/>
      </items>
    </pivotField>
    <pivotField showAll="0">
      <items count="9">
        <item x="3"/>
        <item x="1"/>
        <item x="0"/>
        <item x="7"/>
        <item x="5"/>
        <item x="2"/>
        <item x="4"/>
        <item x="6"/>
        <item t="default"/>
      </items>
    </pivotField>
    <pivotField dataField="1" numFmtId="4" showAll="0"/>
    <pivotField dataField="1" numFmtId="4" showAl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3"/>
  </rowFields>
  <rowItems count="2">
    <i>
      <x v="1"/>
    </i>
    <i t="grand">
      <x/>
    </i>
  </rowItems>
  <colFields count="1">
    <field x="-2"/>
  </colFields>
  <colItems count="3">
    <i>
      <x/>
    </i>
    <i i="1">
      <x v="1"/>
    </i>
    <i i="2">
      <x v="2"/>
    </i>
  </colItems>
  <dataFields count="3">
    <dataField name="Sum of Amount" fld="5" baseField="0" baseItem="0" numFmtId="4"/>
    <dataField name="Sum of Budgeted Amount" fld="6" baseField="0" baseItem="0" numFmtId="4"/>
    <dataField name="Sum of variance" fld="8" baseField="0" baseItem="0" numFmtId="4"/>
  </dataFields>
  <chartFormats count="3">
    <chartFormat chart="4"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EA13F7-9C49-46DB-9AE1-1B5AD13C42D7}" name="PivotTable1" cacheId="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15" firstHeaderRow="1" firstDataRow="1" firstDataCol="1"/>
  <pivotFields count="9">
    <pivotField showAll="0"/>
    <pivotField numFmtId="14" showAll="0">
      <items count="437">
        <item x="158"/>
        <item x="2"/>
        <item x="296"/>
        <item x="252"/>
        <item x="79"/>
        <item x="204"/>
        <item x="223"/>
        <item x="83"/>
        <item x="337"/>
        <item x="299"/>
        <item x="98"/>
        <item x="315"/>
        <item x="422"/>
        <item x="197"/>
        <item x="174"/>
        <item x="396"/>
        <item x="434"/>
        <item x="17"/>
        <item x="256"/>
        <item x="150"/>
        <item x="283"/>
        <item x="362"/>
        <item x="136"/>
        <item x="160"/>
        <item x="313"/>
        <item x="258"/>
        <item x="288"/>
        <item x="27"/>
        <item x="317"/>
        <item x="105"/>
        <item x="360"/>
        <item x="115"/>
        <item x="149"/>
        <item x="225"/>
        <item x="333"/>
        <item x="381"/>
        <item x="351"/>
        <item x="319"/>
        <item x="151"/>
        <item x="246"/>
        <item x="366"/>
        <item x="56"/>
        <item x="235"/>
        <item x="232"/>
        <item x="7"/>
        <item x="145"/>
        <item x="262"/>
        <item x="91"/>
        <item x="367"/>
        <item x="259"/>
        <item x="307"/>
        <item x="208"/>
        <item x="374"/>
        <item x="243"/>
        <item x="5"/>
        <item x="275"/>
        <item x="383"/>
        <item x="24"/>
        <item x="404"/>
        <item x="410"/>
        <item x="425"/>
        <item x="210"/>
        <item x="138"/>
        <item x="253"/>
        <item x="359"/>
        <item x="347"/>
        <item x="388"/>
        <item x="251"/>
        <item x="292"/>
        <item x="219"/>
        <item x="86"/>
        <item x="217"/>
        <item x="344"/>
        <item x="352"/>
        <item x="152"/>
        <item x="431"/>
        <item x="326"/>
        <item x="162"/>
        <item x="384"/>
        <item x="75"/>
        <item x="226"/>
        <item x="94"/>
        <item x="398"/>
        <item x="349"/>
        <item x="287"/>
        <item x="182"/>
        <item x="147"/>
        <item x="18"/>
        <item x="286"/>
        <item x="50"/>
        <item x="234"/>
        <item x="244"/>
        <item x="385"/>
        <item x="55"/>
        <item x="45"/>
        <item x="386"/>
        <item x="418"/>
        <item x="236"/>
        <item x="10"/>
        <item x="184"/>
        <item x="156"/>
        <item x="92"/>
        <item x="0"/>
        <item x="220"/>
        <item x="26"/>
        <item x="239"/>
        <item x="209"/>
        <item x="227"/>
        <item x="328"/>
        <item x="169"/>
        <item x="186"/>
        <item x="408"/>
        <item x="325"/>
        <item x="218"/>
        <item x="200"/>
        <item x="130"/>
        <item x="271"/>
        <item x="142"/>
        <item x="126"/>
        <item x="190"/>
        <item x="395"/>
        <item x="172"/>
        <item x="97"/>
        <item x="146"/>
        <item x="161"/>
        <item x="421"/>
        <item x="195"/>
        <item x="415"/>
        <item x="336"/>
        <item x="372"/>
        <item x="254"/>
        <item x="424"/>
        <item x="60"/>
        <item x="48"/>
        <item x="361"/>
        <item x="62"/>
        <item x="247"/>
        <item x="85"/>
        <item x="248"/>
        <item x="118"/>
        <item x="180"/>
        <item x="148"/>
        <item x="211"/>
        <item x="382"/>
        <item x="128"/>
        <item x="3"/>
        <item x="257"/>
        <item x="273"/>
        <item x="393"/>
        <item x="394"/>
        <item x="255"/>
        <item x="230"/>
        <item x="13"/>
        <item x="194"/>
        <item x="59"/>
        <item x="70"/>
        <item x="318"/>
        <item x="107"/>
        <item x="322"/>
        <item x="157"/>
        <item x="44"/>
        <item x="154"/>
        <item x="123"/>
        <item x="63"/>
        <item x="409"/>
        <item x="102"/>
        <item x="302"/>
        <item x="57"/>
        <item x="400"/>
        <item x="378"/>
        <item x="36"/>
        <item x="187"/>
        <item x="242"/>
        <item x="109"/>
        <item x="280"/>
        <item x="25"/>
        <item x="168"/>
        <item x="363"/>
        <item x="380"/>
        <item x="93"/>
        <item x="30"/>
        <item x="114"/>
        <item x="341"/>
        <item x="392"/>
        <item x="133"/>
        <item x="369"/>
        <item x="113"/>
        <item x="357"/>
        <item x="116"/>
        <item x="413"/>
        <item x="414"/>
        <item x="314"/>
        <item x="430"/>
        <item x="312"/>
        <item x="330"/>
        <item x="111"/>
        <item x="428"/>
        <item x="276"/>
        <item x="101"/>
        <item x="4"/>
        <item x="192"/>
        <item x="237"/>
        <item x="77"/>
        <item x="348"/>
        <item x="99"/>
        <item x="316"/>
        <item x="324"/>
        <item x="350"/>
        <item x="291"/>
        <item x="135"/>
        <item x="216"/>
        <item x="108"/>
        <item x="110"/>
        <item x="12"/>
        <item x="401"/>
        <item x="179"/>
        <item x="376"/>
        <item x="66"/>
        <item x="377"/>
        <item x="429"/>
        <item x="355"/>
        <item x="224"/>
        <item x="339"/>
        <item x="163"/>
        <item x="20"/>
        <item x="189"/>
        <item x="51"/>
        <item x="68"/>
        <item x="196"/>
        <item x="38"/>
        <item x="173"/>
        <item x="264"/>
        <item x="42"/>
        <item x="103"/>
        <item x="46"/>
        <item x="134"/>
        <item x="334"/>
        <item x="293"/>
        <item x="37"/>
        <item x="40"/>
        <item x="310"/>
        <item x="8"/>
        <item x="41"/>
        <item x="73"/>
        <item x="389"/>
        <item x="354"/>
        <item x="49"/>
        <item x="6"/>
        <item x="35"/>
        <item x="90"/>
        <item x="231"/>
        <item x="233"/>
        <item x="80"/>
        <item x="267"/>
        <item x="335"/>
        <item x="33"/>
        <item x="412"/>
        <item x="69"/>
        <item x="96"/>
        <item x="129"/>
        <item x="411"/>
        <item x="104"/>
        <item x="206"/>
        <item x="43"/>
        <item x="177"/>
        <item x="240"/>
        <item x="53"/>
        <item x="222"/>
        <item x="188"/>
        <item x="399"/>
        <item x="72"/>
        <item x="117"/>
        <item x="406"/>
        <item x="329"/>
        <item x="171"/>
        <item x="198"/>
        <item x="34"/>
        <item x="331"/>
        <item x="65"/>
        <item x="397"/>
        <item x="308"/>
        <item x="304"/>
        <item x="167"/>
        <item x="82"/>
        <item x="193"/>
        <item x="84"/>
        <item x="277"/>
        <item x="268"/>
        <item x="28"/>
        <item x="345"/>
        <item x="203"/>
        <item x="371"/>
        <item x="121"/>
        <item x="1"/>
        <item x="21"/>
        <item x="61"/>
        <item x="185"/>
        <item x="379"/>
        <item x="16"/>
        <item x="261"/>
        <item x="245"/>
        <item x="266"/>
        <item x="212"/>
        <item x="272"/>
        <item x="364"/>
        <item x="278"/>
        <item x="356"/>
        <item x="269"/>
        <item x="332"/>
        <item x="340"/>
        <item x="64"/>
        <item x="9"/>
        <item x="124"/>
        <item x="281"/>
        <item x="403"/>
        <item x="265"/>
        <item x="402"/>
        <item x="81"/>
        <item x="320"/>
        <item x="241"/>
        <item x="88"/>
        <item x="11"/>
        <item x="201"/>
        <item x="137"/>
        <item x="417"/>
        <item x="19"/>
        <item x="202"/>
        <item x="303"/>
        <item x="159"/>
        <item x="391"/>
        <item x="120"/>
        <item x="390"/>
        <item x="71"/>
        <item x="215"/>
        <item x="435"/>
        <item x="285"/>
        <item x="164"/>
        <item x="423"/>
        <item x="52"/>
        <item x="74"/>
        <item x="106"/>
        <item x="298"/>
        <item x="119"/>
        <item x="141"/>
        <item x="32"/>
        <item x="305"/>
        <item x="207"/>
        <item x="373"/>
        <item x="282"/>
        <item x="122"/>
        <item x="165"/>
        <item x="427"/>
        <item x="67"/>
        <item x="321"/>
        <item x="199"/>
        <item x="23"/>
        <item x="342"/>
        <item x="419"/>
        <item x="279"/>
        <item x="15"/>
        <item x="176"/>
        <item x="405"/>
        <item x="370"/>
        <item x="131"/>
        <item x="155"/>
        <item x="76"/>
        <item x="87"/>
        <item x="260"/>
        <item x="31"/>
        <item x="433"/>
        <item x="290"/>
        <item x="166"/>
        <item x="54"/>
        <item x="170"/>
        <item x="238"/>
        <item x="346"/>
        <item x="139"/>
        <item x="191"/>
        <item x="426"/>
        <item x="112"/>
        <item x="311"/>
        <item x="306"/>
        <item x="309"/>
        <item x="143"/>
        <item x="297"/>
        <item x="301"/>
        <item x="295"/>
        <item x="432"/>
        <item x="228"/>
        <item x="250"/>
        <item x="183"/>
        <item x="270"/>
        <item x="365"/>
        <item x="416"/>
        <item x="300"/>
        <item x="213"/>
        <item x="100"/>
        <item x="58"/>
        <item x="144"/>
        <item x="205"/>
        <item x="127"/>
        <item x="387"/>
        <item x="181"/>
        <item x="289"/>
        <item x="95"/>
        <item x="407"/>
        <item x="221"/>
        <item x="47"/>
        <item x="214"/>
        <item x="39"/>
        <item x="375"/>
        <item x="294"/>
        <item x="338"/>
        <item x="132"/>
        <item x="274"/>
        <item x="323"/>
        <item x="175"/>
        <item x="14"/>
        <item x="125"/>
        <item x="22"/>
        <item x="229"/>
        <item x="89"/>
        <item x="358"/>
        <item x="178"/>
        <item x="263"/>
        <item x="249"/>
        <item x="29"/>
        <item x="420"/>
        <item x="353"/>
        <item x="327"/>
        <item x="140"/>
        <item x="343"/>
        <item x="368"/>
        <item x="153"/>
        <item x="284"/>
        <item x="78"/>
        <item t="default"/>
      </items>
    </pivotField>
    <pivotField axis="axisRow" showAll="0">
      <items count="3">
        <item x="0"/>
        <item h="1" x="1"/>
        <item t="default"/>
      </items>
    </pivotField>
    <pivotField showAll="0">
      <items count="15">
        <item h="1" x="1"/>
        <item x="6"/>
        <item h="1" x="0"/>
        <item h="1" x="2"/>
        <item h="1" x="4"/>
        <item h="1" x="8"/>
        <item h="1" x="3"/>
        <item h="1" x="11"/>
        <item h="1" x="7"/>
        <item h="1" x="13"/>
        <item h="1" x="9"/>
        <item h="1" x="12"/>
        <item h="1" x="10"/>
        <item h="1" x="5"/>
        <item t="default"/>
      </items>
    </pivotField>
    <pivotField showAll="0">
      <items count="9">
        <item x="3"/>
        <item x="1"/>
        <item x="0"/>
        <item x="7"/>
        <item x="5"/>
        <item x="2"/>
        <item x="4"/>
        <item x="6"/>
        <item t="default"/>
      </items>
    </pivotField>
    <pivotField dataField="1" numFmtId="4" showAll="0"/>
    <pivotField numFmtId="4"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2">
    <i>
      <x/>
    </i>
    <i t="grand">
      <x/>
    </i>
  </rowItems>
  <colItems count="1">
    <i/>
  </colItems>
  <dataFields count="1">
    <dataField name="Sum of Amount" fld="5"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F3C7BB-BA3C-44EC-85B9-15718206236B}" name="PivotTable5"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rowHeaderCaption="Date">
  <location ref="A28:C42" firstHeaderRow="1" firstDataRow="2" firstDataCol="1"/>
  <pivotFields count="9">
    <pivotField showAll="0"/>
    <pivotField numFmtId="14" showAll="0">
      <items count="437">
        <item x="158"/>
        <item x="2"/>
        <item x="296"/>
        <item x="252"/>
        <item x="79"/>
        <item x="204"/>
        <item x="223"/>
        <item x="83"/>
        <item x="337"/>
        <item x="299"/>
        <item x="98"/>
        <item x="315"/>
        <item x="422"/>
        <item x="197"/>
        <item x="174"/>
        <item x="396"/>
        <item x="434"/>
        <item x="17"/>
        <item x="256"/>
        <item x="150"/>
        <item x="283"/>
        <item x="362"/>
        <item x="136"/>
        <item x="160"/>
        <item x="313"/>
        <item x="258"/>
        <item x="288"/>
        <item x="27"/>
        <item x="317"/>
        <item x="105"/>
        <item x="360"/>
        <item x="115"/>
        <item x="149"/>
        <item x="225"/>
        <item x="333"/>
        <item x="381"/>
        <item x="351"/>
        <item x="319"/>
        <item x="151"/>
        <item x="246"/>
        <item x="366"/>
        <item x="56"/>
        <item x="235"/>
        <item x="232"/>
        <item x="7"/>
        <item x="145"/>
        <item x="262"/>
        <item x="91"/>
        <item x="367"/>
        <item x="259"/>
        <item x="307"/>
        <item x="208"/>
        <item x="374"/>
        <item x="243"/>
        <item x="5"/>
        <item x="275"/>
        <item x="383"/>
        <item x="24"/>
        <item x="404"/>
        <item x="410"/>
        <item x="425"/>
        <item x="210"/>
        <item x="138"/>
        <item x="253"/>
        <item x="359"/>
        <item x="347"/>
        <item x="388"/>
        <item x="251"/>
        <item x="292"/>
        <item x="219"/>
        <item x="86"/>
        <item x="217"/>
        <item x="344"/>
        <item x="352"/>
        <item x="152"/>
        <item x="431"/>
        <item x="326"/>
        <item x="162"/>
        <item x="384"/>
        <item x="75"/>
        <item x="226"/>
        <item x="94"/>
        <item x="398"/>
        <item x="349"/>
        <item x="287"/>
        <item x="182"/>
        <item x="147"/>
        <item x="18"/>
        <item x="286"/>
        <item x="50"/>
        <item x="234"/>
        <item x="244"/>
        <item x="385"/>
        <item x="55"/>
        <item x="45"/>
        <item x="386"/>
        <item x="418"/>
        <item x="236"/>
        <item x="10"/>
        <item x="184"/>
        <item x="156"/>
        <item x="92"/>
        <item x="0"/>
        <item x="220"/>
        <item x="26"/>
        <item x="239"/>
        <item x="209"/>
        <item x="227"/>
        <item x="328"/>
        <item x="169"/>
        <item x="186"/>
        <item x="408"/>
        <item x="325"/>
        <item x="218"/>
        <item x="200"/>
        <item x="130"/>
        <item x="271"/>
        <item x="142"/>
        <item x="126"/>
        <item x="190"/>
        <item x="395"/>
        <item x="172"/>
        <item x="97"/>
        <item x="146"/>
        <item x="161"/>
        <item x="421"/>
        <item x="195"/>
        <item x="415"/>
        <item x="336"/>
        <item x="372"/>
        <item x="254"/>
        <item x="424"/>
        <item x="60"/>
        <item x="48"/>
        <item x="361"/>
        <item x="62"/>
        <item x="247"/>
        <item x="85"/>
        <item x="248"/>
        <item x="118"/>
        <item x="180"/>
        <item x="148"/>
        <item x="211"/>
        <item x="382"/>
        <item x="128"/>
        <item x="3"/>
        <item x="257"/>
        <item x="273"/>
        <item x="393"/>
        <item x="394"/>
        <item x="255"/>
        <item x="230"/>
        <item x="13"/>
        <item x="194"/>
        <item x="59"/>
        <item x="70"/>
        <item x="318"/>
        <item x="107"/>
        <item x="322"/>
        <item x="157"/>
        <item x="44"/>
        <item x="154"/>
        <item x="123"/>
        <item x="63"/>
        <item x="409"/>
        <item x="102"/>
        <item x="302"/>
        <item x="57"/>
        <item x="400"/>
        <item x="378"/>
        <item x="36"/>
        <item x="187"/>
        <item x="242"/>
        <item x="109"/>
        <item x="280"/>
        <item x="25"/>
        <item x="168"/>
        <item x="363"/>
        <item x="380"/>
        <item x="93"/>
        <item x="30"/>
        <item x="114"/>
        <item x="341"/>
        <item x="392"/>
        <item x="133"/>
        <item x="369"/>
        <item x="113"/>
        <item x="357"/>
        <item x="116"/>
        <item x="413"/>
        <item x="414"/>
        <item x="314"/>
        <item x="430"/>
        <item x="312"/>
        <item x="330"/>
        <item x="111"/>
        <item x="428"/>
        <item x="276"/>
        <item x="101"/>
        <item x="4"/>
        <item x="192"/>
        <item x="237"/>
        <item x="77"/>
        <item x="348"/>
        <item x="99"/>
        <item x="316"/>
        <item x="324"/>
        <item x="350"/>
        <item x="291"/>
        <item x="135"/>
        <item x="216"/>
        <item x="108"/>
        <item x="110"/>
        <item x="12"/>
        <item x="401"/>
        <item x="179"/>
        <item x="376"/>
        <item x="66"/>
        <item x="377"/>
        <item x="429"/>
        <item x="355"/>
        <item x="224"/>
        <item x="339"/>
        <item x="163"/>
        <item x="20"/>
        <item x="189"/>
        <item x="51"/>
        <item x="68"/>
        <item x="196"/>
        <item x="38"/>
        <item x="173"/>
        <item x="264"/>
        <item x="42"/>
        <item x="103"/>
        <item x="46"/>
        <item x="134"/>
        <item x="334"/>
        <item x="293"/>
        <item x="37"/>
        <item x="40"/>
        <item x="310"/>
        <item x="8"/>
        <item x="41"/>
        <item x="73"/>
        <item x="389"/>
        <item x="354"/>
        <item x="49"/>
        <item x="6"/>
        <item x="35"/>
        <item x="90"/>
        <item x="231"/>
        <item x="233"/>
        <item x="80"/>
        <item x="267"/>
        <item x="335"/>
        <item x="33"/>
        <item x="412"/>
        <item x="69"/>
        <item x="96"/>
        <item x="129"/>
        <item x="411"/>
        <item x="104"/>
        <item x="206"/>
        <item x="43"/>
        <item x="177"/>
        <item x="240"/>
        <item x="53"/>
        <item x="222"/>
        <item x="188"/>
        <item x="399"/>
        <item x="72"/>
        <item x="117"/>
        <item x="406"/>
        <item x="329"/>
        <item x="171"/>
        <item x="198"/>
        <item x="34"/>
        <item x="331"/>
        <item x="65"/>
        <item x="397"/>
        <item x="308"/>
        <item x="304"/>
        <item x="167"/>
        <item x="82"/>
        <item x="193"/>
        <item x="84"/>
        <item x="277"/>
        <item x="268"/>
        <item x="28"/>
        <item x="345"/>
        <item x="203"/>
        <item x="371"/>
        <item x="121"/>
        <item x="1"/>
        <item x="21"/>
        <item x="61"/>
        <item x="185"/>
        <item x="379"/>
        <item x="16"/>
        <item x="261"/>
        <item x="245"/>
        <item x="266"/>
        <item x="212"/>
        <item x="272"/>
        <item x="364"/>
        <item x="278"/>
        <item x="356"/>
        <item x="269"/>
        <item x="332"/>
        <item x="340"/>
        <item x="64"/>
        <item x="9"/>
        <item x="124"/>
        <item x="281"/>
        <item x="403"/>
        <item x="265"/>
        <item x="402"/>
        <item x="81"/>
        <item x="320"/>
        <item x="241"/>
        <item x="88"/>
        <item x="11"/>
        <item x="201"/>
        <item x="137"/>
        <item x="417"/>
        <item x="19"/>
        <item x="202"/>
        <item x="303"/>
        <item x="159"/>
        <item x="391"/>
        <item x="120"/>
        <item x="390"/>
        <item x="71"/>
        <item x="215"/>
        <item x="435"/>
        <item x="285"/>
        <item x="164"/>
        <item x="423"/>
        <item x="52"/>
        <item x="74"/>
        <item x="106"/>
        <item x="298"/>
        <item x="119"/>
        <item x="141"/>
        <item x="32"/>
        <item x="305"/>
        <item x="207"/>
        <item x="373"/>
        <item x="282"/>
        <item x="122"/>
        <item x="165"/>
        <item x="427"/>
        <item x="67"/>
        <item x="321"/>
        <item x="199"/>
        <item x="23"/>
        <item x="342"/>
        <item x="419"/>
        <item x="279"/>
        <item x="15"/>
        <item x="176"/>
        <item x="405"/>
        <item x="370"/>
        <item x="131"/>
        <item x="155"/>
        <item x="76"/>
        <item x="87"/>
        <item x="260"/>
        <item x="31"/>
        <item x="433"/>
        <item x="290"/>
        <item x="166"/>
        <item x="54"/>
        <item x="170"/>
        <item x="238"/>
        <item x="346"/>
        <item x="139"/>
        <item x="191"/>
        <item x="426"/>
        <item x="112"/>
        <item x="311"/>
        <item x="306"/>
        <item x="309"/>
        <item x="143"/>
        <item x="297"/>
        <item x="301"/>
        <item x="295"/>
        <item x="432"/>
        <item x="228"/>
        <item x="250"/>
        <item x="183"/>
        <item x="270"/>
        <item x="365"/>
        <item x="416"/>
        <item x="300"/>
        <item x="213"/>
        <item x="100"/>
        <item x="58"/>
        <item x="144"/>
        <item x="205"/>
        <item x="127"/>
        <item x="387"/>
        <item x="181"/>
        <item x="289"/>
        <item x="95"/>
        <item x="407"/>
        <item x="221"/>
        <item x="47"/>
        <item x="214"/>
        <item x="39"/>
        <item x="375"/>
        <item x="294"/>
        <item x="338"/>
        <item x="132"/>
        <item x="274"/>
        <item x="323"/>
        <item x="175"/>
        <item x="14"/>
        <item x="125"/>
        <item x="22"/>
        <item x="229"/>
        <item x="89"/>
        <item x="358"/>
        <item x="178"/>
        <item x="263"/>
        <item x="249"/>
        <item x="29"/>
        <item x="420"/>
        <item x="353"/>
        <item x="327"/>
        <item x="140"/>
        <item x="343"/>
        <item x="368"/>
        <item x="153"/>
        <item x="284"/>
        <item x="78"/>
        <item t="default"/>
      </items>
    </pivotField>
    <pivotField axis="axisCol" showAll="0">
      <items count="3">
        <item x="0"/>
        <item h="1" x="1"/>
        <item t="default"/>
      </items>
    </pivotField>
    <pivotField showAll="0">
      <items count="15">
        <item h="1" x="1"/>
        <item x="6"/>
        <item h="1" x="0"/>
        <item h="1" x="2"/>
        <item h="1" x="4"/>
        <item h="1" x="8"/>
        <item h="1" x="3"/>
        <item h="1" x="11"/>
        <item h="1" x="7"/>
        <item h="1" x="13"/>
        <item h="1" x="9"/>
        <item h="1" x="12"/>
        <item h="1" x="10"/>
        <item h="1" x="5"/>
        <item t="default"/>
      </items>
    </pivotField>
    <pivotField showAll="0">
      <items count="9">
        <item x="3"/>
        <item x="1"/>
        <item x="0"/>
        <item x="7"/>
        <item x="5"/>
        <item x="2"/>
        <item x="4"/>
        <item x="6"/>
        <item t="default"/>
      </items>
    </pivotField>
    <pivotField dataField="1" numFmtId="4" showAll="0"/>
    <pivotField numFmtId="4" showAll="0"/>
    <pivotField axis="axisRow" showAll="0">
      <items count="15">
        <item x="0"/>
        <item x="1"/>
        <item x="2"/>
        <item x="3"/>
        <item x="4"/>
        <item x="5"/>
        <item x="6"/>
        <item x="7"/>
        <item x="8"/>
        <item x="9"/>
        <item x="10"/>
        <item x="11"/>
        <item x="12"/>
        <item x="13"/>
        <item t="default"/>
      </items>
    </pivotField>
    <pivotField dragToRow="0" dragToCol="0" dragToPage="0" showAll="0" defaultSubtotal="0"/>
  </pivotFields>
  <rowFields count="1">
    <field x="7"/>
  </rowFields>
  <rowItems count="13">
    <i>
      <x v="1"/>
    </i>
    <i>
      <x v="2"/>
    </i>
    <i>
      <x v="3"/>
    </i>
    <i>
      <x v="4"/>
    </i>
    <i>
      <x v="5"/>
    </i>
    <i>
      <x v="6"/>
    </i>
    <i>
      <x v="7"/>
    </i>
    <i>
      <x v="8"/>
    </i>
    <i>
      <x v="9"/>
    </i>
    <i>
      <x v="10"/>
    </i>
    <i>
      <x v="11"/>
    </i>
    <i>
      <x v="12"/>
    </i>
    <i t="grand">
      <x/>
    </i>
  </rowItems>
  <colFields count="1">
    <field x="2"/>
  </colFields>
  <colItems count="2">
    <i>
      <x/>
    </i>
    <i t="grand">
      <x/>
    </i>
  </colItems>
  <dataFields count="1">
    <dataField name="Sum of Amount" fld="5" baseField="0" baseItem="0" numFmtId="4"/>
  </dataFields>
  <chartFormats count="3">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B7D8A27D-83F3-4808-9485-616BF2771BA7}" sourceName="Type">
  <pivotTables>
    <pivotTable tabId="2" name="PivotTable4"/>
    <pivotTable tabId="2" name="PivotTable1"/>
    <pivotTable tabId="2" name="PivotTable2"/>
    <pivotTable tabId="2" name="PivotTable3"/>
    <pivotTable tabId="2" name="PivotTable5"/>
    <pivotTable tabId="2" name="PivotTable6"/>
    <pivotTable tabId="2" name="PivotTable7"/>
  </pivotTables>
  <data>
    <tabular pivotCacheId="1102503313">
      <items count="2">
        <i x="0" s="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5CCE6B-47F7-49AF-B6DF-EB3477968ECE}" sourceName="Department">
  <pivotTables>
    <pivotTable tabId="2" name="PivotTable4"/>
    <pivotTable tabId="2" name="PivotTable1"/>
    <pivotTable tabId="2" name="PivotTable2"/>
    <pivotTable tabId="2" name="PivotTable3"/>
    <pivotTable tabId="2" name="PivotTable5"/>
    <pivotTable tabId="2" name="PivotTable6"/>
    <pivotTable tabId="2" name="PivotTable7"/>
  </pivotTables>
  <data>
    <tabular pivotCacheId="1102503313">
      <items count="8">
        <i x="3" s="1"/>
        <i x="1" s="1"/>
        <i x="0" s="1"/>
        <i x="7" s="1"/>
        <i x="5" s="1"/>
        <i x="2"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389A7F5-6F51-464E-8E4E-BAEAB884C6A1}" sourceName="Category">
  <pivotTables>
    <pivotTable tabId="2" name="PivotTable6"/>
    <pivotTable tabId="2" name="PivotTable1"/>
    <pivotTable tabId="2" name="PivotTable2"/>
    <pivotTable tabId="2" name="PivotTable3"/>
    <pivotTable tabId="2" name="PivotTable4"/>
    <pivotTable tabId="2" name="PivotTable5"/>
    <pivotTable tabId="2" name="PivotTable7"/>
  </pivotTables>
  <data>
    <tabular pivotCacheId="1102503313">
      <items count="14">
        <i x="1"/>
        <i x="6" s="1"/>
        <i x="0"/>
        <i x="8"/>
        <i x="3"/>
        <i x="11"/>
        <i x="13"/>
        <i x="12"/>
        <i x="10"/>
        <i x="5"/>
        <i x="2" nd="1"/>
        <i x="4" nd="1"/>
        <i x="7" nd="1"/>
        <i x="9"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48946D5A-7AF3-4245-9F33-8845B79C01BC}" cache="Slicer_Type" caption="Type" rowHeight="234950"/>
  <slicer name="Department" xr10:uid="{A74918C9-CD61-4EEB-B7C3-32CF23A49686}" cache="Slicer_Department" caption="Department" rowHeight="234950"/>
  <slicer name="Category" xr10:uid="{D80851B1-8781-4492-94BF-3D9E6DC8E9F2}"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EBBB371-FDC9-47EC-962B-ECD290531978}" name="Table1" displayName="Table1" ref="A1:G701" totalsRowShown="0" headerRowDxfId="11" headerRowBorderDxfId="10" tableBorderDxfId="9" totalsRowBorderDxfId="8">
  <autoFilter ref="A1:G701" xr:uid="{4EBBB371-FDC9-47EC-962B-ECD290531978}"/>
  <tableColumns count="7">
    <tableColumn id="1" xr3:uid="{635AD051-6521-452E-822C-BA4358C32F12}" name="Transaction ID" dataDxfId="7"/>
    <tableColumn id="2" xr3:uid="{3651754C-BF87-4F1C-B32E-05569A95C70F}" name="Date" dataDxfId="6"/>
    <tableColumn id="3" xr3:uid="{1C90431B-B4C5-4DD5-B804-A7D7C1F9D175}" name="Type" dataDxfId="5"/>
    <tableColumn id="4" xr3:uid="{A7999554-CB36-431F-BAA3-12C338F62BE2}" name="Category" dataDxfId="4"/>
    <tableColumn id="5" xr3:uid="{E9C74D4F-BE26-40D7-86CE-A86DF7676BBC}" name="Department" dataDxfId="3"/>
    <tableColumn id="6" xr3:uid="{D57B9A47-D93E-43E8-A86B-D84BA72A2239}" name="Amount" dataDxfId="2"/>
    <tableColumn id="7" xr3:uid="{17F9B217-06E9-4348-B759-773D95A6A57B}" name="Budgeted Amount"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DCE4C17-C4AB-42CF-9E14-9AE2DDF4675F}" sourceName="Date">
  <pivotTables>
    <pivotTable tabId="2" name="PivotTable5"/>
  </pivotTables>
  <state minimalRefreshVersion="6" lastRefreshVersion="6" pivotCacheId="1102503313"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4DF3128-29EF-4CF4-A752-772E3EB29791}" cache="NativeTimeline_Date" caption="Date" level="0" selectionLevel="0" scrollPosition="2023-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D324E-B658-4FFA-9527-26A0C9F10A06}">
  <dimension ref="A2:H42"/>
  <sheetViews>
    <sheetView zoomScale="87" workbookViewId="0">
      <selection activeCell="I11" sqref="I11"/>
    </sheetView>
  </sheetViews>
  <sheetFormatPr defaultRowHeight="14.4" x14ac:dyDescent="0.3"/>
  <cols>
    <col min="1" max="1" width="14.77734375" bestFit="1" customWidth="1"/>
    <col min="2" max="2" width="16.109375" bestFit="1" customWidth="1"/>
    <col min="3" max="3" width="11.6640625" bestFit="1" customWidth="1"/>
    <col min="4" max="4" width="3.5546875" customWidth="1"/>
    <col min="5" max="5" width="14.77734375" bestFit="1" customWidth="1"/>
    <col min="6" max="6" width="16.109375" bestFit="1" customWidth="1"/>
    <col min="7" max="7" width="11.6640625" bestFit="1" customWidth="1"/>
    <col min="8" max="8" width="15" bestFit="1" customWidth="1"/>
    <col min="9" max="9" width="32.6640625" bestFit="1" customWidth="1"/>
    <col min="10" max="10" width="21.21875" bestFit="1" customWidth="1"/>
    <col min="11" max="11" width="14.44140625" bestFit="1" customWidth="1"/>
    <col min="15" max="15" width="14.44140625" bestFit="1" customWidth="1"/>
    <col min="16" max="16" width="15.5546875" bestFit="1" customWidth="1"/>
    <col min="17" max="17" width="13.33203125" bestFit="1" customWidth="1"/>
    <col min="18" max="18" width="14.33203125" bestFit="1" customWidth="1"/>
    <col min="20" max="20" width="18.5546875" bestFit="1" customWidth="1"/>
    <col min="21" max="21" width="14.44140625" bestFit="1" customWidth="1"/>
    <col min="22" max="22" width="23.21875" bestFit="1" customWidth="1"/>
  </cols>
  <sheetData>
    <row r="2" spans="1:6" x14ac:dyDescent="0.3">
      <c r="A2" s="3" t="s">
        <v>38</v>
      </c>
      <c r="B2" s="3" t="s">
        <v>41</v>
      </c>
      <c r="E2" s="3" t="s">
        <v>4</v>
      </c>
      <c r="F2" t="s">
        <v>38</v>
      </c>
    </row>
    <row r="3" spans="1:6" x14ac:dyDescent="0.3">
      <c r="A3" s="3" t="s">
        <v>4</v>
      </c>
      <c r="B3" t="s">
        <v>7</v>
      </c>
      <c r="C3" t="s">
        <v>40</v>
      </c>
      <c r="E3" s="4" t="s">
        <v>15</v>
      </c>
      <c r="F3" s="1">
        <v>977809.81</v>
      </c>
    </row>
    <row r="4" spans="1:6" x14ac:dyDescent="0.3">
      <c r="A4" s="4" t="s">
        <v>15</v>
      </c>
      <c r="B4" s="1">
        <v>977809.81</v>
      </c>
      <c r="C4" s="1">
        <v>977809.81</v>
      </c>
      <c r="E4" s="4" t="s">
        <v>11</v>
      </c>
      <c r="F4" s="1">
        <v>1202020.04</v>
      </c>
    </row>
    <row r="5" spans="1:6" x14ac:dyDescent="0.3">
      <c r="A5" s="4" t="s">
        <v>11</v>
      </c>
      <c r="B5" s="1">
        <v>1202020.04</v>
      </c>
      <c r="C5" s="1">
        <v>1202020.04</v>
      </c>
      <c r="E5" s="4" t="s">
        <v>9</v>
      </c>
      <c r="F5" s="1">
        <v>721663.74</v>
      </c>
    </row>
    <row r="6" spans="1:6" x14ac:dyDescent="0.3">
      <c r="A6" s="4" t="s">
        <v>9</v>
      </c>
      <c r="B6" s="1">
        <v>721663.74</v>
      </c>
      <c r="C6" s="1">
        <v>721663.74</v>
      </c>
      <c r="E6" s="4" t="s">
        <v>27</v>
      </c>
      <c r="F6" s="1">
        <v>799617.77</v>
      </c>
    </row>
    <row r="7" spans="1:6" x14ac:dyDescent="0.3">
      <c r="A7" s="4" t="s">
        <v>27</v>
      </c>
      <c r="B7" s="1">
        <v>799617.77</v>
      </c>
      <c r="C7" s="1">
        <v>799617.77</v>
      </c>
      <c r="E7" s="4" t="s">
        <v>19</v>
      </c>
      <c r="F7" s="1">
        <v>1246532.8400000001</v>
      </c>
    </row>
    <row r="8" spans="1:6" x14ac:dyDescent="0.3">
      <c r="A8" s="4" t="s">
        <v>19</v>
      </c>
      <c r="B8" s="1">
        <v>1246532.8400000001</v>
      </c>
      <c r="C8" s="1">
        <v>1246532.8400000001</v>
      </c>
      <c r="E8" s="4" t="s">
        <v>14</v>
      </c>
      <c r="F8" s="1">
        <v>1383378.0400000003</v>
      </c>
    </row>
    <row r="9" spans="1:6" x14ac:dyDescent="0.3">
      <c r="A9" s="4" t="s">
        <v>14</v>
      </c>
      <c r="B9" s="1">
        <v>1383378.0400000003</v>
      </c>
      <c r="C9" s="1">
        <v>1383378.0400000003</v>
      </c>
      <c r="E9" s="4" t="s">
        <v>17</v>
      </c>
      <c r="F9" s="1">
        <v>1394247.44</v>
      </c>
    </row>
    <row r="10" spans="1:6" x14ac:dyDescent="0.3">
      <c r="A10" s="4" t="s">
        <v>17</v>
      </c>
      <c r="B10" s="1">
        <v>1394247.44</v>
      </c>
      <c r="C10" s="1">
        <v>1394247.44</v>
      </c>
      <c r="E10" s="4" t="s">
        <v>21</v>
      </c>
      <c r="F10" s="1">
        <v>562809.57000000007</v>
      </c>
    </row>
    <row r="11" spans="1:6" x14ac:dyDescent="0.3">
      <c r="A11" s="4" t="s">
        <v>21</v>
      </c>
      <c r="B11" s="1">
        <v>562809.57000000007</v>
      </c>
      <c r="C11" s="1">
        <v>562809.57000000007</v>
      </c>
      <c r="E11" s="4" t="s">
        <v>40</v>
      </c>
      <c r="F11" s="1">
        <v>8288079.25</v>
      </c>
    </row>
    <row r="12" spans="1:6" x14ac:dyDescent="0.3">
      <c r="A12" s="4" t="s">
        <v>40</v>
      </c>
      <c r="B12" s="1">
        <v>8288079.25</v>
      </c>
      <c r="C12" s="1">
        <v>8288079.25</v>
      </c>
    </row>
    <row r="13" spans="1:6" x14ac:dyDescent="0.3">
      <c r="E13" s="3" t="s">
        <v>39</v>
      </c>
      <c r="F13" t="s">
        <v>38</v>
      </c>
    </row>
    <row r="14" spans="1:6" x14ac:dyDescent="0.3">
      <c r="A14" s="3" t="s">
        <v>56</v>
      </c>
      <c r="B14" t="s">
        <v>38</v>
      </c>
      <c r="E14" s="4" t="s">
        <v>7</v>
      </c>
      <c r="F14" s="1">
        <v>8288079.2500000009</v>
      </c>
    </row>
    <row r="15" spans="1:6" x14ac:dyDescent="0.3">
      <c r="A15" s="4" t="s">
        <v>22</v>
      </c>
      <c r="B15" s="1">
        <v>8288079.2500000009</v>
      </c>
      <c r="E15" s="4" t="s">
        <v>40</v>
      </c>
      <c r="F15" s="1">
        <v>8288079.2500000009</v>
      </c>
    </row>
    <row r="16" spans="1:6" x14ac:dyDescent="0.3">
      <c r="A16" s="4" t="s">
        <v>40</v>
      </c>
      <c r="B16" s="1">
        <v>8288079.2500000009</v>
      </c>
    </row>
    <row r="17" spans="1:7" x14ac:dyDescent="0.3">
      <c r="E17" s="3" t="s">
        <v>38</v>
      </c>
      <c r="F17" s="3" t="s">
        <v>41</v>
      </c>
    </row>
    <row r="18" spans="1:7" x14ac:dyDescent="0.3">
      <c r="E18" s="3" t="s">
        <v>1</v>
      </c>
      <c r="F18" t="s">
        <v>7</v>
      </c>
      <c r="G18" t="s">
        <v>40</v>
      </c>
    </row>
    <row r="19" spans="1:7" x14ac:dyDescent="0.3">
      <c r="E19" s="4" t="s">
        <v>42</v>
      </c>
      <c r="F19" s="1">
        <v>717445.73</v>
      </c>
      <c r="G19" s="1">
        <v>717445.73</v>
      </c>
    </row>
    <row r="20" spans="1:7" x14ac:dyDescent="0.3">
      <c r="E20" s="4" t="s">
        <v>43</v>
      </c>
      <c r="F20" s="1">
        <v>1124085.1399999999</v>
      </c>
      <c r="G20" s="1">
        <v>1124085.1399999999</v>
      </c>
    </row>
    <row r="21" spans="1:7" x14ac:dyDescent="0.3">
      <c r="E21" s="4" t="s">
        <v>44</v>
      </c>
      <c r="F21" s="1">
        <v>1030691.7100000001</v>
      </c>
      <c r="G21" s="1">
        <v>1030691.7100000001</v>
      </c>
    </row>
    <row r="22" spans="1:7" x14ac:dyDescent="0.3">
      <c r="E22" s="4" t="s">
        <v>45</v>
      </c>
      <c r="F22" s="1">
        <v>838708.74</v>
      </c>
      <c r="G22" s="1">
        <v>838708.74</v>
      </c>
    </row>
    <row r="23" spans="1:7" x14ac:dyDescent="0.3">
      <c r="E23" s="4" t="s">
        <v>46</v>
      </c>
      <c r="F23" s="1">
        <v>521530.05000000005</v>
      </c>
      <c r="G23" s="1">
        <v>521530.05000000005</v>
      </c>
    </row>
    <row r="24" spans="1:7" x14ac:dyDescent="0.3">
      <c r="E24" s="4" t="s">
        <v>47</v>
      </c>
      <c r="F24" s="1">
        <v>272753.89</v>
      </c>
      <c r="G24" s="1">
        <v>272753.89</v>
      </c>
    </row>
    <row r="25" spans="1:7" x14ac:dyDescent="0.3">
      <c r="E25" s="4" t="s">
        <v>48</v>
      </c>
      <c r="F25" s="1">
        <v>651058.16</v>
      </c>
      <c r="G25" s="1">
        <v>651058.16</v>
      </c>
    </row>
    <row r="26" spans="1:7" x14ac:dyDescent="0.3">
      <c r="E26" s="4" t="s">
        <v>49</v>
      </c>
      <c r="F26" s="1">
        <v>597938.6399999999</v>
      </c>
      <c r="G26" s="1">
        <v>597938.6399999999</v>
      </c>
    </row>
    <row r="27" spans="1:7" x14ac:dyDescent="0.3">
      <c r="E27" s="4" t="s">
        <v>50</v>
      </c>
      <c r="F27" s="1">
        <v>296515.63</v>
      </c>
      <c r="G27" s="1">
        <v>296515.63</v>
      </c>
    </row>
    <row r="28" spans="1:7" x14ac:dyDescent="0.3">
      <c r="A28" s="3" t="s">
        <v>38</v>
      </c>
      <c r="B28" s="3" t="s">
        <v>41</v>
      </c>
      <c r="E28" s="4" t="s">
        <v>51</v>
      </c>
      <c r="F28" s="1">
        <v>827711.08</v>
      </c>
      <c r="G28" s="1">
        <v>827711.08</v>
      </c>
    </row>
    <row r="29" spans="1:7" x14ac:dyDescent="0.3">
      <c r="A29" s="3" t="s">
        <v>1</v>
      </c>
      <c r="B29" t="s">
        <v>7</v>
      </c>
      <c r="C29" t="s">
        <v>40</v>
      </c>
      <c r="E29" s="4" t="s">
        <v>52</v>
      </c>
      <c r="F29" s="1">
        <v>1062929.54</v>
      </c>
      <c r="G29" s="1">
        <v>1062929.54</v>
      </c>
    </row>
    <row r="30" spans="1:7" x14ac:dyDescent="0.3">
      <c r="A30" s="4" t="s">
        <v>42</v>
      </c>
      <c r="B30" s="1">
        <v>717445.73</v>
      </c>
      <c r="C30" s="1">
        <v>717445.73</v>
      </c>
      <c r="E30" s="4" t="s">
        <v>53</v>
      </c>
      <c r="F30" s="1">
        <v>346710.94</v>
      </c>
      <c r="G30" s="1">
        <v>346710.94</v>
      </c>
    </row>
    <row r="31" spans="1:7" x14ac:dyDescent="0.3">
      <c r="A31" s="4" t="s">
        <v>43</v>
      </c>
      <c r="B31" s="1">
        <v>1124085.1399999999</v>
      </c>
      <c r="C31" s="1">
        <v>1124085.1399999999</v>
      </c>
      <c r="E31" s="4" t="s">
        <v>40</v>
      </c>
      <c r="F31" s="1">
        <v>8288079.25</v>
      </c>
      <c r="G31" s="1">
        <v>8288079.25</v>
      </c>
    </row>
    <row r="32" spans="1:7" x14ac:dyDescent="0.3">
      <c r="A32" s="4" t="s">
        <v>44</v>
      </c>
      <c r="B32" s="1">
        <v>1030691.7100000001</v>
      </c>
      <c r="C32" s="1">
        <v>1030691.7100000001</v>
      </c>
    </row>
    <row r="33" spans="1:8" x14ac:dyDescent="0.3">
      <c r="A33" s="4" t="s">
        <v>45</v>
      </c>
      <c r="B33" s="1">
        <v>838708.74</v>
      </c>
      <c r="C33" s="1">
        <v>838708.74</v>
      </c>
      <c r="E33" s="3" t="s">
        <v>3</v>
      </c>
      <c r="F33" t="s">
        <v>38</v>
      </c>
      <c r="G33" t="s">
        <v>54</v>
      </c>
      <c r="H33" t="s">
        <v>55</v>
      </c>
    </row>
    <row r="34" spans="1:8" x14ac:dyDescent="0.3">
      <c r="A34" s="4" t="s">
        <v>46</v>
      </c>
      <c r="B34" s="1">
        <v>521530.05000000005</v>
      </c>
      <c r="C34" s="1">
        <v>521530.05000000005</v>
      </c>
      <c r="E34" s="4" t="s">
        <v>22</v>
      </c>
      <c r="F34" s="1">
        <v>8288079.2500000009</v>
      </c>
      <c r="G34" s="1">
        <v>8924105.3099999987</v>
      </c>
      <c r="H34" s="1">
        <v>-636026.05999999773</v>
      </c>
    </row>
    <row r="35" spans="1:8" x14ac:dyDescent="0.3">
      <c r="A35" s="4" t="s">
        <v>47</v>
      </c>
      <c r="B35" s="1">
        <v>272753.89</v>
      </c>
      <c r="C35" s="1">
        <v>272753.89</v>
      </c>
      <c r="E35" s="4" t="s">
        <v>40</v>
      </c>
      <c r="F35" s="1">
        <v>8288079.2500000009</v>
      </c>
      <c r="G35" s="1">
        <v>8924105.3099999987</v>
      </c>
      <c r="H35" s="1">
        <v>-636026.05999999773</v>
      </c>
    </row>
    <row r="36" spans="1:8" x14ac:dyDescent="0.3">
      <c r="A36" s="4" t="s">
        <v>48</v>
      </c>
      <c r="B36" s="1">
        <v>651058.16</v>
      </c>
      <c r="C36" s="1">
        <v>651058.16</v>
      </c>
    </row>
    <row r="37" spans="1:8" x14ac:dyDescent="0.3">
      <c r="A37" s="4" t="s">
        <v>49</v>
      </c>
      <c r="B37" s="1">
        <v>597938.6399999999</v>
      </c>
      <c r="C37" s="1">
        <v>597938.6399999999</v>
      </c>
    </row>
    <row r="38" spans="1:8" x14ac:dyDescent="0.3">
      <c r="A38" s="4" t="s">
        <v>50</v>
      </c>
      <c r="B38" s="1">
        <v>296515.63</v>
      </c>
      <c r="C38" s="1">
        <v>296515.63</v>
      </c>
    </row>
    <row r="39" spans="1:8" x14ac:dyDescent="0.3">
      <c r="A39" s="4" t="s">
        <v>51</v>
      </c>
      <c r="B39" s="1">
        <v>827711.08</v>
      </c>
      <c r="C39" s="1">
        <v>827711.08</v>
      </c>
    </row>
    <row r="40" spans="1:8" x14ac:dyDescent="0.3">
      <c r="A40" s="4" t="s">
        <v>52</v>
      </c>
      <c r="B40" s="1">
        <v>1062929.54</v>
      </c>
      <c r="C40" s="1">
        <v>1062929.54</v>
      </c>
    </row>
    <row r="41" spans="1:8" x14ac:dyDescent="0.3">
      <c r="A41" s="4" t="s">
        <v>53</v>
      </c>
      <c r="B41" s="1">
        <v>346710.94</v>
      </c>
      <c r="C41" s="1">
        <v>346710.94</v>
      </c>
    </row>
    <row r="42" spans="1:8" x14ac:dyDescent="0.3">
      <c r="A42" s="4" t="s">
        <v>40</v>
      </c>
      <c r="B42" s="1">
        <v>8288079.25</v>
      </c>
      <c r="C42" s="1">
        <v>8288079.25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0AFE8-263C-402D-8637-B7BCE888DE49}">
  <dimension ref="O19"/>
  <sheetViews>
    <sheetView showGridLines="0" showRowColHeaders="0" topLeftCell="A2" zoomScale="103" workbookViewId="0">
      <selection activeCell="O19" sqref="O19"/>
    </sheetView>
  </sheetViews>
  <sheetFormatPr defaultRowHeight="14.4" x14ac:dyDescent="0.3"/>
  <sheetData>
    <row r="19" spans="15:15" x14ac:dyDescent="0.3">
      <c r="O19" t="s">
        <v>57</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1"/>
  <sheetViews>
    <sheetView tabSelected="1" workbookViewId="0">
      <selection activeCell="F13" sqref="F13"/>
    </sheetView>
  </sheetViews>
  <sheetFormatPr defaultRowHeight="14.4" x14ac:dyDescent="0.3"/>
  <cols>
    <col min="1" max="1" width="16.77734375" customWidth="1"/>
    <col min="2" max="2" width="14" style="2" customWidth="1"/>
    <col min="3" max="3" width="12" customWidth="1"/>
    <col min="4" max="4" width="20" customWidth="1"/>
    <col min="5" max="6" width="16" customWidth="1"/>
    <col min="7" max="7" width="20.5546875" customWidth="1"/>
    <col min="10" max="10" width="20.44140625" bestFit="1" customWidth="1"/>
    <col min="11" max="11" width="11" bestFit="1" customWidth="1"/>
  </cols>
  <sheetData>
    <row r="1" spans="1:11" x14ac:dyDescent="0.3">
      <c r="A1" s="6" t="s">
        <v>0</v>
      </c>
      <c r="B1" s="7" t="s">
        <v>1</v>
      </c>
      <c r="C1" s="8" t="s">
        <v>2</v>
      </c>
      <c r="D1" s="8" t="s">
        <v>3</v>
      </c>
      <c r="E1" s="8" t="s">
        <v>4</v>
      </c>
      <c r="F1" s="8" t="s">
        <v>5</v>
      </c>
      <c r="G1" s="9" t="s">
        <v>6</v>
      </c>
    </row>
    <row r="2" spans="1:11" x14ac:dyDescent="0.3">
      <c r="A2" s="10">
        <v>5001</v>
      </c>
      <c r="B2" s="11">
        <v>45095</v>
      </c>
      <c r="C2" s="5" t="s">
        <v>7</v>
      </c>
      <c r="D2" s="5" t="s">
        <v>8</v>
      </c>
      <c r="E2" s="5" t="s">
        <v>9</v>
      </c>
      <c r="F2" s="12">
        <v>12498.41</v>
      </c>
      <c r="G2" s="13">
        <v>11703.58</v>
      </c>
      <c r="J2" s="5" t="s">
        <v>31</v>
      </c>
      <c r="K2" s="5">
        <f>SUMIF(C:C,"revenue",F:F)</f>
        <v>65590359.609999985</v>
      </c>
    </row>
    <row r="3" spans="1:11" x14ac:dyDescent="0.3">
      <c r="A3" s="10">
        <v>5002</v>
      </c>
      <c r="B3" s="11">
        <v>45413</v>
      </c>
      <c r="C3" s="5" t="s">
        <v>7</v>
      </c>
      <c r="D3" s="5" t="s">
        <v>10</v>
      </c>
      <c r="E3" s="5" t="s">
        <v>11</v>
      </c>
      <c r="F3" s="12">
        <v>128745.62</v>
      </c>
      <c r="G3" s="13">
        <v>121590.27</v>
      </c>
      <c r="J3" s="5" t="s">
        <v>32</v>
      </c>
      <c r="K3" s="5">
        <f>SUMIF(C:C,"expense",F:F)</f>
        <v>46045315.160000011</v>
      </c>
    </row>
    <row r="4" spans="1:11" x14ac:dyDescent="0.3">
      <c r="A4" s="10">
        <v>5003</v>
      </c>
      <c r="B4" s="11">
        <v>44930</v>
      </c>
      <c r="C4" s="5" t="s">
        <v>12</v>
      </c>
      <c r="D4" s="5" t="s">
        <v>13</v>
      </c>
      <c r="E4" s="5" t="s">
        <v>14</v>
      </c>
      <c r="F4" s="12">
        <v>89562.61</v>
      </c>
      <c r="G4" s="13">
        <v>103044.3</v>
      </c>
      <c r="J4" s="5" t="s">
        <v>33</v>
      </c>
      <c r="K4" s="5">
        <f>K2-K3</f>
        <v>19545044.449999973</v>
      </c>
    </row>
    <row r="5" spans="1:11" x14ac:dyDescent="0.3">
      <c r="A5" s="10">
        <v>5004</v>
      </c>
      <c r="B5" s="11">
        <v>45165</v>
      </c>
      <c r="C5" s="5" t="s">
        <v>7</v>
      </c>
      <c r="D5" s="5" t="s">
        <v>8</v>
      </c>
      <c r="E5" s="5" t="s">
        <v>15</v>
      </c>
      <c r="F5" s="12">
        <v>15781.36</v>
      </c>
      <c r="G5" s="13">
        <v>13629.22</v>
      </c>
      <c r="J5" s="5" t="s">
        <v>34</v>
      </c>
      <c r="K5" s="5">
        <f>K4/K2*100</f>
        <v>29.798654201950907</v>
      </c>
    </row>
    <row r="6" spans="1:11" x14ac:dyDescent="0.3">
      <c r="A6" s="10">
        <v>5005</v>
      </c>
      <c r="B6" s="11">
        <v>45263</v>
      </c>
      <c r="C6" s="5" t="s">
        <v>7</v>
      </c>
      <c r="D6" s="5" t="s">
        <v>16</v>
      </c>
      <c r="E6" s="5" t="s">
        <v>17</v>
      </c>
      <c r="F6" s="12">
        <v>32786.9</v>
      </c>
      <c r="G6" s="13">
        <v>37587.19</v>
      </c>
      <c r="J6" s="5" t="s">
        <v>35</v>
      </c>
      <c r="K6" s="5">
        <f>SUM(G:G)</f>
        <v>118202152.42000003</v>
      </c>
    </row>
    <row r="7" spans="1:11" x14ac:dyDescent="0.3">
      <c r="A7" s="10">
        <v>5006</v>
      </c>
      <c r="B7" s="11">
        <v>45017</v>
      </c>
      <c r="C7" s="5" t="s">
        <v>12</v>
      </c>
      <c r="D7" s="5" t="s">
        <v>18</v>
      </c>
      <c r="E7" s="5" t="s">
        <v>19</v>
      </c>
      <c r="F7" s="12">
        <v>97327.33</v>
      </c>
      <c r="G7" s="13">
        <v>111087.78</v>
      </c>
      <c r="J7" s="5" t="s">
        <v>36</v>
      </c>
      <c r="K7" s="5">
        <f>K8-K6</f>
        <v>-6566477.650000006</v>
      </c>
    </row>
    <row r="8" spans="1:11" x14ac:dyDescent="0.3">
      <c r="A8" s="10">
        <v>5007</v>
      </c>
      <c r="B8" s="11">
        <v>45337</v>
      </c>
      <c r="C8" s="5" t="s">
        <v>7</v>
      </c>
      <c r="D8" s="5" t="s">
        <v>20</v>
      </c>
      <c r="E8" s="5" t="s">
        <v>21</v>
      </c>
      <c r="F8" s="12">
        <v>21447.97</v>
      </c>
      <c r="G8" s="13">
        <v>25266.95</v>
      </c>
      <c r="J8" s="5" t="s">
        <v>37</v>
      </c>
      <c r="K8" s="5">
        <f>SUM(F:F)</f>
        <v>111635674.77000003</v>
      </c>
    </row>
    <row r="9" spans="1:11" x14ac:dyDescent="0.3">
      <c r="A9" s="10">
        <v>5008</v>
      </c>
      <c r="B9" s="11">
        <v>45003</v>
      </c>
      <c r="C9" s="5" t="s">
        <v>7</v>
      </c>
      <c r="D9" s="5" t="s">
        <v>22</v>
      </c>
      <c r="E9" s="5" t="s">
        <v>14</v>
      </c>
      <c r="F9" s="12">
        <v>45518.58</v>
      </c>
      <c r="G9" s="13">
        <v>47363.46</v>
      </c>
    </row>
    <row r="10" spans="1:11" x14ac:dyDescent="0.3">
      <c r="A10" s="10">
        <v>5009</v>
      </c>
      <c r="B10" s="11">
        <v>45324</v>
      </c>
      <c r="C10" s="5" t="s">
        <v>12</v>
      </c>
      <c r="D10" s="5" t="s">
        <v>23</v>
      </c>
      <c r="E10" s="5" t="s">
        <v>15</v>
      </c>
      <c r="F10" s="12">
        <v>160153.9</v>
      </c>
      <c r="G10" s="13">
        <v>197278.11</v>
      </c>
    </row>
    <row r="11" spans="1:11" x14ac:dyDescent="0.3">
      <c r="A11" s="10">
        <v>5010</v>
      </c>
      <c r="B11" s="11">
        <v>45440</v>
      </c>
      <c r="C11" s="5" t="s">
        <v>7</v>
      </c>
      <c r="D11" s="5" t="s">
        <v>24</v>
      </c>
      <c r="E11" s="5" t="s">
        <v>15</v>
      </c>
      <c r="F11" s="12">
        <v>60483.88</v>
      </c>
      <c r="G11" s="13">
        <v>71591.64</v>
      </c>
    </row>
    <row r="12" spans="1:11" x14ac:dyDescent="0.3">
      <c r="A12" s="10">
        <v>5011</v>
      </c>
      <c r="B12" s="11">
        <v>45089</v>
      </c>
      <c r="C12" s="5" t="s">
        <v>7</v>
      </c>
      <c r="D12" s="5" t="s">
        <v>24</v>
      </c>
      <c r="E12" s="5" t="s">
        <v>21</v>
      </c>
      <c r="F12" s="12">
        <v>103392.53</v>
      </c>
      <c r="G12" s="13">
        <v>110647.83</v>
      </c>
    </row>
    <row r="13" spans="1:11" x14ac:dyDescent="0.3">
      <c r="A13" s="10">
        <v>5012</v>
      </c>
      <c r="B13" s="11">
        <v>45461</v>
      </c>
      <c r="C13" s="5" t="s">
        <v>12</v>
      </c>
      <c r="D13" s="5" t="s">
        <v>25</v>
      </c>
      <c r="E13" s="5" t="s">
        <v>14</v>
      </c>
      <c r="F13" s="12">
        <v>106725.13</v>
      </c>
      <c r="G13" s="13">
        <v>97977.59</v>
      </c>
    </row>
    <row r="14" spans="1:11" x14ac:dyDescent="0.3">
      <c r="A14" s="10">
        <v>5013</v>
      </c>
      <c r="B14" s="11">
        <v>45283</v>
      </c>
      <c r="C14" s="5" t="s">
        <v>7</v>
      </c>
      <c r="D14" s="5" t="s">
        <v>26</v>
      </c>
      <c r="E14" s="5" t="s">
        <v>17</v>
      </c>
      <c r="F14" s="12">
        <v>61424.47</v>
      </c>
      <c r="G14" s="13">
        <v>75053.42</v>
      </c>
    </row>
    <row r="15" spans="1:11" x14ac:dyDescent="0.3">
      <c r="A15" s="10">
        <v>5014</v>
      </c>
      <c r="B15" s="11">
        <v>45178</v>
      </c>
      <c r="C15" s="5" t="s">
        <v>12</v>
      </c>
      <c r="D15" s="5" t="s">
        <v>18</v>
      </c>
      <c r="E15" s="5" t="s">
        <v>11</v>
      </c>
      <c r="F15" s="12">
        <v>392968.92</v>
      </c>
      <c r="G15" s="13">
        <v>392949.36</v>
      </c>
    </row>
    <row r="16" spans="1:11" x14ac:dyDescent="0.3">
      <c r="A16" s="10">
        <v>5015</v>
      </c>
      <c r="B16" s="11">
        <v>45626</v>
      </c>
      <c r="C16" s="5" t="s">
        <v>12</v>
      </c>
      <c r="D16" s="5" t="s">
        <v>23</v>
      </c>
      <c r="E16" s="5" t="s">
        <v>15</v>
      </c>
      <c r="F16" s="12">
        <v>460536.23</v>
      </c>
      <c r="G16" s="13">
        <v>421498.64</v>
      </c>
    </row>
    <row r="17" spans="1:7" x14ac:dyDescent="0.3">
      <c r="A17" s="10">
        <v>5016</v>
      </c>
      <c r="B17" s="11">
        <v>45531</v>
      </c>
      <c r="C17" s="5" t="s">
        <v>12</v>
      </c>
      <c r="D17" s="5" t="s">
        <v>25</v>
      </c>
      <c r="E17" s="5" t="s">
        <v>19</v>
      </c>
      <c r="F17" s="12">
        <v>262944.28000000003</v>
      </c>
      <c r="G17" s="13">
        <v>293649.46000000002</v>
      </c>
    </row>
    <row r="18" spans="1:7" x14ac:dyDescent="0.3">
      <c r="A18" s="10">
        <v>5017</v>
      </c>
      <c r="B18" s="11">
        <v>45178</v>
      </c>
      <c r="C18" s="5" t="s">
        <v>12</v>
      </c>
      <c r="D18" s="5" t="s">
        <v>18</v>
      </c>
      <c r="E18" s="5" t="s">
        <v>19</v>
      </c>
      <c r="F18" s="12">
        <v>406535.25</v>
      </c>
      <c r="G18" s="13">
        <v>471404.72</v>
      </c>
    </row>
    <row r="19" spans="1:7" x14ac:dyDescent="0.3">
      <c r="A19" s="10">
        <v>5018</v>
      </c>
      <c r="B19" s="11">
        <v>45421</v>
      </c>
      <c r="C19" s="5" t="s">
        <v>12</v>
      </c>
      <c r="D19" s="5" t="s">
        <v>25</v>
      </c>
      <c r="E19" s="5" t="s">
        <v>21</v>
      </c>
      <c r="F19" s="12">
        <v>429587.45</v>
      </c>
      <c r="G19" s="13">
        <v>478289.99</v>
      </c>
    </row>
    <row r="20" spans="1:7" x14ac:dyDescent="0.3">
      <c r="A20" s="10">
        <v>5019</v>
      </c>
      <c r="B20" s="11">
        <v>44962</v>
      </c>
      <c r="C20" s="5" t="s">
        <v>7</v>
      </c>
      <c r="D20" s="5" t="s">
        <v>20</v>
      </c>
      <c r="E20" s="5" t="s">
        <v>15</v>
      </c>
      <c r="F20" s="12">
        <v>7430.79</v>
      </c>
      <c r="G20" s="13">
        <v>7321.06</v>
      </c>
    </row>
    <row r="21" spans="1:7" x14ac:dyDescent="0.3">
      <c r="A21" s="10">
        <v>5020</v>
      </c>
      <c r="B21" s="11">
        <v>45076</v>
      </c>
      <c r="C21" s="5" t="s">
        <v>7</v>
      </c>
      <c r="D21" s="5" t="s">
        <v>24</v>
      </c>
      <c r="E21" s="5" t="s">
        <v>21</v>
      </c>
      <c r="F21" s="12">
        <v>57920.81</v>
      </c>
      <c r="G21" s="13">
        <v>71448.27</v>
      </c>
    </row>
    <row r="22" spans="1:7" x14ac:dyDescent="0.3">
      <c r="A22" s="10">
        <v>5021</v>
      </c>
      <c r="B22" s="11">
        <v>45465</v>
      </c>
      <c r="C22" s="5" t="s">
        <v>7</v>
      </c>
      <c r="D22" s="5" t="s">
        <v>24</v>
      </c>
      <c r="E22" s="5" t="s">
        <v>21</v>
      </c>
      <c r="F22" s="12">
        <v>191037.53</v>
      </c>
      <c r="G22" s="13">
        <v>231112.54</v>
      </c>
    </row>
    <row r="23" spans="1:7" x14ac:dyDescent="0.3">
      <c r="A23" s="10">
        <v>5022</v>
      </c>
      <c r="B23" s="11">
        <v>45301</v>
      </c>
      <c r="C23" s="5" t="s">
        <v>7</v>
      </c>
      <c r="D23" s="5" t="s">
        <v>26</v>
      </c>
      <c r="E23" s="5" t="s">
        <v>15</v>
      </c>
      <c r="F23" s="12">
        <v>39787.760000000002</v>
      </c>
      <c r="G23" s="13">
        <v>48184.39</v>
      </c>
    </row>
    <row r="24" spans="1:7" x14ac:dyDescent="0.3">
      <c r="A24" s="10">
        <v>5023</v>
      </c>
      <c r="B24" s="11">
        <v>45415</v>
      </c>
      <c r="C24" s="5" t="s">
        <v>12</v>
      </c>
      <c r="D24" s="5" t="s">
        <v>25</v>
      </c>
      <c r="E24" s="5" t="s">
        <v>11</v>
      </c>
      <c r="F24" s="12">
        <v>388762.78</v>
      </c>
      <c r="G24" s="13">
        <v>332039.73</v>
      </c>
    </row>
    <row r="25" spans="1:7" x14ac:dyDescent="0.3">
      <c r="A25" s="10">
        <v>5024</v>
      </c>
      <c r="B25" s="11">
        <v>45628</v>
      </c>
      <c r="C25" s="5" t="s">
        <v>12</v>
      </c>
      <c r="D25" s="5" t="s">
        <v>18</v>
      </c>
      <c r="E25" s="5" t="s">
        <v>9</v>
      </c>
      <c r="F25" s="12">
        <v>304969.53999999998</v>
      </c>
      <c r="G25" s="13">
        <v>337767.05</v>
      </c>
    </row>
    <row r="26" spans="1:7" x14ac:dyDescent="0.3">
      <c r="A26" s="10">
        <v>5025</v>
      </c>
      <c r="B26" s="11">
        <v>45525</v>
      </c>
      <c r="C26" s="5" t="s">
        <v>7</v>
      </c>
      <c r="D26" s="5" t="s">
        <v>8</v>
      </c>
      <c r="E26" s="5" t="s">
        <v>11</v>
      </c>
      <c r="F26" s="12">
        <v>4204.91</v>
      </c>
      <c r="G26" s="13">
        <v>3733.69</v>
      </c>
    </row>
    <row r="27" spans="1:7" x14ac:dyDescent="0.3">
      <c r="A27" s="10">
        <v>5026</v>
      </c>
      <c r="B27" s="11">
        <v>45023</v>
      </c>
      <c r="C27" s="5" t="s">
        <v>12</v>
      </c>
      <c r="D27" s="5" t="s">
        <v>13</v>
      </c>
      <c r="E27" s="5" t="s">
        <v>11</v>
      </c>
      <c r="F27" s="12">
        <v>54507.02</v>
      </c>
      <c r="G27" s="13">
        <v>48927.08</v>
      </c>
    </row>
    <row r="28" spans="1:7" x14ac:dyDescent="0.3">
      <c r="A28" s="10">
        <v>5027</v>
      </c>
      <c r="B28" s="11">
        <v>45215</v>
      </c>
      <c r="C28" s="5" t="s">
        <v>12</v>
      </c>
      <c r="D28" s="5" t="s">
        <v>25</v>
      </c>
      <c r="E28" s="5" t="s">
        <v>15</v>
      </c>
      <c r="F28" s="12">
        <v>257056.05</v>
      </c>
      <c r="G28" s="13">
        <v>241078.26</v>
      </c>
    </row>
    <row r="29" spans="1:7" x14ac:dyDescent="0.3">
      <c r="A29" s="10">
        <v>5028</v>
      </c>
      <c r="B29" s="11">
        <v>45097</v>
      </c>
      <c r="C29" s="5" t="s">
        <v>12</v>
      </c>
      <c r="D29" s="5" t="s">
        <v>13</v>
      </c>
      <c r="E29" s="5" t="s">
        <v>27</v>
      </c>
      <c r="F29" s="12">
        <v>360788.09</v>
      </c>
      <c r="G29" s="13">
        <v>386048.45</v>
      </c>
    </row>
    <row r="30" spans="1:7" x14ac:dyDescent="0.3">
      <c r="A30" s="10">
        <v>5029</v>
      </c>
      <c r="B30" s="11">
        <v>44974</v>
      </c>
      <c r="C30" s="5" t="s">
        <v>7</v>
      </c>
      <c r="D30" s="5" t="s">
        <v>10</v>
      </c>
      <c r="E30" s="5" t="s">
        <v>21</v>
      </c>
      <c r="F30" s="12">
        <v>198727.75</v>
      </c>
      <c r="G30" s="13">
        <v>169540.43</v>
      </c>
    </row>
    <row r="31" spans="1:7" x14ac:dyDescent="0.3">
      <c r="A31" s="10">
        <v>5030</v>
      </c>
      <c r="B31" s="11">
        <v>45402</v>
      </c>
      <c r="C31" s="5" t="s">
        <v>7</v>
      </c>
      <c r="D31" s="5" t="s">
        <v>8</v>
      </c>
      <c r="E31" s="5" t="s">
        <v>11</v>
      </c>
      <c r="F31" s="12">
        <v>21506.54</v>
      </c>
      <c r="G31" s="13">
        <v>20287.7</v>
      </c>
    </row>
    <row r="32" spans="1:7" x14ac:dyDescent="0.3">
      <c r="A32" s="10">
        <v>5031</v>
      </c>
      <c r="B32" s="11">
        <v>45640</v>
      </c>
      <c r="C32" s="5" t="s">
        <v>7</v>
      </c>
      <c r="D32" s="5" t="s">
        <v>28</v>
      </c>
      <c r="E32" s="5" t="s">
        <v>27</v>
      </c>
      <c r="F32" s="12">
        <v>282212.93</v>
      </c>
      <c r="G32" s="13">
        <v>274808.96999999997</v>
      </c>
    </row>
    <row r="33" spans="1:7" x14ac:dyDescent="0.3">
      <c r="A33" s="10">
        <v>5032</v>
      </c>
      <c r="B33" s="11">
        <v>45229</v>
      </c>
      <c r="C33" s="5" t="s">
        <v>7</v>
      </c>
      <c r="D33" s="5" t="s">
        <v>10</v>
      </c>
      <c r="E33" s="5" t="s">
        <v>19</v>
      </c>
      <c r="F33" s="12">
        <v>237313.17</v>
      </c>
      <c r="G33" s="13">
        <v>211072.35</v>
      </c>
    </row>
    <row r="34" spans="1:7" x14ac:dyDescent="0.3">
      <c r="A34" s="10">
        <v>5033</v>
      </c>
      <c r="B34" s="11">
        <v>45542</v>
      </c>
      <c r="C34" s="5" t="s">
        <v>12</v>
      </c>
      <c r="D34" s="5" t="s">
        <v>25</v>
      </c>
      <c r="E34" s="5" t="s">
        <v>9</v>
      </c>
      <c r="F34" s="12">
        <v>159976.92000000001</v>
      </c>
      <c r="G34" s="13">
        <v>175957.13</v>
      </c>
    </row>
    <row r="35" spans="1:7" x14ac:dyDescent="0.3">
      <c r="A35" s="10">
        <v>5034</v>
      </c>
      <c r="B35" s="11">
        <v>45501</v>
      </c>
      <c r="C35" s="5" t="s">
        <v>12</v>
      </c>
      <c r="D35" s="5" t="s">
        <v>25</v>
      </c>
      <c r="E35" s="5" t="s">
        <v>27</v>
      </c>
      <c r="F35" s="12">
        <v>190508.41</v>
      </c>
      <c r="G35" s="13">
        <v>186172.31</v>
      </c>
    </row>
    <row r="36" spans="1:7" x14ac:dyDescent="0.3">
      <c r="A36" s="10">
        <v>5035</v>
      </c>
      <c r="B36" s="11">
        <v>45357</v>
      </c>
      <c r="C36" s="5" t="s">
        <v>12</v>
      </c>
      <c r="D36" s="5" t="s">
        <v>18</v>
      </c>
      <c r="E36" s="5" t="s">
        <v>14</v>
      </c>
      <c r="F36" s="12">
        <v>320742.59999999998</v>
      </c>
      <c r="G36" s="13">
        <v>376253.35</v>
      </c>
    </row>
    <row r="37" spans="1:7" x14ac:dyDescent="0.3">
      <c r="A37" s="10">
        <v>5036</v>
      </c>
      <c r="B37" s="11">
        <v>45385</v>
      </c>
      <c r="C37" s="5" t="s">
        <v>7</v>
      </c>
      <c r="D37" s="5" t="s">
        <v>28</v>
      </c>
      <c r="E37" s="5" t="s">
        <v>19</v>
      </c>
      <c r="F37" s="12">
        <v>324857.65999999997</v>
      </c>
      <c r="G37" s="13">
        <v>342790.71</v>
      </c>
    </row>
    <row r="38" spans="1:7" x14ac:dyDescent="0.3">
      <c r="A38" s="10">
        <v>5037</v>
      </c>
      <c r="B38" s="11">
        <v>45338</v>
      </c>
      <c r="C38" s="5" t="s">
        <v>12</v>
      </c>
      <c r="D38" s="5" t="s">
        <v>18</v>
      </c>
      <c r="E38" s="5" t="s">
        <v>21</v>
      </c>
      <c r="F38" s="12">
        <v>337520.13</v>
      </c>
      <c r="G38" s="13">
        <v>292567.84999999998</v>
      </c>
    </row>
    <row r="39" spans="1:7" x14ac:dyDescent="0.3">
      <c r="A39" s="10">
        <v>5038</v>
      </c>
      <c r="B39" s="11">
        <v>45209</v>
      </c>
      <c r="C39" s="5" t="s">
        <v>7</v>
      </c>
      <c r="D39" s="5" t="s">
        <v>8</v>
      </c>
      <c r="E39" s="5" t="s">
        <v>15</v>
      </c>
      <c r="F39" s="12">
        <v>11943.81</v>
      </c>
      <c r="G39" s="13">
        <v>11281.82</v>
      </c>
    </row>
    <row r="40" spans="1:7" x14ac:dyDescent="0.3">
      <c r="A40" s="10">
        <v>5039</v>
      </c>
      <c r="B40" s="11">
        <v>45321</v>
      </c>
      <c r="C40" s="5" t="s">
        <v>12</v>
      </c>
      <c r="D40" s="5" t="s">
        <v>23</v>
      </c>
      <c r="E40" s="5" t="s">
        <v>14</v>
      </c>
      <c r="F40" s="12">
        <v>37967.050000000003</v>
      </c>
      <c r="G40" s="13">
        <v>34897</v>
      </c>
    </row>
    <row r="41" spans="1:7" x14ac:dyDescent="0.3">
      <c r="A41" s="10">
        <v>5040</v>
      </c>
      <c r="B41" s="11">
        <v>45308</v>
      </c>
      <c r="C41" s="5" t="s">
        <v>7</v>
      </c>
      <c r="D41" s="5" t="s">
        <v>22</v>
      </c>
      <c r="E41" s="5" t="s">
        <v>19</v>
      </c>
      <c r="F41" s="12">
        <v>191774.22</v>
      </c>
      <c r="G41" s="13">
        <v>221194.36</v>
      </c>
    </row>
    <row r="42" spans="1:7" x14ac:dyDescent="0.3">
      <c r="A42" s="10">
        <v>5041</v>
      </c>
      <c r="B42" s="11">
        <v>45611</v>
      </c>
      <c r="C42" s="5" t="s">
        <v>7</v>
      </c>
      <c r="D42" s="5" t="s">
        <v>29</v>
      </c>
      <c r="E42" s="5" t="s">
        <v>9</v>
      </c>
      <c r="F42" s="12">
        <v>16982.46</v>
      </c>
      <c r="G42" s="13">
        <v>20662.080000000002</v>
      </c>
    </row>
    <row r="43" spans="1:7" x14ac:dyDescent="0.3">
      <c r="A43" s="10">
        <v>5042</v>
      </c>
      <c r="B43" s="11">
        <v>45322</v>
      </c>
      <c r="C43" s="5" t="s">
        <v>12</v>
      </c>
      <c r="D43" s="5" t="s">
        <v>13</v>
      </c>
      <c r="E43" s="5" t="s">
        <v>21</v>
      </c>
      <c r="F43" s="12">
        <v>97698.21</v>
      </c>
      <c r="G43" s="13">
        <v>90938.91</v>
      </c>
    </row>
    <row r="44" spans="1:7" x14ac:dyDescent="0.3">
      <c r="A44" s="10">
        <v>5043</v>
      </c>
      <c r="B44" s="11">
        <v>45327</v>
      </c>
      <c r="C44" s="5" t="s">
        <v>7</v>
      </c>
      <c r="D44" s="5" t="s">
        <v>16</v>
      </c>
      <c r="E44" s="5" t="s">
        <v>11</v>
      </c>
      <c r="F44" s="12">
        <v>39542.01</v>
      </c>
      <c r="G44" s="13">
        <v>38396.910000000003</v>
      </c>
    </row>
    <row r="45" spans="1:7" x14ac:dyDescent="0.3">
      <c r="A45" s="10">
        <v>5044</v>
      </c>
      <c r="B45" s="11">
        <v>45311</v>
      </c>
      <c r="C45" s="5" t="s">
        <v>7</v>
      </c>
      <c r="D45" s="5" t="s">
        <v>24</v>
      </c>
      <c r="E45" s="5" t="s">
        <v>14</v>
      </c>
      <c r="F45" s="12">
        <v>198259.27</v>
      </c>
      <c r="G45" s="13">
        <v>181719.85</v>
      </c>
    </row>
    <row r="46" spans="1:7" x14ac:dyDescent="0.3">
      <c r="A46" s="10">
        <v>5045</v>
      </c>
      <c r="B46" s="11">
        <v>45370</v>
      </c>
      <c r="C46" s="5" t="s">
        <v>12</v>
      </c>
      <c r="D46" s="5" t="s">
        <v>25</v>
      </c>
      <c r="E46" s="5" t="s">
        <v>17</v>
      </c>
      <c r="F46" s="12">
        <v>327957.09999999998</v>
      </c>
      <c r="G46" s="13">
        <v>368181.84</v>
      </c>
    </row>
    <row r="47" spans="1:7" x14ac:dyDescent="0.3">
      <c r="A47" s="10">
        <v>5046</v>
      </c>
      <c r="B47" s="11">
        <v>45194</v>
      </c>
      <c r="C47" s="5" t="s">
        <v>12</v>
      </c>
      <c r="D47" s="5" t="s">
        <v>18</v>
      </c>
      <c r="E47" s="5" t="s">
        <v>17</v>
      </c>
      <c r="F47" s="12">
        <v>267043.40000000002</v>
      </c>
      <c r="G47" s="13">
        <v>327924.59999999998</v>
      </c>
    </row>
    <row r="48" spans="1:7" x14ac:dyDescent="0.3">
      <c r="A48" s="10">
        <v>5047</v>
      </c>
      <c r="B48" s="11">
        <v>45084</v>
      </c>
      <c r="C48" s="5" t="s">
        <v>7</v>
      </c>
      <c r="D48" s="5" t="s">
        <v>10</v>
      </c>
      <c r="E48" s="5" t="s">
        <v>27</v>
      </c>
      <c r="F48" s="12">
        <v>63404.29</v>
      </c>
      <c r="G48" s="13">
        <v>71346.679999999993</v>
      </c>
    </row>
    <row r="49" spans="1:7" x14ac:dyDescent="0.3">
      <c r="A49" s="10">
        <v>5048</v>
      </c>
      <c r="B49" s="11">
        <v>45315</v>
      </c>
      <c r="C49" s="5" t="s">
        <v>12</v>
      </c>
      <c r="D49" s="5" t="s">
        <v>13</v>
      </c>
      <c r="E49" s="5" t="s">
        <v>19</v>
      </c>
      <c r="F49" s="12">
        <v>212808.05</v>
      </c>
      <c r="G49" s="13">
        <v>220104.69</v>
      </c>
    </row>
    <row r="50" spans="1:7" x14ac:dyDescent="0.3">
      <c r="A50" s="10">
        <v>5049</v>
      </c>
      <c r="B50" s="11">
        <v>45608</v>
      </c>
      <c r="C50" s="5" t="s">
        <v>12</v>
      </c>
      <c r="D50" s="5" t="s">
        <v>23</v>
      </c>
      <c r="E50" s="5" t="s">
        <v>15</v>
      </c>
      <c r="F50" s="12">
        <v>318421.25</v>
      </c>
      <c r="G50" s="13">
        <v>283262.25</v>
      </c>
    </row>
    <row r="51" spans="1:7" x14ac:dyDescent="0.3">
      <c r="A51" s="10">
        <v>5050</v>
      </c>
      <c r="B51" s="11">
        <v>45147</v>
      </c>
      <c r="C51" s="5" t="s">
        <v>12</v>
      </c>
      <c r="D51" s="5" t="s">
        <v>25</v>
      </c>
      <c r="E51" s="5" t="s">
        <v>21</v>
      </c>
      <c r="F51" s="12">
        <v>55941.54</v>
      </c>
      <c r="G51" s="13">
        <v>60529.17</v>
      </c>
    </row>
    <row r="52" spans="1:7" x14ac:dyDescent="0.3">
      <c r="A52" s="10">
        <v>5051</v>
      </c>
      <c r="B52" s="11">
        <v>45334</v>
      </c>
      <c r="C52" s="5" t="s">
        <v>7</v>
      </c>
      <c r="D52" s="5" t="s">
        <v>24</v>
      </c>
      <c r="E52" s="5" t="s">
        <v>27</v>
      </c>
      <c r="F52" s="12">
        <v>198253.62</v>
      </c>
      <c r="G52" s="13">
        <v>243182.25</v>
      </c>
    </row>
    <row r="53" spans="1:7" x14ac:dyDescent="0.3">
      <c r="A53" s="10">
        <v>5052</v>
      </c>
      <c r="B53" s="11">
        <v>45078</v>
      </c>
      <c r="C53" s="5" t="s">
        <v>12</v>
      </c>
      <c r="D53" s="5" t="s">
        <v>25</v>
      </c>
      <c r="E53" s="5" t="s">
        <v>27</v>
      </c>
      <c r="F53" s="12">
        <v>237970.13</v>
      </c>
      <c r="G53" s="13">
        <v>287415.94</v>
      </c>
    </row>
    <row r="54" spans="1:7" x14ac:dyDescent="0.3">
      <c r="A54" s="10">
        <v>5053</v>
      </c>
      <c r="B54" s="11">
        <v>45305</v>
      </c>
      <c r="C54" s="5" t="s">
        <v>12</v>
      </c>
      <c r="D54" s="5" t="s">
        <v>13</v>
      </c>
      <c r="E54" s="5" t="s">
        <v>21</v>
      </c>
      <c r="F54" s="12">
        <v>168149.11</v>
      </c>
      <c r="G54" s="13">
        <v>170983.27</v>
      </c>
    </row>
    <row r="55" spans="1:7" x14ac:dyDescent="0.3">
      <c r="A55" s="10">
        <v>5054</v>
      </c>
      <c r="B55" s="11">
        <v>45492</v>
      </c>
      <c r="C55" s="5" t="s">
        <v>12</v>
      </c>
      <c r="D55" s="5" t="s">
        <v>13</v>
      </c>
      <c r="E55" s="5" t="s">
        <v>21</v>
      </c>
      <c r="F55" s="12">
        <v>336182.46</v>
      </c>
      <c r="G55" s="13">
        <v>295573.21999999997</v>
      </c>
    </row>
    <row r="56" spans="1:7" x14ac:dyDescent="0.3">
      <c r="A56" s="10">
        <v>5055</v>
      </c>
      <c r="B56" s="11">
        <v>45373</v>
      </c>
      <c r="C56" s="5" t="s">
        <v>7</v>
      </c>
      <c r="D56" s="5" t="s">
        <v>22</v>
      </c>
      <c r="E56" s="5" t="s">
        <v>11</v>
      </c>
      <c r="F56" s="12">
        <v>27297.18</v>
      </c>
      <c r="G56" s="13">
        <v>32103.7</v>
      </c>
    </row>
    <row r="57" spans="1:7" x14ac:dyDescent="0.3">
      <c r="A57" s="10">
        <v>5056</v>
      </c>
      <c r="B57" s="11">
        <v>45548</v>
      </c>
      <c r="C57" s="5" t="s">
        <v>7</v>
      </c>
      <c r="D57" s="5" t="s">
        <v>24</v>
      </c>
      <c r="E57" s="5" t="s">
        <v>19</v>
      </c>
      <c r="F57" s="12">
        <v>139052.67000000001</v>
      </c>
      <c r="G57" s="13">
        <v>155801.38</v>
      </c>
    </row>
    <row r="58" spans="1:7" x14ac:dyDescent="0.3">
      <c r="A58" s="10">
        <v>5057</v>
      </c>
      <c r="B58" s="11">
        <v>45083</v>
      </c>
      <c r="C58" s="5" t="s">
        <v>12</v>
      </c>
      <c r="D58" s="5" t="s">
        <v>25</v>
      </c>
      <c r="E58" s="5" t="s">
        <v>9</v>
      </c>
      <c r="F58" s="12">
        <v>163034.28</v>
      </c>
      <c r="G58" s="13">
        <v>179475.05</v>
      </c>
    </row>
    <row r="59" spans="1:7" x14ac:dyDescent="0.3">
      <c r="A59" s="10">
        <v>5058</v>
      </c>
      <c r="B59" s="11">
        <v>44999</v>
      </c>
      <c r="C59" s="5" t="s">
        <v>7</v>
      </c>
      <c r="D59" s="5" t="s">
        <v>20</v>
      </c>
      <c r="E59" s="5" t="s">
        <v>14</v>
      </c>
      <c r="F59" s="12">
        <v>28730.32</v>
      </c>
      <c r="G59" s="13">
        <v>26601.78</v>
      </c>
    </row>
    <row r="60" spans="1:7" x14ac:dyDescent="0.3">
      <c r="A60" s="10">
        <v>5059</v>
      </c>
      <c r="B60" s="11">
        <v>45203</v>
      </c>
      <c r="C60" s="5" t="s">
        <v>7</v>
      </c>
      <c r="D60" s="5" t="s">
        <v>20</v>
      </c>
      <c r="E60" s="5" t="s">
        <v>21</v>
      </c>
      <c r="F60" s="12">
        <v>25484.79</v>
      </c>
      <c r="G60" s="13">
        <v>24467.93</v>
      </c>
    </row>
    <row r="61" spans="1:7" x14ac:dyDescent="0.3">
      <c r="A61" s="10">
        <v>5060</v>
      </c>
      <c r="B61" s="11">
        <v>45595</v>
      </c>
      <c r="C61" s="5" t="s">
        <v>7</v>
      </c>
      <c r="D61" s="5" t="s">
        <v>28</v>
      </c>
      <c r="E61" s="5" t="s">
        <v>14</v>
      </c>
      <c r="F61" s="12">
        <v>200992.23</v>
      </c>
      <c r="G61" s="13">
        <v>199672.88</v>
      </c>
    </row>
    <row r="62" spans="1:7" x14ac:dyDescent="0.3">
      <c r="A62" s="10">
        <v>5061</v>
      </c>
      <c r="B62" s="11">
        <v>45183</v>
      </c>
      <c r="C62" s="5" t="s">
        <v>7</v>
      </c>
      <c r="D62" s="5" t="s">
        <v>22</v>
      </c>
      <c r="E62" s="5" t="s">
        <v>15</v>
      </c>
      <c r="F62" s="12">
        <v>32710.36</v>
      </c>
      <c r="G62" s="13">
        <v>38628</v>
      </c>
    </row>
    <row r="63" spans="1:7" x14ac:dyDescent="0.3">
      <c r="A63" s="10">
        <v>5062</v>
      </c>
      <c r="B63" s="11">
        <v>45145</v>
      </c>
      <c r="C63" s="5" t="s">
        <v>7</v>
      </c>
      <c r="D63" s="5" t="s">
        <v>26</v>
      </c>
      <c r="E63" s="5" t="s">
        <v>11</v>
      </c>
      <c r="F63" s="12">
        <v>3641.56</v>
      </c>
      <c r="G63" s="13">
        <v>3632.08</v>
      </c>
    </row>
    <row r="64" spans="1:7" x14ac:dyDescent="0.3">
      <c r="A64" s="10">
        <v>5063</v>
      </c>
      <c r="B64" s="11">
        <v>45416</v>
      </c>
      <c r="C64" s="5" t="s">
        <v>12</v>
      </c>
      <c r="D64" s="5" t="s">
        <v>13</v>
      </c>
      <c r="E64" s="5" t="s">
        <v>21</v>
      </c>
      <c r="F64" s="12">
        <v>455056.36</v>
      </c>
      <c r="G64" s="13">
        <v>510478.31</v>
      </c>
    </row>
    <row r="65" spans="1:7" x14ac:dyDescent="0.3">
      <c r="A65" s="10">
        <v>5064</v>
      </c>
      <c r="B65" s="11">
        <v>45149</v>
      </c>
      <c r="C65" s="5" t="s">
        <v>7</v>
      </c>
      <c r="D65" s="5" t="s">
        <v>29</v>
      </c>
      <c r="E65" s="5" t="s">
        <v>14</v>
      </c>
      <c r="F65" s="12">
        <v>58300.06</v>
      </c>
      <c r="G65" s="13">
        <v>58653.26</v>
      </c>
    </row>
    <row r="66" spans="1:7" x14ac:dyDescent="0.3">
      <c r="A66" s="10">
        <v>5065</v>
      </c>
      <c r="B66" s="11">
        <v>45402</v>
      </c>
      <c r="C66" s="5" t="s">
        <v>7</v>
      </c>
      <c r="D66" s="5" t="s">
        <v>26</v>
      </c>
      <c r="E66" s="5" t="s">
        <v>21</v>
      </c>
      <c r="F66" s="12">
        <v>73230.070000000007</v>
      </c>
      <c r="G66" s="13">
        <v>67323.360000000001</v>
      </c>
    </row>
    <row r="67" spans="1:7" x14ac:dyDescent="0.3">
      <c r="A67" s="10">
        <v>5066</v>
      </c>
      <c r="B67" s="11">
        <v>45198</v>
      </c>
      <c r="C67" s="5" t="s">
        <v>7</v>
      </c>
      <c r="D67" s="5" t="s">
        <v>8</v>
      </c>
      <c r="E67" s="5" t="s">
        <v>11</v>
      </c>
      <c r="F67" s="12">
        <v>5375.93</v>
      </c>
      <c r="G67" s="13">
        <v>6665.06</v>
      </c>
    </row>
    <row r="68" spans="1:7" x14ac:dyDescent="0.3">
      <c r="A68" s="10">
        <v>5067</v>
      </c>
      <c r="B68" s="11">
        <v>45439</v>
      </c>
      <c r="C68" s="5" t="s">
        <v>7</v>
      </c>
      <c r="D68" s="5" t="s">
        <v>22</v>
      </c>
      <c r="E68" s="5" t="s">
        <v>27</v>
      </c>
      <c r="F68" s="12">
        <v>299437.52</v>
      </c>
      <c r="G68" s="13">
        <v>320980.18</v>
      </c>
    </row>
    <row r="69" spans="1:7" x14ac:dyDescent="0.3">
      <c r="A69" s="10">
        <v>5068</v>
      </c>
      <c r="B69" s="11">
        <v>45387</v>
      </c>
      <c r="C69" s="5" t="s">
        <v>7</v>
      </c>
      <c r="D69" s="5" t="s">
        <v>26</v>
      </c>
      <c r="E69" s="5" t="s">
        <v>14</v>
      </c>
      <c r="F69" s="12">
        <v>20709.93</v>
      </c>
      <c r="G69" s="13">
        <v>22568.6</v>
      </c>
    </row>
    <row r="70" spans="1:7" x14ac:dyDescent="0.3">
      <c r="A70" s="10">
        <v>5069</v>
      </c>
      <c r="B70" s="11">
        <v>45287</v>
      </c>
      <c r="C70" s="5" t="s">
        <v>7</v>
      </c>
      <c r="D70" s="5" t="s">
        <v>26</v>
      </c>
      <c r="E70" s="5" t="s">
        <v>11</v>
      </c>
      <c r="F70" s="12">
        <v>79544.2</v>
      </c>
      <c r="G70" s="13">
        <v>96620.32</v>
      </c>
    </row>
    <row r="71" spans="1:7" x14ac:dyDescent="0.3">
      <c r="A71" s="10">
        <v>5070</v>
      </c>
      <c r="B71" s="11">
        <v>45521</v>
      </c>
      <c r="C71" s="5" t="s">
        <v>7</v>
      </c>
      <c r="D71" s="5" t="s">
        <v>22</v>
      </c>
      <c r="E71" s="5" t="s">
        <v>14</v>
      </c>
      <c r="F71" s="12">
        <v>71676.08</v>
      </c>
      <c r="G71" s="13">
        <v>76191.78</v>
      </c>
    </row>
    <row r="72" spans="1:7" x14ac:dyDescent="0.3">
      <c r="A72" s="10">
        <v>5071</v>
      </c>
      <c r="B72" s="11">
        <v>45306</v>
      </c>
      <c r="C72" s="5" t="s">
        <v>7</v>
      </c>
      <c r="D72" s="5" t="s">
        <v>10</v>
      </c>
      <c r="E72" s="5" t="s">
        <v>9</v>
      </c>
      <c r="F72" s="12">
        <v>35097.61</v>
      </c>
      <c r="G72" s="13">
        <v>33203</v>
      </c>
    </row>
    <row r="73" spans="1:7" x14ac:dyDescent="0.3">
      <c r="A73" s="10">
        <v>5072</v>
      </c>
      <c r="B73" s="11">
        <v>45361</v>
      </c>
      <c r="C73" s="5" t="s">
        <v>7</v>
      </c>
      <c r="D73" s="5" t="s">
        <v>24</v>
      </c>
      <c r="E73" s="5" t="s">
        <v>19</v>
      </c>
      <c r="F73" s="12">
        <v>152762.22</v>
      </c>
      <c r="G73" s="13">
        <v>169613.65</v>
      </c>
    </row>
    <row r="74" spans="1:7" x14ac:dyDescent="0.3">
      <c r="A74" s="10">
        <v>5073</v>
      </c>
      <c r="B74" s="11">
        <v>45186</v>
      </c>
      <c r="C74" s="5" t="s">
        <v>12</v>
      </c>
      <c r="D74" s="5" t="s">
        <v>13</v>
      </c>
      <c r="E74" s="5" t="s">
        <v>27</v>
      </c>
      <c r="F74" s="12">
        <v>254997.41</v>
      </c>
      <c r="G74" s="13">
        <v>243827.21</v>
      </c>
    </row>
    <row r="75" spans="1:7" x14ac:dyDescent="0.3">
      <c r="A75" s="10">
        <v>5074</v>
      </c>
      <c r="B75" s="11">
        <v>45477</v>
      </c>
      <c r="C75" s="5" t="s">
        <v>7</v>
      </c>
      <c r="D75" s="5" t="s">
        <v>22</v>
      </c>
      <c r="E75" s="5" t="s">
        <v>21</v>
      </c>
      <c r="F75" s="12">
        <v>238860.64</v>
      </c>
      <c r="G75" s="13">
        <v>235144.04</v>
      </c>
    </row>
    <row r="76" spans="1:7" x14ac:dyDescent="0.3">
      <c r="A76" s="10">
        <v>5075</v>
      </c>
      <c r="B76" s="11">
        <v>45377</v>
      </c>
      <c r="C76" s="5" t="s">
        <v>7</v>
      </c>
      <c r="D76" s="5" t="s">
        <v>20</v>
      </c>
      <c r="E76" s="5" t="s">
        <v>27</v>
      </c>
      <c r="F76" s="12">
        <v>39771.019999999997</v>
      </c>
      <c r="G76" s="13">
        <v>39800.82</v>
      </c>
    </row>
    <row r="77" spans="1:7" x14ac:dyDescent="0.3">
      <c r="A77" s="10">
        <v>5076</v>
      </c>
      <c r="B77" s="11">
        <v>45330</v>
      </c>
      <c r="C77" s="5" t="s">
        <v>12</v>
      </c>
      <c r="D77" s="5" t="s">
        <v>25</v>
      </c>
      <c r="E77" s="5" t="s">
        <v>19</v>
      </c>
      <c r="F77" s="12">
        <v>114525.89</v>
      </c>
      <c r="G77" s="13">
        <v>107758.29</v>
      </c>
    </row>
    <row r="78" spans="1:7" x14ac:dyDescent="0.3">
      <c r="A78" s="10">
        <v>5077</v>
      </c>
      <c r="B78" s="11">
        <v>45493</v>
      </c>
      <c r="C78" s="5" t="s">
        <v>7</v>
      </c>
      <c r="D78" s="5" t="s">
        <v>24</v>
      </c>
      <c r="E78" s="5" t="s">
        <v>21</v>
      </c>
      <c r="F78" s="12">
        <v>15146.7</v>
      </c>
      <c r="G78" s="13">
        <v>18426.849999999999</v>
      </c>
    </row>
    <row r="79" spans="1:7" x14ac:dyDescent="0.3">
      <c r="A79" s="10">
        <v>5078</v>
      </c>
      <c r="B79" s="11">
        <v>45062</v>
      </c>
      <c r="C79" s="5" t="s">
        <v>7</v>
      </c>
      <c r="D79" s="5" t="s">
        <v>24</v>
      </c>
      <c r="E79" s="5" t="s">
        <v>17</v>
      </c>
      <c r="F79" s="12">
        <v>83995.86</v>
      </c>
      <c r="G79" s="13">
        <v>92512.21</v>
      </c>
    </row>
    <row r="80" spans="1:7" x14ac:dyDescent="0.3">
      <c r="A80" s="10">
        <v>5079</v>
      </c>
      <c r="B80" s="11">
        <v>45539</v>
      </c>
      <c r="C80" s="5" t="s">
        <v>7</v>
      </c>
      <c r="D80" s="5" t="s">
        <v>16</v>
      </c>
      <c r="E80" s="5" t="s">
        <v>9</v>
      </c>
      <c r="F80" s="12">
        <v>120155.35</v>
      </c>
      <c r="G80" s="13">
        <v>120151.27</v>
      </c>
    </row>
    <row r="81" spans="1:7" x14ac:dyDescent="0.3">
      <c r="A81" s="10">
        <v>5080</v>
      </c>
      <c r="B81" s="11">
        <v>45183</v>
      </c>
      <c r="C81" s="5" t="s">
        <v>7</v>
      </c>
      <c r="D81" s="5" t="s">
        <v>24</v>
      </c>
      <c r="E81" s="5" t="s">
        <v>14</v>
      </c>
      <c r="F81" s="12">
        <v>186349.32</v>
      </c>
      <c r="G81" s="13">
        <v>173214.65</v>
      </c>
    </row>
    <row r="82" spans="1:7" x14ac:dyDescent="0.3">
      <c r="A82" s="10">
        <v>5081</v>
      </c>
      <c r="B82" s="11">
        <v>45268</v>
      </c>
      <c r="C82" s="5" t="s">
        <v>7</v>
      </c>
      <c r="D82" s="5" t="s">
        <v>16</v>
      </c>
      <c r="E82" s="5" t="s">
        <v>9</v>
      </c>
      <c r="F82" s="12">
        <v>59845.33</v>
      </c>
      <c r="G82" s="13">
        <v>53977.72</v>
      </c>
    </row>
    <row r="83" spans="1:7" x14ac:dyDescent="0.3">
      <c r="A83" s="10">
        <v>5082</v>
      </c>
      <c r="B83" s="11">
        <v>45198</v>
      </c>
      <c r="C83" s="5" t="s">
        <v>12</v>
      </c>
      <c r="D83" s="5" t="s">
        <v>25</v>
      </c>
      <c r="E83" s="5" t="s">
        <v>27</v>
      </c>
      <c r="F83" s="12">
        <v>266700.87</v>
      </c>
      <c r="G83" s="13">
        <v>240981.39</v>
      </c>
    </row>
    <row r="84" spans="1:7" x14ac:dyDescent="0.3">
      <c r="A84" s="10">
        <v>5083</v>
      </c>
      <c r="B84" s="11">
        <v>45657</v>
      </c>
      <c r="C84" s="5" t="s">
        <v>7</v>
      </c>
      <c r="D84" s="5" t="s">
        <v>28</v>
      </c>
      <c r="E84" s="5" t="s">
        <v>17</v>
      </c>
      <c r="F84" s="12">
        <v>559130.72</v>
      </c>
      <c r="G84" s="13">
        <v>592139.51</v>
      </c>
    </row>
    <row r="85" spans="1:7" x14ac:dyDescent="0.3">
      <c r="A85" s="10">
        <v>5084</v>
      </c>
      <c r="B85" s="11">
        <v>44936</v>
      </c>
      <c r="C85" s="5" t="s">
        <v>12</v>
      </c>
      <c r="D85" s="5" t="s">
        <v>23</v>
      </c>
      <c r="E85" s="5" t="s">
        <v>9</v>
      </c>
      <c r="F85" s="12">
        <v>47719.29</v>
      </c>
      <c r="G85" s="13">
        <v>53853.06</v>
      </c>
    </row>
    <row r="86" spans="1:7" x14ac:dyDescent="0.3">
      <c r="A86" s="10">
        <v>5085</v>
      </c>
      <c r="B86" s="11">
        <v>45350</v>
      </c>
      <c r="C86" s="5" t="s">
        <v>12</v>
      </c>
      <c r="D86" s="5" t="s">
        <v>18</v>
      </c>
      <c r="E86" s="5" t="s">
        <v>27</v>
      </c>
      <c r="F86" s="12">
        <v>305431</v>
      </c>
      <c r="G86" s="13">
        <v>313830.64</v>
      </c>
    </row>
    <row r="87" spans="1:7" x14ac:dyDescent="0.3">
      <c r="A87" s="10">
        <v>5086</v>
      </c>
      <c r="B87" s="11">
        <v>45439</v>
      </c>
      <c r="C87" s="5" t="s">
        <v>7</v>
      </c>
      <c r="D87" s="5" t="s">
        <v>10</v>
      </c>
      <c r="E87" s="5" t="s">
        <v>17</v>
      </c>
      <c r="F87" s="12">
        <v>110966.47</v>
      </c>
      <c r="G87" s="13">
        <v>95266.81</v>
      </c>
    </row>
    <row r="88" spans="1:7" x14ac:dyDescent="0.3">
      <c r="A88" s="10">
        <v>5087</v>
      </c>
      <c r="B88" s="11">
        <v>45301</v>
      </c>
      <c r="C88" s="5" t="s">
        <v>12</v>
      </c>
      <c r="D88" s="5" t="s">
        <v>13</v>
      </c>
      <c r="E88" s="5" t="s">
        <v>19</v>
      </c>
      <c r="F88" s="12">
        <v>325164.96000000002</v>
      </c>
      <c r="G88" s="13">
        <v>335819.64</v>
      </c>
    </row>
    <row r="89" spans="1:7" x14ac:dyDescent="0.3">
      <c r="A89" s="10">
        <v>5088</v>
      </c>
      <c r="B89" s="11">
        <v>45453</v>
      </c>
      <c r="C89" s="5" t="s">
        <v>7</v>
      </c>
      <c r="D89" s="5" t="s">
        <v>24</v>
      </c>
      <c r="E89" s="5" t="s">
        <v>27</v>
      </c>
      <c r="F89" s="12">
        <v>13776.54</v>
      </c>
      <c r="G89" s="13">
        <v>15254.41</v>
      </c>
    </row>
    <row r="90" spans="1:7" x14ac:dyDescent="0.3">
      <c r="A90" s="10">
        <v>5089</v>
      </c>
      <c r="B90" s="11">
        <v>45392</v>
      </c>
      <c r="C90" s="5" t="s">
        <v>7</v>
      </c>
      <c r="D90" s="5" t="s">
        <v>29</v>
      </c>
      <c r="E90" s="5" t="s">
        <v>14</v>
      </c>
      <c r="F90" s="12">
        <v>22656.48</v>
      </c>
      <c r="G90" s="13">
        <v>20657.22</v>
      </c>
    </row>
    <row r="91" spans="1:7" x14ac:dyDescent="0.3">
      <c r="A91" s="10">
        <v>5090</v>
      </c>
      <c r="B91" s="11">
        <v>44940</v>
      </c>
      <c r="C91" s="5" t="s">
        <v>7</v>
      </c>
      <c r="D91" s="5" t="s">
        <v>26</v>
      </c>
      <c r="E91" s="5" t="s">
        <v>17</v>
      </c>
      <c r="F91" s="12">
        <v>25342.92</v>
      </c>
      <c r="G91" s="13">
        <v>31319.34</v>
      </c>
    </row>
    <row r="92" spans="1:7" x14ac:dyDescent="0.3">
      <c r="A92" s="10">
        <v>5091</v>
      </c>
      <c r="B92" s="11">
        <v>45394</v>
      </c>
      <c r="C92" s="5" t="s">
        <v>12</v>
      </c>
      <c r="D92" s="5" t="s">
        <v>23</v>
      </c>
      <c r="E92" s="5" t="s">
        <v>21</v>
      </c>
      <c r="F92" s="12">
        <v>319604.84999999998</v>
      </c>
      <c r="G92" s="13">
        <v>379990.58</v>
      </c>
    </row>
    <row r="93" spans="1:7" x14ac:dyDescent="0.3">
      <c r="A93" s="10">
        <v>5092</v>
      </c>
      <c r="B93" s="11">
        <v>45153</v>
      </c>
      <c r="C93" s="5" t="s">
        <v>7</v>
      </c>
      <c r="D93" s="5" t="s">
        <v>20</v>
      </c>
      <c r="E93" s="5" t="s">
        <v>14</v>
      </c>
      <c r="F93" s="12">
        <v>26998.36</v>
      </c>
      <c r="G93" s="13">
        <v>24269.21</v>
      </c>
    </row>
    <row r="94" spans="1:7" x14ac:dyDescent="0.3">
      <c r="A94" s="10">
        <v>5093</v>
      </c>
      <c r="B94" s="11">
        <v>45053</v>
      </c>
      <c r="C94" s="5" t="s">
        <v>12</v>
      </c>
      <c r="D94" s="5" t="s">
        <v>23</v>
      </c>
      <c r="E94" s="5" t="s">
        <v>21</v>
      </c>
      <c r="F94" s="12">
        <v>60793.86</v>
      </c>
      <c r="G94" s="13">
        <v>57572.74</v>
      </c>
    </row>
    <row r="95" spans="1:7" x14ac:dyDescent="0.3">
      <c r="A95" s="10">
        <v>5094</v>
      </c>
      <c r="B95" s="11">
        <v>45540</v>
      </c>
      <c r="C95" s="5" t="s">
        <v>7</v>
      </c>
      <c r="D95" s="5" t="s">
        <v>22</v>
      </c>
      <c r="E95" s="5" t="s">
        <v>27</v>
      </c>
      <c r="F95" s="12">
        <v>135234.20000000001</v>
      </c>
      <c r="G95" s="13">
        <v>157607.35</v>
      </c>
    </row>
    <row r="96" spans="1:7" x14ac:dyDescent="0.3">
      <c r="A96" s="10">
        <v>5095</v>
      </c>
      <c r="B96" s="11">
        <v>45459</v>
      </c>
      <c r="C96" s="5" t="s">
        <v>7</v>
      </c>
      <c r="D96" s="5" t="s">
        <v>28</v>
      </c>
      <c r="E96" s="5" t="s">
        <v>15</v>
      </c>
      <c r="F96" s="12">
        <v>237354.01</v>
      </c>
      <c r="G96" s="13">
        <v>231955.68</v>
      </c>
    </row>
    <row r="97" spans="1:7" x14ac:dyDescent="0.3">
      <c r="A97" s="10">
        <v>5096</v>
      </c>
      <c r="B97" s="11">
        <v>45630</v>
      </c>
      <c r="C97" s="5" t="s">
        <v>7</v>
      </c>
      <c r="D97" s="5" t="s">
        <v>8</v>
      </c>
      <c r="E97" s="5" t="s">
        <v>21</v>
      </c>
      <c r="F97" s="12">
        <v>14849.18</v>
      </c>
      <c r="G97" s="13">
        <v>12897.46</v>
      </c>
    </row>
    <row r="98" spans="1:7" x14ac:dyDescent="0.3">
      <c r="A98" s="10">
        <v>5097</v>
      </c>
      <c r="B98" s="11">
        <v>45340</v>
      </c>
      <c r="C98" s="5" t="s">
        <v>7</v>
      </c>
      <c r="D98" s="5" t="s">
        <v>29</v>
      </c>
      <c r="E98" s="5" t="s">
        <v>19</v>
      </c>
      <c r="F98" s="12">
        <v>13381.99</v>
      </c>
      <c r="G98" s="13">
        <v>16332.59</v>
      </c>
    </row>
    <row r="99" spans="1:7" x14ac:dyDescent="0.3">
      <c r="A99" s="10">
        <v>5098</v>
      </c>
      <c r="B99" s="11">
        <v>45008</v>
      </c>
      <c r="C99" s="5" t="s">
        <v>7</v>
      </c>
      <c r="D99" s="5" t="s">
        <v>30</v>
      </c>
      <c r="E99" s="5" t="s">
        <v>19</v>
      </c>
      <c r="F99" s="12">
        <v>87766.25</v>
      </c>
      <c r="G99" s="13">
        <v>93229.93</v>
      </c>
    </row>
    <row r="100" spans="1:7" x14ac:dyDescent="0.3">
      <c r="A100" s="10">
        <v>5099</v>
      </c>
      <c r="B100" s="11">
        <v>45094</v>
      </c>
      <c r="C100" s="5" t="s">
        <v>12</v>
      </c>
      <c r="D100" s="5" t="s">
        <v>25</v>
      </c>
      <c r="E100" s="5" t="s">
        <v>19</v>
      </c>
      <c r="F100" s="12">
        <v>334871.5</v>
      </c>
      <c r="G100" s="13">
        <v>336788.72</v>
      </c>
    </row>
    <row r="101" spans="1:7" x14ac:dyDescent="0.3">
      <c r="A101" s="10">
        <v>5100</v>
      </c>
      <c r="B101" s="11">
        <v>45227</v>
      </c>
      <c r="C101" s="5" t="s">
        <v>12</v>
      </c>
      <c r="D101" s="5" t="s">
        <v>25</v>
      </c>
      <c r="E101" s="5" t="s">
        <v>14</v>
      </c>
      <c r="F101" s="12">
        <v>253636.98</v>
      </c>
      <c r="G101" s="13">
        <v>298846.25</v>
      </c>
    </row>
    <row r="102" spans="1:7" x14ac:dyDescent="0.3">
      <c r="A102" s="10">
        <v>5101</v>
      </c>
      <c r="B102" s="11">
        <v>45068</v>
      </c>
      <c r="C102" s="5" t="s">
        <v>7</v>
      </c>
      <c r="D102" s="5" t="s">
        <v>20</v>
      </c>
      <c r="E102" s="5" t="s">
        <v>9</v>
      </c>
      <c r="F102" s="12">
        <v>15793.7</v>
      </c>
      <c r="G102" s="13">
        <v>14132.97</v>
      </c>
    </row>
    <row r="103" spans="1:7" x14ac:dyDescent="0.3">
      <c r="A103" s="10">
        <v>5102</v>
      </c>
      <c r="B103" s="11">
        <v>45604</v>
      </c>
      <c r="C103" s="5" t="s">
        <v>7</v>
      </c>
      <c r="D103" s="5" t="s">
        <v>22</v>
      </c>
      <c r="E103" s="5" t="s">
        <v>21</v>
      </c>
      <c r="F103" s="12">
        <v>118510.25</v>
      </c>
      <c r="G103" s="13">
        <v>141748.01999999999</v>
      </c>
    </row>
    <row r="104" spans="1:7" x14ac:dyDescent="0.3">
      <c r="A104" s="10">
        <v>5103</v>
      </c>
      <c r="B104" s="11">
        <v>45362</v>
      </c>
      <c r="C104" s="5" t="s">
        <v>7</v>
      </c>
      <c r="D104" s="5" t="s">
        <v>16</v>
      </c>
      <c r="E104" s="5" t="s">
        <v>19</v>
      </c>
      <c r="F104" s="12">
        <v>56155.35</v>
      </c>
      <c r="G104" s="13">
        <v>67570.52</v>
      </c>
    </row>
    <row r="105" spans="1:7" x14ac:dyDescent="0.3">
      <c r="A105" s="10">
        <v>5104</v>
      </c>
      <c r="B105" s="11">
        <v>45130</v>
      </c>
      <c r="C105" s="5" t="s">
        <v>12</v>
      </c>
      <c r="D105" s="5" t="s">
        <v>25</v>
      </c>
      <c r="E105" s="5" t="s">
        <v>17</v>
      </c>
      <c r="F105" s="12">
        <v>228744.84</v>
      </c>
      <c r="G105" s="13">
        <v>264925.15999999997</v>
      </c>
    </row>
    <row r="106" spans="1:7" x14ac:dyDescent="0.3">
      <c r="A106" s="10">
        <v>5105</v>
      </c>
      <c r="B106" s="11">
        <v>44946</v>
      </c>
      <c r="C106" s="5" t="s">
        <v>7</v>
      </c>
      <c r="D106" s="5" t="s">
        <v>22</v>
      </c>
      <c r="E106" s="5" t="s">
        <v>11</v>
      </c>
      <c r="F106" s="12">
        <v>19200.98</v>
      </c>
      <c r="G106" s="13">
        <v>17966.23</v>
      </c>
    </row>
    <row r="107" spans="1:7" x14ac:dyDescent="0.3">
      <c r="A107" s="10">
        <v>5106</v>
      </c>
      <c r="B107" s="11">
        <v>45271</v>
      </c>
      <c r="C107" s="5" t="s">
        <v>12</v>
      </c>
      <c r="D107" s="5" t="s">
        <v>23</v>
      </c>
      <c r="E107" s="5" t="s">
        <v>19</v>
      </c>
      <c r="F107" s="12">
        <v>139371.81</v>
      </c>
      <c r="G107" s="13">
        <v>138237.16</v>
      </c>
    </row>
    <row r="108" spans="1:7" x14ac:dyDescent="0.3">
      <c r="A108" s="10">
        <v>5107</v>
      </c>
      <c r="B108" s="11">
        <v>45311</v>
      </c>
      <c r="C108" s="5" t="s">
        <v>12</v>
      </c>
      <c r="D108" s="5" t="s">
        <v>23</v>
      </c>
      <c r="E108" s="5" t="s">
        <v>17</v>
      </c>
      <c r="F108" s="12">
        <v>250457.17</v>
      </c>
      <c r="G108" s="13">
        <v>245799.65</v>
      </c>
    </row>
    <row r="109" spans="1:7" x14ac:dyDescent="0.3">
      <c r="A109" s="10">
        <v>5108</v>
      </c>
      <c r="B109" s="11">
        <v>45594</v>
      </c>
      <c r="C109" s="5" t="s">
        <v>12</v>
      </c>
      <c r="D109" s="5" t="s">
        <v>18</v>
      </c>
      <c r="E109" s="5" t="s">
        <v>21</v>
      </c>
      <c r="F109" s="12">
        <v>138110.67000000001</v>
      </c>
      <c r="G109" s="13">
        <v>172458.25</v>
      </c>
    </row>
    <row r="110" spans="1:7" x14ac:dyDescent="0.3">
      <c r="A110" s="10">
        <v>5109</v>
      </c>
      <c r="B110" s="11">
        <v>45262</v>
      </c>
      <c r="C110" s="5" t="s">
        <v>7</v>
      </c>
      <c r="D110" s="5" t="s">
        <v>20</v>
      </c>
      <c r="E110" s="5" t="s">
        <v>15</v>
      </c>
      <c r="F110" s="12">
        <v>5972.51</v>
      </c>
      <c r="G110" s="13">
        <v>6457.21</v>
      </c>
    </row>
    <row r="111" spans="1:7" x14ac:dyDescent="0.3">
      <c r="A111" s="10">
        <v>5110</v>
      </c>
      <c r="B111" s="11">
        <v>45200</v>
      </c>
      <c r="C111" s="5" t="s">
        <v>12</v>
      </c>
      <c r="D111" s="5" t="s">
        <v>23</v>
      </c>
      <c r="E111" s="5" t="s">
        <v>14</v>
      </c>
      <c r="F111" s="12">
        <v>438620.86</v>
      </c>
      <c r="G111" s="13">
        <v>529606.18999999994</v>
      </c>
    </row>
    <row r="112" spans="1:7" x14ac:dyDescent="0.3">
      <c r="A112" s="10">
        <v>5111</v>
      </c>
      <c r="B112" s="11">
        <v>45313</v>
      </c>
      <c r="C112" s="5" t="s">
        <v>7</v>
      </c>
      <c r="D112" s="5" t="s">
        <v>24</v>
      </c>
      <c r="E112" s="5" t="s">
        <v>27</v>
      </c>
      <c r="F112" s="12">
        <v>194165.84</v>
      </c>
      <c r="G112" s="13">
        <v>215915.12</v>
      </c>
    </row>
    <row r="113" spans="1:7" x14ac:dyDescent="0.3">
      <c r="A113" s="10">
        <v>5112</v>
      </c>
      <c r="B113" s="11">
        <v>45367</v>
      </c>
      <c r="C113" s="5" t="s">
        <v>7</v>
      </c>
      <c r="D113" s="5" t="s">
        <v>30</v>
      </c>
      <c r="E113" s="5" t="s">
        <v>11</v>
      </c>
      <c r="F113" s="12">
        <v>64716.02</v>
      </c>
      <c r="G113" s="13">
        <v>56261.55</v>
      </c>
    </row>
    <row r="114" spans="1:7" x14ac:dyDescent="0.3">
      <c r="A114" s="10">
        <v>5113</v>
      </c>
      <c r="B114" s="11">
        <v>45657</v>
      </c>
      <c r="C114" s="5" t="s">
        <v>12</v>
      </c>
      <c r="D114" s="5" t="s">
        <v>18</v>
      </c>
      <c r="E114" s="5" t="s">
        <v>11</v>
      </c>
      <c r="F114" s="12">
        <v>238088.41</v>
      </c>
      <c r="G114" s="13">
        <v>275072.14</v>
      </c>
    </row>
    <row r="115" spans="1:7" x14ac:dyDescent="0.3">
      <c r="A115" s="10">
        <v>5114</v>
      </c>
      <c r="B115" s="11">
        <v>44976</v>
      </c>
      <c r="C115" s="5" t="s">
        <v>12</v>
      </c>
      <c r="D115" s="5" t="s">
        <v>25</v>
      </c>
      <c r="E115" s="5" t="s">
        <v>14</v>
      </c>
      <c r="F115" s="12">
        <v>104772.47</v>
      </c>
      <c r="G115" s="13">
        <v>113485.73</v>
      </c>
    </row>
    <row r="116" spans="1:7" x14ac:dyDescent="0.3">
      <c r="A116" s="10">
        <v>5115</v>
      </c>
      <c r="B116" s="11">
        <v>45595</v>
      </c>
      <c r="C116" s="5" t="s">
        <v>7</v>
      </c>
      <c r="D116" s="5" t="s">
        <v>30</v>
      </c>
      <c r="E116" s="5" t="s">
        <v>15</v>
      </c>
      <c r="F116" s="12">
        <v>93193.25</v>
      </c>
      <c r="G116" s="13">
        <v>114663.88</v>
      </c>
    </row>
    <row r="117" spans="1:7" x14ac:dyDescent="0.3">
      <c r="A117" s="10">
        <v>5116</v>
      </c>
      <c r="B117" s="11">
        <v>45494</v>
      </c>
      <c r="C117" s="5" t="s">
        <v>12</v>
      </c>
      <c r="D117" s="5" t="s">
        <v>25</v>
      </c>
      <c r="E117" s="5" t="s">
        <v>21</v>
      </c>
      <c r="F117" s="12">
        <v>356875.45</v>
      </c>
      <c r="G117" s="13">
        <v>422529.8</v>
      </c>
    </row>
    <row r="118" spans="1:7" x14ac:dyDescent="0.3">
      <c r="A118" s="10">
        <v>5117</v>
      </c>
      <c r="B118" s="11">
        <v>45190</v>
      </c>
      <c r="C118" s="5" t="s">
        <v>7</v>
      </c>
      <c r="D118" s="5" t="s">
        <v>26</v>
      </c>
      <c r="E118" s="5" t="s">
        <v>9</v>
      </c>
      <c r="F118" s="12">
        <v>68002.87</v>
      </c>
      <c r="G118" s="13">
        <v>61476.84</v>
      </c>
    </row>
    <row r="119" spans="1:7" x14ac:dyDescent="0.3">
      <c r="A119" s="10">
        <v>5118</v>
      </c>
      <c r="B119" s="11">
        <v>45280</v>
      </c>
      <c r="C119" s="5" t="s">
        <v>7</v>
      </c>
      <c r="D119" s="5" t="s">
        <v>26</v>
      </c>
      <c r="E119" s="5" t="s">
        <v>27</v>
      </c>
      <c r="F119" s="12">
        <v>51308.49</v>
      </c>
      <c r="G119" s="13">
        <v>60410.74</v>
      </c>
    </row>
    <row r="120" spans="1:7" x14ac:dyDescent="0.3">
      <c r="A120" s="10">
        <v>5119</v>
      </c>
      <c r="B120" s="11">
        <v>45212</v>
      </c>
      <c r="C120" s="5" t="s">
        <v>7</v>
      </c>
      <c r="D120" s="5" t="s">
        <v>20</v>
      </c>
      <c r="E120" s="5" t="s">
        <v>21</v>
      </c>
      <c r="F120" s="12">
        <v>38892.620000000003</v>
      </c>
      <c r="G120" s="13">
        <v>33731.050000000003</v>
      </c>
    </row>
    <row r="121" spans="1:7" x14ac:dyDescent="0.3">
      <c r="A121" s="10">
        <v>5120</v>
      </c>
      <c r="B121" s="11">
        <v>45281</v>
      </c>
      <c r="C121" s="5" t="s">
        <v>7</v>
      </c>
      <c r="D121" s="5" t="s">
        <v>10</v>
      </c>
      <c r="E121" s="5" t="s">
        <v>21</v>
      </c>
      <c r="F121" s="12">
        <v>15337.13</v>
      </c>
      <c r="G121" s="13">
        <v>13214.95</v>
      </c>
    </row>
    <row r="122" spans="1:7" x14ac:dyDescent="0.3">
      <c r="A122" s="10">
        <v>5121</v>
      </c>
      <c r="B122" s="11">
        <v>45259</v>
      </c>
      <c r="C122" s="5" t="s">
        <v>7</v>
      </c>
      <c r="D122" s="5" t="s">
        <v>10</v>
      </c>
      <c r="E122" s="5" t="s">
        <v>27</v>
      </c>
      <c r="F122" s="12">
        <v>213124.65</v>
      </c>
      <c r="G122" s="13">
        <v>253358.55</v>
      </c>
    </row>
    <row r="123" spans="1:7" x14ac:dyDescent="0.3">
      <c r="A123" s="10">
        <v>5122</v>
      </c>
      <c r="B123" s="11">
        <v>45563</v>
      </c>
      <c r="C123" s="5" t="s">
        <v>7</v>
      </c>
      <c r="D123" s="5" t="s">
        <v>29</v>
      </c>
      <c r="E123" s="5" t="s">
        <v>27</v>
      </c>
      <c r="F123" s="12">
        <v>8557.69</v>
      </c>
      <c r="G123" s="13">
        <v>10452.61</v>
      </c>
    </row>
    <row r="124" spans="1:7" x14ac:dyDescent="0.3">
      <c r="A124" s="10">
        <v>5123</v>
      </c>
      <c r="B124" s="11">
        <v>45242</v>
      </c>
      <c r="C124" s="5" t="s">
        <v>7</v>
      </c>
      <c r="D124" s="5" t="s">
        <v>26</v>
      </c>
      <c r="E124" s="5" t="s">
        <v>27</v>
      </c>
      <c r="F124" s="12">
        <v>58713.599999999999</v>
      </c>
      <c r="G124" s="13">
        <v>58925.68</v>
      </c>
    </row>
    <row r="125" spans="1:7" x14ac:dyDescent="0.3">
      <c r="A125" s="10">
        <v>5124</v>
      </c>
      <c r="B125" s="11">
        <v>45230</v>
      </c>
      <c r="C125" s="5" t="s">
        <v>7</v>
      </c>
      <c r="D125" s="5" t="s">
        <v>28</v>
      </c>
      <c r="E125" s="5" t="s">
        <v>27</v>
      </c>
      <c r="F125" s="12">
        <v>235541.96</v>
      </c>
      <c r="G125" s="13">
        <v>221661.74</v>
      </c>
    </row>
    <row r="126" spans="1:7" x14ac:dyDescent="0.3">
      <c r="A126" s="10">
        <v>5125</v>
      </c>
      <c r="B126" s="11">
        <v>45370</v>
      </c>
      <c r="C126" s="5" t="s">
        <v>7</v>
      </c>
      <c r="D126" s="5" t="s">
        <v>22</v>
      </c>
      <c r="E126" s="5" t="s">
        <v>14</v>
      </c>
      <c r="F126" s="12">
        <v>189193.01</v>
      </c>
      <c r="G126" s="13">
        <v>228910.65</v>
      </c>
    </row>
    <row r="127" spans="1:7" x14ac:dyDescent="0.3">
      <c r="A127" s="10">
        <v>5126</v>
      </c>
      <c r="B127" s="11">
        <v>45402</v>
      </c>
      <c r="C127" s="5" t="s">
        <v>7</v>
      </c>
      <c r="D127" s="5" t="s">
        <v>20</v>
      </c>
      <c r="E127" s="5" t="s">
        <v>11</v>
      </c>
      <c r="F127" s="12">
        <v>30176.55</v>
      </c>
      <c r="G127" s="13">
        <v>30940.09</v>
      </c>
    </row>
    <row r="128" spans="1:7" x14ac:dyDescent="0.3">
      <c r="A128" s="10">
        <v>5127</v>
      </c>
      <c r="B128" s="11">
        <v>44978</v>
      </c>
      <c r="C128" s="5" t="s">
        <v>7</v>
      </c>
      <c r="D128" s="5" t="s">
        <v>24</v>
      </c>
      <c r="E128" s="5" t="s">
        <v>14</v>
      </c>
      <c r="F128" s="12">
        <v>181285.93</v>
      </c>
      <c r="G128" s="13">
        <v>194372.73</v>
      </c>
    </row>
    <row r="129" spans="1:7" x14ac:dyDescent="0.3">
      <c r="A129" s="10">
        <v>5128</v>
      </c>
      <c r="B129" s="11">
        <v>45097</v>
      </c>
      <c r="C129" s="5" t="s">
        <v>7</v>
      </c>
      <c r="D129" s="5" t="s">
        <v>16</v>
      </c>
      <c r="E129" s="5" t="s">
        <v>21</v>
      </c>
      <c r="F129" s="12">
        <v>116708.27</v>
      </c>
      <c r="G129" s="13">
        <v>100656.14</v>
      </c>
    </row>
    <row r="130" spans="1:7" x14ac:dyDescent="0.3">
      <c r="A130" s="10">
        <v>5129</v>
      </c>
      <c r="B130" s="11">
        <v>45244</v>
      </c>
      <c r="C130" s="5" t="s">
        <v>7</v>
      </c>
      <c r="D130" s="5" t="s">
        <v>28</v>
      </c>
      <c r="E130" s="5" t="s">
        <v>14</v>
      </c>
      <c r="F130" s="12">
        <v>533184.61</v>
      </c>
      <c r="G130" s="13">
        <v>663535.74</v>
      </c>
    </row>
    <row r="131" spans="1:7" x14ac:dyDescent="0.3">
      <c r="A131" s="10">
        <v>5130</v>
      </c>
      <c r="B131" s="11">
        <v>45378</v>
      </c>
      <c r="C131" s="5" t="s">
        <v>12</v>
      </c>
      <c r="D131" s="5" t="s">
        <v>13</v>
      </c>
      <c r="E131" s="5" t="s">
        <v>17</v>
      </c>
      <c r="F131" s="12">
        <v>492177.76</v>
      </c>
      <c r="G131" s="13">
        <v>588341.78</v>
      </c>
    </row>
    <row r="132" spans="1:7" x14ac:dyDescent="0.3">
      <c r="A132" s="10">
        <v>5131</v>
      </c>
      <c r="B132" s="11">
        <v>45378</v>
      </c>
      <c r="C132" s="5" t="s">
        <v>7</v>
      </c>
      <c r="D132" s="5" t="s">
        <v>30</v>
      </c>
      <c r="E132" s="5" t="s">
        <v>11</v>
      </c>
      <c r="F132" s="12">
        <v>70057.06</v>
      </c>
      <c r="G132" s="13">
        <v>77465.48</v>
      </c>
    </row>
    <row r="133" spans="1:7" x14ac:dyDescent="0.3">
      <c r="A133" s="10">
        <v>5132</v>
      </c>
      <c r="B133" s="11">
        <v>45157</v>
      </c>
      <c r="C133" s="5" t="s">
        <v>12</v>
      </c>
      <c r="D133" s="5" t="s">
        <v>23</v>
      </c>
      <c r="E133" s="5" t="s">
        <v>11</v>
      </c>
      <c r="F133" s="12">
        <v>460836.01</v>
      </c>
      <c r="G133" s="13">
        <v>512219.74</v>
      </c>
    </row>
    <row r="134" spans="1:7" x14ac:dyDescent="0.3">
      <c r="A134" s="10">
        <v>5133</v>
      </c>
      <c r="B134" s="11">
        <v>45498</v>
      </c>
      <c r="C134" s="5" t="s">
        <v>12</v>
      </c>
      <c r="D134" s="5" t="s">
        <v>25</v>
      </c>
      <c r="E134" s="5" t="s">
        <v>15</v>
      </c>
      <c r="F134" s="12">
        <v>277924.45</v>
      </c>
      <c r="G134" s="13">
        <v>249137.79</v>
      </c>
    </row>
    <row r="135" spans="1:7" x14ac:dyDescent="0.3">
      <c r="A135" s="10">
        <v>5134</v>
      </c>
      <c r="B135" s="11">
        <v>45473</v>
      </c>
      <c r="C135" s="5" t="s">
        <v>7</v>
      </c>
      <c r="D135" s="5" t="s">
        <v>16</v>
      </c>
      <c r="E135" s="5" t="s">
        <v>27</v>
      </c>
      <c r="F135" s="12">
        <v>136618.34</v>
      </c>
      <c r="G135" s="13">
        <v>141268.45000000001</v>
      </c>
    </row>
    <row r="136" spans="1:7" x14ac:dyDescent="0.3">
      <c r="A136" s="10">
        <v>5135</v>
      </c>
      <c r="B136" s="11">
        <v>45410</v>
      </c>
      <c r="C136" s="5" t="s">
        <v>12</v>
      </c>
      <c r="D136" s="5" t="s">
        <v>23</v>
      </c>
      <c r="E136" s="5" t="s">
        <v>19</v>
      </c>
      <c r="F136" s="12">
        <v>154181.32</v>
      </c>
      <c r="G136" s="13">
        <v>143072.29999999999</v>
      </c>
    </row>
    <row r="137" spans="1:7" x14ac:dyDescent="0.3">
      <c r="A137" s="10">
        <v>5136</v>
      </c>
      <c r="B137" s="11">
        <v>45512</v>
      </c>
      <c r="C137" s="5" t="s">
        <v>12</v>
      </c>
      <c r="D137" s="5" t="s">
        <v>13</v>
      </c>
      <c r="E137" s="5" t="s">
        <v>15</v>
      </c>
      <c r="F137" s="12">
        <v>381209.96</v>
      </c>
      <c r="G137" s="13">
        <v>420519.33</v>
      </c>
    </row>
    <row r="138" spans="1:7" x14ac:dyDescent="0.3">
      <c r="A138" s="10">
        <v>5137</v>
      </c>
      <c r="B138" s="11">
        <v>45197</v>
      </c>
      <c r="C138" s="5" t="s">
        <v>12</v>
      </c>
      <c r="D138" s="5" t="s">
        <v>23</v>
      </c>
      <c r="E138" s="5" t="s">
        <v>11</v>
      </c>
      <c r="F138" s="12">
        <v>65456.98</v>
      </c>
      <c r="G138" s="13">
        <v>74582.58</v>
      </c>
    </row>
    <row r="139" spans="1:7" x14ac:dyDescent="0.3">
      <c r="A139" s="10">
        <v>5138</v>
      </c>
      <c r="B139" s="11">
        <v>45198</v>
      </c>
      <c r="C139" s="5" t="s">
        <v>7</v>
      </c>
      <c r="D139" s="5" t="s">
        <v>24</v>
      </c>
      <c r="E139" s="5" t="s">
        <v>15</v>
      </c>
      <c r="F139" s="12">
        <v>123381.69</v>
      </c>
      <c r="G139" s="13">
        <v>118218.84</v>
      </c>
    </row>
    <row r="140" spans="1:7" x14ac:dyDescent="0.3">
      <c r="A140" s="10">
        <v>5139</v>
      </c>
      <c r="B140" s="11">
        <v>45441</v>
      </c>
      <c r="C140" s="5" t="s">
        <v>12</v>
      </c>
      <c r="D140" s="5" t="s">
        <v>18</v>
      </c>
      <c r="E140" s="5" t="s">
        <v>9</v>
      </c>
      <c r="F140" s="12">
        <v>290316.34999999998</v>
      </c>
      <c r="G140" s="13">
        <v>254034.25</v>
      </c>
    </row>
    <row r="141" spans="1:7" x14ac:dyDescent="0.3">
      <c r="A141" s="10">
        <v>5140</v>
      </c>
      <c r="B141" s="11">
        <v>45477</v>
      </c>
      <c r="C141" s="5" t="s">
        <v>12</v>
      </c>
      <c r="D141" s="5" t="s">
        <v>18</v>
      </c>
      <c r="E141" s="5" t="s">
        <v>27</v>
      </c>
      <c r="F141" s="12">
        <v>327427.07</v>
      </c>
      <c r="G141" s="13">
        <v>369801.91</v>
      </c>
    </row>
    <row r="142" spans="1:7" x14ac:dyDescent="0.3">
      <c r="A142" s="10">
        <v>5141</v>
      </c>
      <c r="B142" s="11">
        <v>45627</v>
      </c>
      <c r="C142" s="5" t="s">
        <v>7</v>
      </c>
      <c r="D142" s="5" t="s">
        <v>8</v>
      </c>
      <c r="E142" s="5" t="s">
        <v>9</v>
      </c>
      <c r="F142" s="12">
        <v>15824.92</v>
      </c>
      <c r="G142" s="13">
        <v>14591.6</v>
      </c>
    </row>
    <row r="143" spans="1:7" x14ac:dyDescent="0.3">
      <c r="A143" s="10">
        <v>5142</v>
      </c>
      <c r="B143" s="11">
        <v>45123</v>
      </c>
      <c r="C143" s="5" t="s">
        <v>12</v>
      </c>
      <c r="D143" s="5" t="s">
        <v>25</v>
      </c>
      <c r="E143" s="5" t="s">
        <v>15</v>
      </c>
      <c r="F143" s="12">
        <v>220564.64</v>
      </c>
      <c r="G143" s="13">
        <v>266160.09000000003</v>
      </c>
    </row>
    <row r="144" spans="1:7" x14ac:dyDescent="0.3">
      <c r="A144" s="10">
        <v>5143</v>
      </c>
      <c r="B144" s="11">
        <v>45599</v>
      </c>
      <c r="C144" s="5" t="s">
        <v>7</v>
      </c>
      <c r="D144" s="5" t="s">
        <v>8</v>
      </c>
      <c r="E144" s="5" t="s">
        <v>19</v>
      </c>
      <c r="F144" s="12">
        <v>7796.72</v>
      </c>
      <c r="G144" s="13">
        <v>8911.7800000000007</v>
      </c>
    </row>
    <row r="145" spans="1:7" x14ac:dyDescent="0.3">
      <c r="A145" s="10">
        <v>5144</v>
      </c>
      <c r="B145" s="11">
        <v>45163</v>
      </c>
      <c r="C145" s="5" t="s">
        <v>12</v>
      </c>
      <c r="D145" s="5" t="s">
        <v>25</v>
      </c>
      <c r="E145" s="5" t="s">
        <v>9</v>
      </c>
      <c r="F145" s="12">
        <v>199565.52</v>
      </c>
      <c r="G145" s="13">
        <v>196854.25</v>
      </c>
    </row>
    <row r="146" spans="1:7" x14ac:dyDescent="0.3">
      <c r="A146" s="10">
        <v>5145</v>
      </c>
      <c r="B146" s="11">
        <v>45365</v>
      </c>
      <c r="C146" s="5" t="s">
        <v>7</v>
      </c>
      <c r="D146" s="5" t="s">
        <v>30</v>
      </c>
      <c r="E146" s="5" t="s">
        <v>11</v>
      </c>
      <c r="F146" s="12">
        <v>115030.48</v>
      </c>
      <c r="G146" s="13">
        <v>108551.02</v>
      </c>
    </row>
    <row r="147" spans="1:7" x14ac:dyDescent="0.3">
      <c r="A147" s="10">
        <v>5146</v>
      </c>
      <c r="B147" s="11">
        <v>45117</v>
      </c>
      <c r="C147" s="5" t="s">
        <v>12</v>
      </c>
      <c r="D147" s="5" t="s">
        <v>23</v>
      </c>
      <c r="E147" s="5" t="s">
        <v>11</v>
      </c>
      <c r="F147" s="12">
        <v>390040.1</v>
      </c>
      <c r="G147" s="13">
        <v>358479.02</v>
      </c>
    </row>
    <row r="148" spans="1:7" x14ac:dyDescent="0.3">
      <c r="A148" s="10">
        <v>5147</v>
      </c>
      <c r="B148" s="11">
        <v>45536</v>
      </c>
      <c r="C148" s="5" t="s">
        <v>7</v>
      </c>
      <c r="D148" s="5" t="s">
        <v>29</v>
      </c>
      <c r="E148" s="5" t="s">
        <v>14</v>
      </c>
      <c r="F148" s="12">
        <v>4925.96</v>
      </c>
      <c r="G148" s="13">
        <v>4288.18</v>
      </c>
    </row>
    <row r="149" spans="1:7" x14ac:dyDescent="0.3">
      <c r="A149" s="10">
        <v>5148</v>
      </c>
      <c r="B149" s="11">
        <v>45616</v>
      </c>
      <c r="C149" s="5" t="s">
        <v>7</v>
      </c>
      <c r="D149" s="5" t="s">
        <v>29</v>
      </c>
      <c r="E149" s="5" t="s">
        <v>11</v>
      </c>
      <c r="F149" s="12">
        <v>12608.82</v>
      </c>
      <c r="G149" s="13">
        <v>12719.35</v>
      </c>
    </row>
    <row r="150" spans="1:7" x14ac:dyDescent="0.3">
      <c r="A150" s="10">
        <v>5149</v>
      </c>
      <c r="B150" s="11">
        <v>45236</v>
      </c>
      <c r="C150" s="5" t="s">
        <v>7</v>
      </c>
      <c r="D150" s="5" t="s">
        <v>28</v>
      </c>
      <c r="E150" s="5" t="s">
        <v>11</v>
      </c>
      <c r="F150" s="12">
        <v>155935.07</v>
      </c>
      <c r="G150" s="13">
        <v>190954.16</v>
      </c>
    </row>
    <row r="151" spans="1:7" x14ac:dyDescent="0.3">
      <c r="A151" s="10">
        <v>5150</v>
      </c>
      <c r="B151" s="11">
        <v>45316</v>
      </c>
      <c r="C151" s="5" t="s">
        <v>7</v>
      </c>
      <c r="D151" s="5" t="s">
        <v>24</v>
      </c>
      <c r="E151" s="5" t="s">
        <v>11</v>
      </c>
      <c r="F151" s="12">
        <v>86712.51</v>
      </c>
      <c r="G151" s="13">
        <v>107100.69</v>
      </c>
    </row>
    <row r="152" spans="1:7" x14ac:dyDescent="0.3">
      <c r="A152" s="10">
        <v>5151</v>
      </c>
      <c r="B152" s="11">
        <v>45278</v>
      </c>
      <c r="C152" s="5" t="s">
        <v>12</v>
      </c>
      <c r="D152" s="5" t="s">
        <v>23</v>
      </c>
      <c r="E152" s="5" t="s">
        <v>11</v>
      </c>
      <c r="F152" s="12">
        <v>67654.039999999994</v>
      </c>
      <c r="G152" s="13">
        <v>84036.52</v>
      </c>
    </row>
    <row r="153" spans="1:7" x14ac:dyDescent="0.3">
      <c r="A153" s="10">
        <v>5152</v>
      </c>
      <c r="B153" s="11">
        <v>44967</v>
      </c>
      <c r="C153" s="5" t="s">
        <v>12</v>
      </c>
      <c r="D153" s="5" t="s">
        <v>13</v>
      </c>
      <c r="E153" s="5" t="s">
        <v>17</v>
      </c>
      <c r="F153" s="12">
        <v>283574.86</v>
      </c>
      <c r="G153" s="13">
        <v>331287.21000000002</v>
      </c>
    </row>
    <row r="154" spans="1:7" x14ac:dyDescent="0.3">
      <c r="A154" s="10">
        <v>5153</v>
      </c>
      <c r="B154" s="11">
        <v>45415</v>
      </c>
      <c r="C154" s="5" t="s">
        <v>12</v>
      </c>
      <c r="D154" s="5" t="s">
        <v>13</v>
      </c>
      <c r="E154" s="5" t="s">
        <v>21</v>
      </c>
      <c r="F154" s="12">
        <v>380714.68</v>
      </c>
      <c r="G154" s="13">
        <v>472145.7</v>
      </c>
    </row>
    <row r="155" spans="1:7" x14ac:dyDescent="0.3">
      <c r="A155" s="10">
        <v>5154</v>
      </c>
      <c r="B155" s="11">
        <v>45463</v>
      </c>
      <c r="C155" s="5" t="s">
        <v>7</v>
      </c>
      <c r="D155" s="5" t="s">
        <v>20</v>
      </c>
      <c r="E155" s="5" t="s">
        <v>17</v>
      </c>
      <c r="F155" s="12">
        <v>23074.28</v>
      </c>
      <c r="G155" s="13">
        <v>20432.419999999998</v>
      </c>
    </row>
    <row r="156" spans="1:7" x14ac:dyDescent="0.3">
      <c r="A156" s="10">
        <v>5155</v>
      </c>
      <c r="B156" s="11">
        <v>45030</v>
      </c>
      <c r="C156" s="5" t="s">
        <v>7</v>
      </c>
      <c r="D156" s="5" t="s">
        <v>8</v>
      </c>
      <c r="E156" s="5" t="s">
        <v>19</v>
      </c>
      <c r="F156" s="12">
        <v>20584.27</v>
      </c>
      <c r="G156" s="13">
        <v>23767.759999999998</v>
      </c>
    </row>
    <row r="157" spans="1:7" x14ac:dyDescent="0.3">
      <c r="A157" s="10">
        <v>5156</v>
      </c>
      <c r="B157" s="11">
        <v>45559</v>
      </c>
      <c r="C157" s="5" t="s">
        <v>7</v>
      </c>
      <c r="D157" s="5" t="s">
        <v>8</v>
      </c>
      <c r="E157" s="5" t="s">
        <v>27</v>
      </c>
      <c r="F157" s="12">
        <v>16464</v>
      </c>
      <c r="G157" s="13">
        <v>14350.9</v>
      </c>
    </row>
    <row r="158" spans="1:7" x14ac:dyDescent="0.3">
      <c r="A158" s="10">
        <v>5157</v>
      </c>
      <c r="B158" s="11">
        <v>45651</v>
      </c>
      <c r="C158" s="5" t="s">
        <v>7</v>
      </c>
      <c r="D158" s="5" t="s">
        <v>22</v>
      </c>
      <c r="E158" s="5" t="s">
        <v>19</v>
      </c>
      <c r="F158" s="12">
        <v>86455.24</v>
      </c>
      <c r="G158" s="13">
        <v>93343.27</v>
      </c>
    </row>
    <row r="159" spans="1:7" x14ac:dyDescent="0.3">
      <c r="A159" s="10">
        <v>5158</v>
      </c>
      <c r="B159" s="11">
        <v>45499</v>
      </c>
      <c r="C159" s="5" t="s">
        <v>7</v>
      </c>
      <c r="D159" s="5" t="s">
        <v>8</v>
      </c>
      <c r="E159" s="5" t="s">
        <v>15</v>
      </c>
      <c r="F159" s="12">
        <v>22435.61</v>
      </c>
      <c r="G159" s="13">
        <v>27061.22</v>
      </c>
    </row>
    <row r="160" spans="1:7" x14ac:dyDescent="0.3">
      <c r="A160" s="10">
        <v>5159</v>
      </c>
      <c r="B160" s="11">
        <v>45121</v>
      </c>
      <c r="C160" s="5" t="s">
        <v>12</v>
      </c>
      <c r="D160" s="5" t="s">
        <v>25</v>
      </c>
      <c r="E160" s="5" t="s">
        <v>9</v>
      </c>
      <c r="F160" s="12">
        <v>348493.06</v>
      </c>
      <c r="G160" s="13">
        <v>299863.28999999998</v>
      </c>
    </row>
    <row r="161" spans="1:7" x14ac:dyDescent="0.3">
      <c r="A161" s="10">
        <v>5160</v>
      </c>
      <c r="B161" s="11">
        <v>45572</v>
      </c>
      <c r="C161" s="5" t="s">
        <v>12</v>
      </c>
      <c r="D161" s="5" t="s">
        <v>25</v>
      </c>
      <c r="E161" s="5" t="s">
        <v>14</v>
      </c>
      <c r="F161" s="12">
        <v>338855.53</v>
      </c>
      <c r="G161" s="13">
        <v>411028.54</v>
      </c>
    </row>
    <row r="162" spans="1:7" x14ac:dyDescent="0.3">
      <c r="A162" s="10">
        <v>5161</v>
      </c>
      <c r="B162" s="11">
        <v>45596</v>
      </c>
      <c r="C162" s="5" t="s">
        <v>7</v>
      </c>
      <c r="D162" s="5" t="s">
        <v>8</v>
      </c>
      <c r="E162" s="5" t="s">
        <v>17</v>
      </c>
      <c r="F162" s="12">
        <v>10356.86</v>
      </c>
      <c r="G162" s="13">
        <v>10982.33</v>
      </c>
    </row>
    <row r="163" spans="1:7" x14ac:dyDescent="0.3">
      <c r="A163" s="10">
        <v>5162</v>
      </c>
      <c r="B163" s="11">
        <v>45004</v>
      </c>
      <c r="C163" s="5" t="s">
        <v>7</v>
      </c>
      <c r="D163" s="5" t="s">
        <v>20</v>
      </c>
      <c r="E163" s="5" t="s">
        <v>11</v>
      </c>
      <c r="F163" s="12">
        <v>24133.77</v>
      </c>
      <c r="G163" s="13">
        <v>29489.41</v>
      </c>
    </row>
    <row r="164" spans="1:7" x14ac:dyDescent="0.3">
      <c r="A164" s="10">
        <v>5163</v>
      </c>
      <c r="B164" s="11">
        <v>45132</v>
      </c>
      <c r="C164" s="5" t="s">
        <v>7</v>
      </c>
      <c r="D164" s="5" t="s">
        <v>8</v>
      </c>
      <c r="E164" s="5" t="s">
        <v>15</v>
      </c>
      <c r="F164" s="12">
        <v>12780.87</v>
      </c>
      <c r="G164" s="13">
        <v>15482.92</v>
      </c>
    </row>
    <row r="165" spans="1:7" x14ac:dyDescent="0.3">
      <c r="A165" s="10">
        <v>5164</v>
      </c>
      <c r="B165" s="11">
        <v>45075</v>
      </c>
      <c r="C165" s="5" t="s">
        <v>12</v>
      </c>
      <c r="D165" s="5" t="s">
        <v>13</v>
      </c>
      <c r="E165" s="5" t="s">
        <v>19</v>
      </c>
      <c r="F165" s="12">
        <v>111681.53</v>
      </c>
      <c r="G165" s="13">
        <v>130511.95</v>
      </c>
    </row>
    <row r="166" spans="1:7" x14ac:dyDescent="0.3">
      <c r="A166" s="10">
        <v>5165</v>
      </c>
      <c r="B166" s="11">
        <v>45160</v>
      </c>
      <c r="C166" s="5" t="s">
        <v>12</v>
      </c>
      <c r="D166" s="5" t="s">
        <v>23</v>
      </c>
      <c r="E166" s="5" t="s">
        <v>21</v>
      </c>
      <c r="F166" s="12">
        <v>100730.68</v>
      </c>
      <c r="G166" s="13">
        <v>115041.57</v>
      </c>
    </row>
    <row r="167" spans="1:7" x14ac:dyDescent="0.3">
      <c r="A167" s="10">
        <v>5166</v>
      </c>
      <c r="B167" s="11">
        <v>44979</v>
      </c>
      <c r="C167" s="5" t="s">
        <v>12</v>
      </c>
      <c r="D167" s="5" t="s">
        <v>13</v>
      </c>
      <c r="E167" s="5" t="s">
        <v>27</v>
      </c>
      <c r="F167" s="12">
        <v>292365.55</v>
      </c>
      <c r="G167" s="13">
        <v>356952.45</v>
      </c>
    </row>
    <row r="168" spans="1:7" x14ac:dyDescent="0.3">
      <c r="A168" s="10">
        <v>5167</v>
      </c>
      <c r="B168" s="11">
        <v>45215</v>
      </c>
      <c r="C168" s="5" t="s">
        <v>7</v>
      </c>
      <c r="D168" s="5" t="s">
        <v>29</v>
      </c>
      <c r="E168" s="5" t="s">
        <v>9</v>
      </c>
      <c r="F168" s="12">
        <v>53002.87</v>
      </c>
      <c r="G168" s="13">
        <v>61216.49</v>
      </c>
    </row>
    <row r="169" spans="1:7" x14ac:dyDescent="0.3">
      <c r="A169" s="10">
        <v>5168</v>
      </c>
      <c r="B169" s="11">
        <v>44964</v>
      </c>
      <c r="C169" s="5" t="s">
        <v>7</v>
      </c>
      <c r="D169" s="5" t="s">
        <v>22</v>
      </c>
      <c r="E169" s="5" t="s">
        <v>19</v>
      </c>
      <c r="F169" s="12">
        <v>241206.09</v>
      </c>
      <c r="G169" s="13">
        <v>245836.51</v>
      </c>
    </row>
    <row r="170" spans="1:7" x14ac:dyDescent="0.3">
      <c r="A170" s="10">
        <v>5169</v>
      </c>
      <c r="B170" s="11">
        <v>44990</v>
      </c>
      <c r="C170" s="5" t="s">
        <v>7</v>
      </c>
      <c r="D170" s="5" t="s">
        <v>24</v>
      </c>
      <c r="E170" s="5" t="s">
        <v>9</v>
      </c>
      <c r="F170" s="12">
        <v>14784.03</v>
      </c>
      <c r="G170" s="13">
        <v>15755.74</v>
      </c>
    </row>
    <row r="171" spans="1:7" x14ac:dyDescent="0.3">
      <c r="A171" s="10">
        <v>5170</v>
      </c>
      <c r="B171" s="11">
        <v>45057</v>
      </c>
      <c r="C171" s="5" t="s">
        <v>12</v>
      </c>
      <c r="D171" s="5" t="s">
        <v>13</v>
      </c>
      <c r="E171" s="5" t="s">
        <v>15</v>
      </c>
      <c r="F171" s="12">
        <v>171216.52</v>
      </c>
      <c r="G171" s="13">
        <v>193867.96</v>
      </c>
    </row>
    <row r="172" spans="1:7" x14ac:dyDescent="0.3">
      <c r="A172" s="10">
        <v>5171</v>
      </c>
      <c r="B172" s="11">
        <v>45654</v>
      </c>
      <c r="C172" s="5" t="s">
        <v>7</v>
      </c>
      <c r="D172" s="5" t="s">
        <v>16</v>
      </c>
      <c r="E172" s="5" t="s">
        <v>9</v>
      </c>
      <c r="F172" s="12">
        <v>127794.46</v>
      </c>
      <c r="G172" s="13">
        <v>143715.67000000001</v>
      </c>
    </row>
    <row r="173" spans="1:7" x14ac:dyDescent="0.3">
      <c r="A173" s="10">
        <v>5172</v>
      </c>
      <c r="B173" s="11">
        <v>45195</v>
      </c>
      <c r="C173" s="5" t="s">
        <v>7</v>
      </c>
      <c r="D173" s="5" t="s">
        <v>30</v>
      </c>
      <c r="E173" s="5" t="s">
        <v>11</v>
      </c>
      <c r="F173" s="12">
        <v>87729.02</v>
      </c>
      <c r="G173" s="13">
        <v>79199.399999999994</v>
      </c>
    </row>
    <row r="174" spans="1:7" x14ac:dyDescent="0.3">
      <c r="A174" s="10">
        <v>5173</v>
      </c>
      <c r="B174" s="11">
        <v>45538</v>
      </c>
      <c r="C174" s="5" t="s">
        <v>7</v>
      </c>
      <c r="D174" s="5" t="s">
        <v>29</v>
      </c>
      <c r="E174" s="5" t="s">
        <v>21</v>
      </c>
      <c r="F174" s="12">
        <v>50194.68</v>
      </c>
      <c r="G174" s="13">
        <v>52937.59</v>
      </c>
    </row>
    <row r="175" spans="1:7" x14ac:dyDescent="0.3">
      <c r="A175" s="10">
        <v>5174</v>
      </c>
      <c r="B175" s="11">
        <v>45092</v>
      </c>
      <c r="C175" s="5" t="s">
        <v>7</v>
      </c>
      <c r="D175" s="5" t="s">
        <v>10</v>
      </c>
      <c r="E175" s="5" t="s">
        <v>27</v>
      </c>
      <c r="F175" s="12">
        <v>198630.68</v>
      </c>
      <c r="G175" s="13">
        <v>246569.52</v>
      </c>
    </row>
    <row r="176" spans="1:7" x14ac:dyDescent="0.3">
      <c r="A176" s="10">
        <v>5175</v>
      </c>
      <c r="B176" s="11">
        <v>45192</v>
      </c>
      <c r="C176" s="5" t="s">
        <v>7</v>
      </c>
      <c r="D176" s="5" t="s">
        <v>16</v>
      </c>
      <c r="E176" s="5" t="s">
        <v>17</v>
      </c>
      <c r="F176" s="12">
        <v>75688.039999999994</v>
      </c>
      <c r="G176" s="13">
        <v>78721.990000000005</v>
      </c>
    </row>
    <row r="177" spans="1:7" x14ac:dyDescent="0.3">
      <c r="A177" s="10">
        <v>5176</v>
      </c>
      <c r="B177" s="11">
        <v>45183</v>
      </c>
      <c r="C177" s="5" t="s">
        <v>12</v>
      </c>
      <c r="D177" s="5" t="s">
        <v>25</v>
      </c>
      <c r="E177" s="5" t="s">
        <v>27</v>
      </c>
      <c r="F177" s="12">
        <v>275854.33</v>
      </c>
      <c r="G177" s="13">
        <v>271648.40000000002</v>
      </c>
    </row>
    <row r="178" spans="1:7" x14ac:dyDescent="0.3">
      <c r="A178" s="10">
        <v>5177</v>
      </c>
      <c r="B178" s="11">
        <v>44927</v>
      </c>
      <c r="C178" s="5" t="s">
        <v>12</v>
      </c>
      <c r="D178" s="5" t="s">
        <v>13</v>
      </c>
      <c r="E178" s="5" t="s">
        <v>15</v>
      </c>
      <c r="F178" s="12">
        <v>475080.13</v>
      </c>
      <c r="G178" s="13">
        <v>435043.52</v>
      </c>
    </row>
    <row r="179" spans="1:7" x14ac:dyDescent="0.3">
      <c r="A179" s="10">
        <v>5178</v>
      </c>
      <c r="B179" s="11">
        <v>45470</v>
      </c>
      <c r="C179" s="5" t="s">
        <v>12</v>
      </c>
      <c r="D179" s="5" t="s">
        <v>25</v>
      </c>
      <c r="E179" s="5" t="s">
        <v>14</v>
      </c>
      <c r="F179" s="12">
        <v>89045.63</v>
      </c>
      <c r="G179" s="13">
        <v>84969.82</v>
      </c>
    </row>
    <row r="180" spans="1:7" x14ac:dyDescent="0.3">
      <c r="A180" s="10">
        <v>5179</v>
      </c>
      <c r="B180" s="11">
        <v>44968</v>
      </c>
      <c r="C180" s="5" t="s">
        <v>12</v>
      </c>
      <c r="D180" s="5" t="s">
        <v>23</v>
      </c>
      <c r="E180" s="5" t="s">
        <v>19</v>
      </c>
      <c r="F180" s="12">
        <v>462473.66</v>
      </c>
      <c r="G180" s="13">
        <v>510540.57</v>
      </c>
    </row>
    <row r="181" spans="1:7" x14ac:dyDescent="0.3">
      <c r="A181" s="10">
        <v>5180</v>
      </c>
      <c r="B181" s="11">
        <v>45133</v>
      </c>
      <c r="C181" s="5" t="s">
        <v>12</v>
      </c>
      <c r="D181" s="5" t="s">
        <v>25</v>
      </c>
      <c r="E181" s="5" t="s">
        <v>19</v>
      </c>
      <c r="F181" s="12">
        <v>170636.56</v>
      </c>
      <c r="G181" s="13">
        <v>204076.76</v>
      </c>
    </row>
    <row r="182" spans="1:7" x14ac:dyDescent="0.3">
      <c r="A182" s="10">
        <v>5181</v>
      </c>
      <c r="B182" s="11">
        <v>45060</v>
      </c>
      <c r="C182" s="5" t="s">
        <v>7</v>
      </c>
      <c r="D182" s="5" t="s">
        <v>30</v>
      </c>
      <c r="E182" s="5" t="s">
        <v>15</v>
      </c>
      <c r="F182" s="12">
        <v>82203.149999999994</v>
      </c>
      <c r="G182" s="13">
        <v>79076.83</v>
      </c>
    </row>
    <row r="183" spans="1:7" x14ac:dyDescent="0.3">
      <c r="A183" s="10">
        <v>5182</v>
      </c>
      <c r="B183" s="11">
        <v>45295</v>
      </c>
      <c r="C183" s="5" t="s">
        <v>7</v>
      </c>
      <c r="D183" s="5" t="s">
        <v>22</v>
      </c>
      <c r="E183" s="5" t="s">
        <v>11</v>
      </c>
      <c r="F183" s="12">
        <v>263230.26</v>
      </c>
      <c r="G183" s="13">
        <v>315384.3</v>
      </c>
    </row>
    <row r="184" spans="1:7" x14ac:dyDescent="0.3">
      <c r="A184" s="10">
        <v>5183</v>
      </c>
      <c r="B184" s="11">
        <v>45490</v>
      </c>
      <c r="C184" s="5" t="s">
        <v>12</v>
      </c>
      <c r="D184" s="5" t="s">
        <v>25</v>
      </c>
      <c r="E184" s="5" t="s">
        <v>27</v>
      </c>
      <c r="F184" s="12">
        <v>273745.63</v>
      </c>
      <c r="G184" s="13">
        <v>302320.03000000003</v>
      </c>
    </row>
    <row r="185" spans="1:7" x14ac:dyDescent="0.3">
      <c r="A185" s="10">
        <v>5184</v>
      </c>
      <c r="B185" s="11">
        <v>45518</v>
      </c>
      <c r="C185" s="5" t="s">
        <v>7</v>
      </c>
      <c r="D185" s="5" t="s">
        <v>22</v>
      </c>
      <c r="E185" s="5" t="s">
        <v>17</v>
      </c>
      <c r="F185" s="12">
        <v>108309.23</v>
      </c>
      <c r="G185" s="13">
        <v>115935.73</v>
      </c>
    </row>
    <row r="186" spans="1:7" x14ac:dyDescent="0.3">
      <c r="A186" s="10">
        <v>5185</v>
      </c>
      <c r="B186" s="11">
        <v>45547</v>
      </c>
      <c r="C186" s="5" t="s">
        <v>12</v>
      </c>
      <c r="D186" s="5" t="s">
        <v>18</v>
      </c>
      <c r="E186" s="5" t="s">
        <v>19</v>
      </c>
      <c r="F186" s="12">
        <v>95256.9</v>
      </c>
      <c r="G186" s="13">
        <v>106605.91</v>
      </c>
    </row>
    <row r="187" spans="1:7" x14ac:dyDescent="0.3">
      <c r="A187" s="10">
        <v>5186</v>
      </c>
      <c r="B187" s="11">
        <v>45391</v>
      </c>
      <c r="C187" s="5" t="s">
        <v>7</v>
      </c>
      <c r="D187" s="5" t="s">
        <v>20</v>
      </c>
      <c r="E187" s="5" t="s">
        <v>15</v>
      </c>
      <c r="F187" s="12">
        <v>20247.54</v>
      </c>
      <c r="G187" s="13">
        <v>22439.32</v>
      </c>
    </row>
    <row r="188" spans="1:7" x14ac:dyDescent="0.3">
      <c r="A188" s="10">
        <v>5187</v>
      </c>
      <c r="B188" s="11">
        <v>45078</v>
      </c>
      <c r="C188" s="5" t="s">
        <v>7</v>
      </c>
      <c r="D188" s="5" t="s">
        <v>10</v>
      </c>
      <c r="E188" s="5" t="s">
        <v>21</v>
      </c>
      <c r="F188" s="12">
        <v>88658.14</v>
      </c>
      <c r="G188" s="13">
        <v>79582.48</v>
      </c>
    </row>
    <row r="189" spans="1:7" x14ac:dyDescent="0.3">
      <c r="A189" s="10">
        <v>5188</v>
      </c>
      <c r="B189" s="11">
        <v>45498</v>
      </c>
      <c r="C189" s="5" t="s">
        <v>7</v>
      </c>
      <c r="D189" s="5" t="s">
        <v>8</v>
      </c>
      <c r="E189" s="5" t="s">
        <v>17</v>
      </c>
      <c r="F189" s="12">
        <v>7370.57</v>
      </c>
      <c r="G189" s="13">
        <v>9025.59</v>
      </c>
    </row>
    <row r="190" spans="1:7" x14ac:dyDescent="0.3">
      <c r="A190" s="10">
        <v>5189</v>
      </c>
      <c r="B190" s="11">
        <v>45218</v>
      </c>
      <c r="C190" s="5" t="s">
        <v>7</v>
      </c>
      <c r="D190" s="5" t="s">
        <v>30</v>
      </c>
      <c r="E190" s="5" t="s">
        <v>27</v>
      </c>
      <c r="F190" s="12">
        <v>40094.980000000003</v>
      </c>
      <c r="G190" s="13">
        <v>47275.519999999997</v>
      </c>
    </row>
    <row r="191" spans="1:7" x14ac:dyDescent="0.3">
      <c r="A191" s="10">
        <v>5190</v>
      </c>
      <c r="B191" s="11">
        <v>45117</v>
      </c>
      <c r="C191" s="5" t="s">
        <v>12</v>
      </c>
      <c r="D191" s="5" t="s">
        <v>25</v>
      </c>
      <c r="E191" s="5" t="s">
        <v>19</v>
      </c>
      <c r="F191" s="12">
        <v>369282.86</v>
      </c>
      <c r="G191" s="13">
        <v>364761.85</v>
      </c>
    </row>
    <row r="192" spans="1:7" x14ac:dyDescent="0.3">
      <c r="A192" s="10">
        <v>5191</v>
      </c>
      <c r="B192" s="11">
        <v>45106</v>
      </c>
      <c r="C192" s="5" t="s">
        <v>7</v>
      </c>
      <c r="D192" s="5" t="s">
        <v>8</v>
      </c>
      <c r="E192" s="5" t="s">
        <v>17</v>
      </c>
      <c r="F192" s="12">
        <v>17680.71</v>
      </c>
      <c r="G192" s="13">
        <v>18453.41</v>
      </c>
    </row>
    <row r="193" spans="1:7" x14ac:dyDescent="0.3">
      <c r="A193" s="10">
        <v>5192</v>
      </c>
      <c r="B193" s="11">
        <v>45594</v>
      </c>
      <c r="C193" s="5" t="s">
        <v>7</v>
      </c>
      <c r="D193" s="5" t="s">
        <v>29</v>
      </c>
      <c r="E193" s="5" t="s">
        <v>27</v>
      </c>
      <c r="F193" s="12">
        <v>44134.25</v>
      </c>
      <c r="G193" s="13">
        <v>46170</v>
      </c>
    </row>
    <row r="194" spans="1:7" x14ac:dyDescent="0.3">
      <c r="A194" s="10">
        <v>5193</v>
      </c>
      <c r="B194" s="11">
        <v>45551</v>
      </c>
      <c r="C194" s="5" t="s">
        <v>12</v>
      </c>
      <c r="D194" s="5" t="s">
        <v>23</v>
      </c>
      <c r="E194" s="5" t="s">
        <v>14</v>
      </c>
      <c r="F194" s="12">
        <v>189653.64</v>
      </c>
      <c r="G194" s="13">
        <v>172608.95</v>
      </c>
    </row>
    <row r="195" spans="1:7" x14ac:dyDescent="0.3">
      <c r="A195" s="10">
        <v>5194</v>
      </c>
      <c r="B195" s="11">
        <v>45383</v>
      </c>
      <c r="C195" s="5" t="s">
        <v>7</v>
      </c>
      <c r="D195" s="5" t="s">
        <v>30</v>
      </c>
      <c r="E195" s="5" t="s">
        <v>19</v>
      </c>
      <c r="F195" s="12">
        <v>49217.88</v>
      </c>
      <c r="G195" s="13">
        <v>48045.08</v>
      </c>
    </row>
    <row r="196" spans="1:7" x14ac:dyDescent="0.3">
      <c r="A196" s="10">
        <v>5195</v>
      </c>
      <c r="B196" s="11">
        <v>45129</v>
      </c>
      <c r="C196" s="5" t="s">
        <v>7</v>
      </c>
      <c r="D196" s="5" t="s">
        <v>29</v>
      </c>
      <c r="E196" s="5" t="s">
        <v>27</v>
      </c>
      <c r="F196" s="12">
        <v>32683.72</v>
      </c>
      <c r="G196" s="13">
        <v>38112.31</v>
      </c>
    </row>
    <row r="197" spans="1:7" x14ac:dyDescent="0.3">
      <c r="A197" s="10">
        <v>5196</v>
      </c>
      <c r="B197" s="11">
        <v>45309</v>
      </c>
      <c r="C197" s="5" t="s">
        <v>12</v>
      </c>
      <c r="D197" s="5" t="s">
        <v>25</v>
      </c>
      <c r="E197" s="5" t="s">
        <v>21</v>
      </c>
      <c r="F197" s="12">
        <v>103263.63</v>
      </c>
      <c r="G197" s="13">
        <v>119058.09</v>
      </c>
    </row>
    <row r="198" spans="1:7" x14ac:dyDescent="0.3">
      <c r="A198" s="10">
        <v>5197</v>
      </c>
      <c r="B198" s="11">
        <v>45324</v>
      </c>
      <c r="C198" s="5" t="s">
        <v>12</v>
      </c>
      <c r="D198" s="5" t="s">
        <v>18</v>
      </c>
      <c r="E198" s="5" t="s">
        <v>11</v>
      </c>
      <c r="F198" s="12">
        <v>349011.41</v>
      </c>
      <c r="G198" s="13">
        <v>397702.40000000002</v>
      </c>
    </row>
    <row r="199" spans="1:7" x14ac:dyDescent="0.3">
      <c r="A199" s="10">
        <v>5198</v>
      </c>
      <c r="B199" s="11">
        <v>44958</v>
      </c>
      <c r="C199" s="5" t="s">
        <v>12</v>
      </c>
      <c r="D199" s="5" t="s">
        <v>13</v>
      </c>
      <c r="E199" s="5" t="s">
        <v>14</v>
      </c>
      <c r="F199" s="12">
        <v>487394.79</v>
      </c>
      <c r="G199" s="13">
        <v>547088.92000000004</v>
      </c>
    </row>
    <row r="200" spans="1:7" x14ac:dyDescent="0.3">
      <c r="A200" s="10">
        <v>5199</v>
      </c>
      <c r="B200" s="11">
        <v>45089</v>
      </c>
      <c r="C200" s="5" t="s">
        <v>7</v>
      </c>
      <c r="D200" s="5" t="s">
        <v>16</v>
      </c>
      <c r="E200" s="5" t="s">
        <v>19</v>
      </c>
      <c r="F200" s="12">
        <v>32013.65</v>
      </c>
      <c r="G200" s="13">
        <v>28219.58</v>
      </c>
    </row>
    <row r="201" spans="1:7" x14ac:dyDescent="0.3">
      <c r="A201" s="10">
        <v>5200</v>
      </c>
      <c r="B201" s="11">
        <v>45622</v>
      </c>
      <c r="C201" s="5" t="s">
        <v>7</v>
      </c>
      <c r="D201" s="5" t="s">
        <v>29</v>
      </c>
      <c r="E201" s="5" t="s">
        <v>21</v>
      </c>
      <c r="F201" s="12">
        <v>10603.79</v>
      </c>
      <c r="G201" s="13">
        <v>11922.17</v>
      </c>
    </row>
    <row r="202" spans="1:7" x14ac:dyDescent="0.3">
      <c r="A202" s="10">
        <v>5201</v>
      </c>
      <c r="B202" s="11">
        <v>45531</v>
      </c>
      <c r="C202" s="5" t="s">
        <v>12</v>
      </c>
      <c r="D202" s="5" t="s">
        <v>18</v>
      </c>
      <c r="E202" s="5" t="s">
        <v>21</v>
      </c>
      <c r="F202" s="12">
        <v>291581.40000000002</v>
      </c>
      <c r="G202" s="13">
        <v>323071.28999999998</v>
      </c>
    </row>
    <row r="203" spans="1:7" x14ac:dyDescent="0.3">
      <c r="A203" s="10">
        <v>5202</v>
      </c>
      <c r="B203" s="11">
        <v>45280</v>
      </c>
      <c r="C203" s="5" t="s">
        <v>12</v>
      </c>
      <c r="D203" s="5" t="s">
        <v>23</v>
      </c>
      <c r="E203" s="5" t="s">
        <v>9</v>
      </c>
      <c r="F203" s="12">
        <v>393013.32</v>
      </c>
      <c r="G203" s="13">
        <v>478235.05</v>
      </c>
    </row>
    <row r="204" spans="1:7" x14ac:dyDescent="0.3">
      <c r="A204" s="10">
        <v>5203</v>
      </c>
      <c r="B204" s="11">
        <v>45453</v>
      </c>
      <c r="C204" s="5" t="s">
        <v>12</v>
      </c>
      <c r="D204" s="5" t="s">
        <v>23</v>
      </c>
      <c r="E204" s="5" t="s">
        <v>15</v>
      </c>
      <c r="F204" s="12">
        <v>191453.64</v>
      </c>
      <c r="G204" s="13">
        <v>193084.75</v>
      </c>
    </row>
    <row r="205" spans="1:7" x14ac:dyDescent="0.3">
      <c r="A205" s="10">
        <v>5204</v>
      </c>
      <c r="B205" s="11">
        <v>45532</v>
      </c>
      <c r="C205" s="5" t="s">
        <v>12</v>
      </c>
      <c r="D205" s="5" t="s">
        <v>13</v>
      </c>
      <c r="E205" s="5" t="s">
        <v>15</v>
      </c>
      <c r="F205" s="12">
        <v>166513.1</v>
      </c>
      <c r="G205" s="13">
        <v>184323.69</v>
      </c>
    </row>
    <row r="206" spans="1:7" x14ac:dyDescent="0.3">
      <c r="A206" s="10">
        <v>5205</v>
      </c>
      <c r="B206" s="11">
        <v>45371</v>
      </c>
      <c r="C206" s="5" t="s">
        <v>12</v>
      </c>
      <c r="D206" s="5" t="s">
        <v>18</v>
      </c>
      <c r="E206" s="5" t="s">
        <v>11</v>
      </c>
      <c r="F206" s="12">
        <v>166281.88</v>
      </c>
      <c r="G206" s="13">
        <v>173461.2</v>
      </c>
    </row>
    <row r="207" spans="1:7" x14ac:dyDescent="0.3">
      <c r="A207" s="10">
        <v>5206</v>
      </c>
      <c r="B207" s="11">
        <v>45633</v>
      </c>
      <c r="C207" s="5" t="s">
        <v>7</v>
      </c>
      <c r="D207" s="5" t="s">
        <v>16</v>
      </c>
      <c r="E207" s="5" t="s">
        <v>9</v>
      </c>
      <c r="F207" s="12">
        <v>107628.44</v>
      </c>
      <c r="G207" s="13">
        <v>126067.22</v>
      </c>
    </row>
    <row r="208" spans="1:7" x14ac:dyDescent="0.3">
      <c r="A208" s="10">
        <v>5207</v>
      </c>
      <c r="B208" s="11">
        <v>45285</v>
      </c>
      <c r="C208" s="5" t="s">
        <v>7</v>
      </c>
      <c r="D208" s="5" t="s">
        <v>10</v>
      </c>
      <c r="E208" s="5" t="s">
        <v>14</v>
      </c>
      <c r="F208" s="12">
        <v>152025.76</v>
      </c>
      <c r="G208" s="13">
        <v>131450.23999999999</v>
      </c>
    </row>
    <row r="209" spans="1:7" x14ac:dyDescent="0.3">
      <c r="A209" s="10">
        <v>5208</v>
      </c>
      <c r="B209" s="11">
        <v>45158</v>
      </c>
      <c r="C209" s="5" t="s">
        <v>7</v>
      </c>
      <c r="D209" s="5" t="s">
        <v>8</v>
      </c>
      <c r="E209" s="5" t="s">
        <v>14</v>
      </c>
      <c r="F209" s="12">
        <v>21493.42</v>
      </c>
      <c r="G209" s="13">
        <v>21429.26</v>
      </c>
    </row>
    <row r="210" spans="1:7" x14ac:dyDescent="0.3">
      <c r="A210" s="10">
        <v>5209</v>
      </c>
      <c r="B210" s="11">
        <v>45083</v>
      </c>
      <c r="C210" s="5" t="s">
        <v>12</v>
      </c>
      <c r="D210" s="5" t="s">
        <v>13</v>
      </c>
      <c r="E210" s="5" t="s">
        <v>21</v>
      </c>
      <c r="F210" s="12">
        <v>435698.71</v>
      </c>
      <c r="G210" s="13">
        <v>496219.65</v>
      </c>
    </row>
    <row r="211" spans="1:7" x14ac:dyDescent="0.3">
      <c r="A211" s="10">
        <v>5210</v>
      </c>
      <c r="B211" s="11">
        <v>45601</v>
      </c>
      <c r="C211" s="5" t="s">
        <v>12</v>
      </c>
      <c r="D211" s="5" t="s">
        <v>25</v>
      </c>
      <c r="E211" s="5" t="s">
        <v>17</v>
      </c>
      <c r="F211" s="12">
        <v>79668.789999999994</v>
      </c>
      <c r="G211" s="13">
        <v>80225.8</v>
      </c>
    </row>
    <row r="212" spans="1:7" x14ac:dyDescent="0.3">
      <c r="A212" s="10">
        <v>5211</v>
      </c>
      <c r="B212" s="11">
        <v>45074</v>
      </c>
      <c r="C212" s="5" t="s">
        <v>7</v>
      </c>
      <c r="D212" s="5" t="s">
        <v>22</v>
      </c>
      <c r="E212" s="5" t="s">
        <v>11</v>
      </c>
      <c r="F212" s="12">
        <v>222092.53</v>
      </c>
      <c r="G212" s="13">
        <v>200275.34</v>
      </c>
    </row>
    <row r="213" spans="1:7" x14ac:dyDescent="0.3">
      <c r="A213" s="10">
        <v>5212</v>
      </c>
      <c r="B213" s="11">
        <v>45582</v>
      </c>
      <c r="C213" s="5" t="s">
        <v>7</v>
      </c>
      <c r="D213" s="5" t="s">
        <v>24</v>
      </c>
      <c r="E213" s="5" t="s">
        <v>14</v>
      </c>
      <c r="F213" s="12">
        <v>59279.3</v>
      </c>
      <c r="G213" s="13">
        <v>63777.29</v>
      </c>
    </row>
    <row r="214" spans="1:7" x14ac:dyDescent="0.3">
      <c r="A214" s="10">
        <v>5213</v>
      </c>
      <c r="B214" s="11">
        <v>45090</v>
      </c>
      <c r="C214" s="5" t="s">
        <v>12</v>
      </c>
      <c r="D214" s="5" t="s">
        <v>25</v>
      </c>
      <c r="E214" s="5" t="s">
        <v>14</v>
      </c>
      <c r="F214" s="12">
        <v>228583.06</v>
      </c>
      <c r="G214" s="13">
        <v>220366.68</v>
      </c>
    </row>
    <row r="215" spans="1:7" x14ac:dyDescent="0.3">
      <c r="A215" s="10">
        <v>5214</v>
      </c>
      <c r="B215" s="11">
        <v>45309</v>
      </c>
      <c r="C215" s="5" t="s">
        <v>7</v>
      </c>
      <c r="D215" s="5" t="s">
        <v>16</v>
      </c>
      <c r="E215" s="5" t="s">
        <v>27</v>
      </c>
      <c r="F215" s="12">
        <v>73768.44</v>
      </c>
      <c r="G215" s="13">
        <v>80335.960000000006</v>
      </c>
    </row>
    <row r="216" spans="1:7" x14ac:dyDescent="0.3">
      <c r="A216" s="10">
        <v>5215</v>
      </c>
      <c r="B216" s="11">
        <v>45418</v>
      </c>
      <c r="C216" s="5" t="s">
        <v>7</v>
      </c>
      <c r="D216" s="5" t="s">
        <v>20</v>
      </c>
      <c r="E216" s="5" t="s">
        <v>19</v>
      </c>
      <c r="F216" s="12">
        <v>14941.51</v>
      </c>
      <c r="G216" s="13">
        <v>17749.349999999999</v>
      </c>
    </row>
    <row r="217" spans="1:7" x14ac:dyDescent="0.3">
      <c r="A217" s="10">
        <v>5216</v>
      </c>
      <c r="B217" s="11">
        <v>45111</v>
      </c>
      <c r="C217" s="5" t="s">
        <v>7</v>
      </c>
      <c r="D217" s="5" t="s">
        <v>20</v>
      </c>
      <c r="E217" s="5" t="s">
        <v>15</v>
      </c>
      <c r="F217" s="12">
        <v>26256.16</v>
      </c>
      <c r="G217" s="13">
        <v>22561.919999999998</v>
      </c>
    </row>
    <row r="218" spans="1:7" x14ac:dyDescent="0.3">
      <c r="A218" s="10">
        <v>5217</v>
      </c>
      <c r="B218" s="11">
        <v>45210</v>
      </c>
      <c r="C218" s="5" t="s">
        <v>7</v>
      </c>
      <c r="D218" s="5" t="s">
        <v>30</v>
      </c>
      <c r="E218" s="5" t="s">
        <v>27</v>
      </c>
      <c r="F218" s="12">
        <v>49823.6</v>
      </c>
      <c r="G218" s="13">
        <v>50013.89</v>
      </c>
    </row>
    <row r="219" spans="1:7" x14ac:dyDescent="0.3">
      <c r="A219" s="10">
        <v>5218</v>
      </c>
      <c r="B219" s="11">
        <v>45375</v>
      </c>
      <c r="C219" s="5" t="s">
        <v>7</v>
      </c>
      <c r="D219" s="5" t="s">
        <v>22</v>
      </c>
      <c r="E219" s="5" t="s">
        <v>14</v>
      </c>
      <c r="F219" s="12">
        <v>286642.61</v>
      </c>
      <c r="G219" s="13">
        <v>294645.51</v>
      </c>
    </row>
    <row r="220" spans="1:7" x14ac:dyDescent="0.3">
      <c r="A220" s="10">
        <v>5219</v>
      </c>
      <c r="B220" s="11">
        <v>45302</v>
      </c>
      <c r="C220" s="5" t="s">
        <v>7</v>
      </c>
      <c r="D220" s="5" t="s">
        <v>16</v>
      </c>
      <c r="E220" s="5" t="s">
        <v>9</v>
      </c>
      <c r="F220" s="12">
        <v>104478.46</v>
      </c>
      <c r="G220" s="13">
        <v>100041.64</v>
      </c>
    </row>
    <row r="221" spans="1:7" x14ac:dyDescent="0.3">
      <c r="A221" s="10">
        <v>5220</v>
      </c>
      <c r="B221" s="11">
        <v>45125</v>
      </c>
      <c r="C221" s="5" t="s">
        <v>7</v>
      </c>
      <c r="D221" s="5" t="s">
        <v>16</v>
      </c>
      <c r="E221" s="5" t="s">
        <v>14</v>
      </c>
      <c r="F221" s="12">
        <v>57816.19</v>
      </c>
      <c r="G221" s="13">
        <v>63963.81</v>
      </c>
    </row>
    <row r="222" spans="1:7" x14ac:dyDescent="0.3">
      <c r="A222" s="10">
        <v>5221</v>
      </c>
      <c r="B222" s="11">
        <v>45560</v>
      </c>
      <c r="C222" s="5" t="s">
        <v>12</v>
      </c>
      <c r="D222" s="5" t="s">
        <v>18</v>
      </c>
      <c r="E222" s="5" t="s">
        <v>19</v>
      </c>
      <c r="F222" s="12">
        <v>383628.22</v>
      </c>
      <c r="G222" s="13">
        <v>410645.94</v>
      </c>
    </row>
    <row r="223" spans="1:7" x14ac:dyDescent="0.3">
      <c r="A223" s="10">
        <v>5222</v>
      </c>
      <c r="B223" s="11">
        <v>45265</v>
      </c>
      <c r="C223" s="5" t="s">
        <v>7</v>
      </c>
      <c r="D223" s="5" t="s">
        <v>29</v>
      </c>
      <c r="E223" s="5" t="s">
        <v>14</v>
      </c>
      <c r="F223" s="12">
        <v>50794.41</v>
      </c>
      <c r="G223" s="13">
        <v>49274.99</v>
      </c>
    </row>
    <row r="224" spans="1:7" x14ac:dyDescent="0.3">
      <c r="A224" s="10">
        <v>5223</v>
      </c>
      <c r="B224" s="11">
        <v>45548</v>
      </c>
      <c r="C224" s="5" t="s">
        <v>7</v>
      </c>
      <c r="D224" s="5" t="s">
        <v>28</v>
      </c>
      <c r="E224" s="5" t="s">
        <v>17</v>
      </c>
      <c r="F224" s="12">
        <v>456806.73</v>
      </c>
      <c r="G224" s="13">
        <v>502931.49</v>
      </c>
    </row>
    <row r="225" spans="1:7" x14ac:dyDescent="0.3">
      <c r="A225" s="10">
        <v>5224</v>
      </c>
      <c r="B225" s="11">
        <v>45393</v>
      </c>
      <c r="C225" s="5" t="s">
        <v>7</v>
      </c>
      <c r="D225" s="5" t="s">
        <v>20</v>
      </c>
      <c r="E225" s="5" t="s">
        <v>15</v>
      </c>
      <c r="F225" s="12">
        <v>5985.89</v>
      </c>
      <c r="G225" s="13">
        <v>7073.39</v>
      </c>
    </row>
    <row r="226" spans="1:7" x14ac:dyDescent="0.3">
      <c r="A226" s="10">
        <v>5225</v>
      </c>
      <c r="B226" s="11">
        <v>45180</v>
      </c>
      <c r="C226" s="5" t="s">
        <v>7</v>
      </c>
      <c r="D226" s="5" t="s">
        <v>24</v>
      </c>
      <c r="E226" s="5" t="s">
        <v>27</v>
      </c>
      <c r="F226" s="12">
        <v>94099.31</v>
      </c>
      <c r="G226" s="13">
        <v>85054.13</v>
      </c>
    </row>
    <row r="227" spans="1:7" x14ac:dyDescent="0.3">
      <c r="A227" s="10">
        <v>5226</v>
      </c>
      <c r="B227" s="11">
        <v>45136</v>
      </c>
      <c r="C227" s="5" t="s">
        <v>7</v>
      </c>
      <c r="D227" s="5" t="s">
        <v>20</v>
      </c>
      <c r="E227" s="5" t="s">
        <v>27</v>
      </c>
      <c r="F227" s="12">
        <v>9891.43</v>
      </c>
      <c r="G227" s="13">
        <v>12219.82</v>
      </c>
    </row>
    <row r="228" spans="1:7" x14ac:dyDescent="0.3">
      <c r="A228" s="10">
        <v>5227</v>
      </c>
      <c r="B228" s="11">
        <v>45307</v>
      </c>
      <c r="C228" s="5" t="s">
        <v>7</v>
      </c>
      <c r="D228" s="5" t="s">
        <v>20</v>
      </c>
      <c r="E228" s="5" t="s">
        <v>15</v>
      </c>
      <c r="F228" s="12">
        <v>35031.379999999997</v>
      </c>
      <c r="G228" s="13">
        <v>36635.279999999999</v>
      </c>
    </row>
    <row r="229" spans="1:7" x14ac:dyDescent="0.3">
      <c r="A229" s="10">
        <v>5228</v>
      </c>
      <c r="B229" s="11">
        <v>44957</v>
      </c>
      <c r="C229" s="5" t="s">
        <v>7</v>
      </c>
      <c r="D229" s="5" t="s">
        <v>16</v>
      </c>
      <c r="E229" s="5" t="s">
        <v>27</v>
      </c>
      <c r="F229" s="12">
        <v>79292.800000000003</v>
      </c>
      <c r="G229" s="13">
        <v>93609.51</v>
      </c>
    </row>
    <row r="230" spans="1:7" x14ac:dyDescent="0.3">
      <c r="A230" s="10">
        <v>5229</v>
      </c>
      <c r="B230" s="11">
        <v>45384</v>
      </c>
      <c r="C230" s="5" t="s">
        <v>12</v>
      </c>
      <c r="D230" s="5" t="s">
        <v>23</v>
      </c>
      <c r="E230" s="5" t="s">
        <v>17</v>
      </c>
      <c r="F230" s="12">
        <v>238892.39</v>
      </c>
      <c r="G230" s="13">
        <v>291572.42</v>
      </c>
    </row>
    <row r="231" spans="1:7" x14ac:dyDescent="0.3">
      <c r="A231" s="10">
        <v>5230</v>
      </c>
      <c r="B231" s="11">
        <v>45524</v>
      </c>
      <c r="C231" s="5" t="s">
        <v>7</v>
      </c>
      <c r="D231" s="5" t="s">
        <v>29</v>
      </c>
      <c r="E231" s="5" t="s">
        <v>19</v>
      </c>
      <c r="F231" s="12">
        <v>13220.88</v>
      </c>
      <c r="G231" s="13">
        <v>13192.15</v>
      </c>
    </row>
    <row r="232" spans="1:7" x14ac:dyDescent="0.3">
      <c r="A232" s="10">
        <v>5231</v>
      </c>
      <c r="B232" s="11">
        <v>45521</v>
      </c>
      <c r="C232" s="5" t="s">
        <v>12</v>
      </c>
      <c r="D232" s="5" t="s">
        <v>18</v>
      </c>
      <c r="E232" s="5" t="s">
        <v>11</v>
      </c>
      <c r="F232" s="12">
        <v>24303.39</v>
      </c>
      <c r="G232" s="13">
        <v>28375.25</v>
      </c>
    </row>
    <row r="233" spans="1:7" x14ac:dyDescent="0.3">
      <c r="A233" s="10">
        <v>5232</v>
      </c>
      <c r="B233" s="11">
        <v>45116</v>
      </c>
      <c r="C233" s="5" t="s">
        <v>12</v>
      </c>
      <c r="D233" s="5" t="s">
        <v>25</v>
      </c>
      <c r="E233" s="5" t="s">
        <v>9</v>
      </c>
      <c r="F233" s="12">
        <v>179028.63</v>
      </c>
      <c r="G233" s="13">
        <v>190992.09</v>
      </c>
    </row>
    <row r="234" spans="1:7" x14ac:dyDescent="0.3">
      <c r="A234" s="10">
        <v>5233</v>
      </c>
      <c r="B234" s="11">
        <v>45075</v>
      </c>
      <c r="C234" s="5" t="s">
        <v>7</v>
      </c>
      <c r="D234" s="5" t="s">
        <v>10</v>
      </c>
      <c r="E234" s="5" t="s">
        <v>9</v>
      </c>
      <c r="F234" s="12">
        <v>82935.03</v>
      </c>
      <c r="G234" s="13">
        <v>83452.09</v>
      </c>
    </row>
    <row r="235" spans="1:7" x14ac:dyDescent="0.3">
      <c r="A235" s="10">
        <v>5234</v>
      </c>
      <c r="B235" s="11">
        <v>45462</v>
      </c>
      <c r="C235" s="5" t="s">
        <v>12</v>
      </c>
      <c r="D235" s="5" t="s">
        <v>18</v>
      </c>
      <c r="E235" s="5" t="s">
        <v>15</v>
      </c>
      <c r="F235" s="12">
        <v>244225.57</v>
      </c>
      <c r="G235" s="13">
        <v>217459.77</v>
      </c>
    </row>
    <row r="236" spans="1:7" x14ac:dyDescent="0.3">
      <c r="A236" s="10">
        <v>5235</v>
      </c>
      <c r="B236" s="11">
        <v>45466</v>
      </c>
      <c r="C236" s="5" t="s">
        <v>12</v>
      </c>
      <c r="D236" s="5" t="s">
        <v>25</v>
      </c>
      <c r="E236" s="5" t="s">
        <v>17</v>
      </c>
      <c r="F236" s="12">
        <v>36894.49</v>
      </c>
      <c r="G236" s="13">
        <v>38960.51</v>
      </c>
    </row>
    <row r="237" spans="1:7" x14ac:dyDescent="0.3">
      <c r="A237" s="10">
        <v>5236</v>
      </c>
      <c r="B237" s="11">
        <v>45405</v>
      </c>
      <c r="C237" s="5" t="s">
        <v>7</v>
      </c>
      <c r="D237" s="5" t="s">
        <v>8</v>
      </c>
      <c r="E237" s="5" t="s">
        <v>27</v>
      </c>
      <c r="F237" s="12">
        <v>2911.91</v>
      </c>
      <c r="G237" s="13">
        <v>2751.64</v>
      </c>
    </row>
    <row r="238" spans="1:7" x14ac:dyDescent="0.3">
      <c r="A238" s="10">
        <v>5237</v>
      </c>
      <c r="B238" s="11">
        <v>44937</v>
      </c>
      <c r="C238" s="5" t="s">
        <v>12</v>
      </c>
      <c r="D238" s="5" t="s">
        <v>18</v>
      </c>
      <c r="E238" s="5" t="s">
        <v>21</v>
      </c>
      <c r="F238" s="12">
        <v>252577.38</v>
      </c>
      <c r="G238" s="13">
        <v>286765.46999999997</v>
      </c>
    </row>
    <row r="239" spans="1:7" x14ac:dyDescent="0.3">
      <c r="A239" s="10">
        <v>5238</v>
      </c>
      <c r="B239" s="11">
        <v>45597</v>
      </c>
      <c r="C239" s="5" t="s">
        <v>7</v>
      </c>
      <c r="D239" s="5" t="s">
        <v>30</v>
      </c>
      <c r="E239" s="5" t="s">
        <v>15</v>
      </c>
      <c r="F239" s="12">
        <v>97886.720000000001</v>
      </c>
      <c r="G239" s="13">
        <v>99047.62</v>
      </c>
    </row>
    <row r="240" spans="1:7" x14ac:dyDescent="0.3">
      <c r="A240" s="10">
        <v>5239</v>
      </c>
      <c r="B240" s="11">
        <v>45368</v>
      </c>
      <c r="C240" s="5" t="s">
        <v>7</v>
      </c>
      <c r="D240" s="5" t="s">
        <v>20</v>
      </c>
      <c r="E240" s="5" t="s">
        <v>11</v>
      </c>
      <c r="F240" s="12">
        <v>35591.21</v>
      </c>
      <c r="G240" s="13">
        <v>39066.94</v>
      </c>
    </row>
    <row r="241" spans="1:7" x14ac:dyDescent="0.3">
      <c r="A241" s="10">
        <v>5240</v>
      </c>
      <c r="B241" s="11">
        <v>45507</v>
      </c>
      <c r="C241" s="5" t="s">
        <v>12</v>
      </c>
      <c r="D241" s="5" t="s">
        <v>18</v>
      </c>
      <c r="E241" s="5" t="s">
        <v>27</v>
      </c>
      <c r="F241" s="12">
        <v>259006.61</v>
      </c>
      <c r="G241" s="13">
        <v>245439.84</v>
      </c>
    </row>
    <row r="242" spans="1:7" x14ac:dyDescent="0.3">
      <c r="A242" s="10">
        <v>5241</v>
      </c>
      <c r="B242" s="11">
        <v>45014</v>
      </c>
      <c r="C242" s="5" t="s">
        <v>12</v>
      </c>
      <c r="D242" s="5" t="s">
        <v>18</v>
      </c>
      <c r="E242" s="5" t="s">
        <v>15</v>
      </c>
      <c r="F242" s="12">
        <v>127105.26</v>
      </c>
      <c r="G242" s="13">
        <v>127137.97</v>
      </c>
    </row>
    <row r="243" spans="1:7" x14ac:dyDescent="0.3">
      <c r="A243" s="10">
        <v>5242</v>
      </c>
      <c r="B243" s="11">
        <v>44946</v>
      </c>
      <c r="C243" s="5" t="s">
        <v>7</v>
      </c>
      <c r="D243" s="5" t="s">
        <v>22</v>
      </c>
      <c r="E243" s="5" t="s">
        <v>17</v>
      </c>
      <c r="F243" s="12">
        <v>158589.75</v>
      </c>
      <c r="G243" s="13">
        <v>161628.72</v>
      </c>
    </row>
    <row r="244" spans="1:7" x14ac:dyDescent="0.3">
      <c r="A244" s="10">
        <v>5243</v>
      </c>
      <c r="B244" s="11">
        <v>45060</v>
      </c>
      <c r="C244" s="5" t="s">
        <v>12</v>
      </c>
      <c r="D244" s="5" t="s">
        <v>18</v>
      </c>
      <c r="E244" s="5" t="s">
        <v>19</v>
      </c>
      <c r="F244" s="12">
        <v>228470.17</v>
      </c>
      <c r="G244" s="13">
        <v>284498.77</v>
      </c>
    </row>
    <row r="245" spans="1:7" x14ac:dyDescent="0.3">
      <c r="A245" s="10">
        <v>5244</v>
      </c>
      <c r="B245" s="11">
        <v>44937</v>
      </c>
      <c r="C245" s="5" t="s">
        <v>7</v>
      </c>
      <c r="D245" s="5" t="s">
        <v>16</v>
      </c>
      <c r="E245" s="5" t="s">
        <v>14</v>
      </c>
      <c r="F245" s="12">
        <v>146603.73000000001</v>
      </c>
      <c r="G245" s="13">
        <v>181304.3</v>
      </c>
    </row>
    <row r="246" spans="1:7" x14ac:dyDescent="0.3">
      <c r="A246" s="10">
        <v>5245</v>
      </c>
      <c r="B246" s="11">
        <v>45385</v>
      </c>
      <c r="C246" s="5" t="s">
        <v>12</v>
      </c>
      <c r="D246" s="5" t="s">
        <v>13</v>
      </c>
      <c r="E246" s="5" t="s">
        <v>21</v>
      </c>
      <c r="F246" s="12">
        <v>482229.42</v>
      </c>
      <c r="G246" s="13">
        <v>410096.16</v>
      </c>
    </row>
    <row r="247" spans="1:7" x14ac:dyDescent="0.3">
      <c r="A247" s="10">
        <v>5246</v>
      </c>
      <c r="B247" s="11">
        <v>45101</v>
      </c>
      <c r="C247" s="5" t="s">
        <v>7</v>
      </c>
      <c r="D247" s="5" t="s">
        <v>16</v>
      </c>
      <c r="E247" s="5" t="s">
        <v>27</v>
      </c>
      <c r="F247" s="12">
        <v>102352.8</v>
      </c>
      <c r="G247" s="13">
        <v>93073.05</v>
      </c>
    </row>
    <row r="248" spans="1:7" x14ac:dyDescent="0.3">
      <c r="A248" s="10">
        <v>5247</v>
      </c>
      <c r="B248" s="11">
        <v>45029</v>
      </c>
      <c r="C248" s="5" t="s">
        <v>7</v>
      </c>
      <c r="D248" s="5" t="s">
        <v>30</v>
      </c>
      <c r="E248" s="5" t="s">
        <v>9</v>
      </c>
      <c r="F248" s="12">
        <v>80796.58</v>
      </c>
      <c r="G248" s="13">
        <v>85702.36</v>
      </c>
    </row>
    <row r="249" spans="1:7" x14ac:dyDescent="0.3">
      <c r="A249" s="10">
        <v>5248</v>
      </c>
      <c r="B249" s="11">
        <v>45161</v>
      </c>
      <c r="C249" s="5" t="s">
        <v>12</v>
      </c>
      <c r="D249" s="5" t="s">
        <v>18</v>
      </c>
      <c r="E249" s="5" t="s">
        <v>21</v>
      </c>
      <c r="F249" s="12">
        <v>298855.13</v>
      </c>
      <c r="G249" s="13">
        <v>306219.32</v>
      </c>
    </row>
    <row r="250" spans="1:7" x14ac:dyDescent="0.3">
      <c r="A250" s="10">
        <v>5249</v>
      </c>
      <c r="B250" s="11">
        <v>45429</v>
      </c>
      <c r="C250" s="5" t="s">
        <v>7</v>
      </c>
      <c r="D250" s="5" t="s">
        <v>29</v>
      </c>
      <c r="E250" s="5" t="s">
        <v>19</v>
      </c>
      <c r="F250" s="12">
        <v>29148.1</v>
      </c>
      <c r="G250" s="13">
        <v>27294.65</v>
      </c>
    </row>
    <row r="251" spans="1:7" x14ac:dyDescent="0.3">
      <c r="A251" s="10">
        <v>5250</v>
      </c>
      <c r="B251" s="11">
        <v>45593</v>
      </c>
      <c r="C251" s="5" t="s">
        <v>7</v>
      </c>
      <c r="D251" s="5" t="s">
        <v>29</v>
      </c>
      <c r="E251" s="5" t="s">
        <v>17</v>
      </c>
      <c r="F251" s="12">
        <v>55710.49</v>
      </c>
      <c r="G251" s="13">
        <v>67293.47</v>
      </c>
    </row>
    <row r="252" spans="1:7" x14ac:dyDescent="0.3">
      <c r="A252" s="10">
        <v>5251</v>
      </c>
      <c r="B252" s="11">
        <v>45609</v>
      </c>
      <c r="C252" s="5" t="s">
        <v>7</v>
      </c>
      <c r="D252" s="5" t="s">
        <v>30</v>
      </c>
      <c r="E252" s="5" t="s">
        <v>19</v>
      </c>
      <c r="F252" s="12">
        <v>44463.5</v>
      </c>
      <c r="G252" s="13">
        <v>52263.95</v>
      </c>
    </row>
    <row r="253" spans="1:7" x14ac:dyDescent="0.3">
      <c r="A253" s="10">
        <v>5252</v>
      </c>
      <c r="B253" s="11">
        <v>45493</v>
      </c>
      <c r="C253" s="5" t="s">
        <v>7</v>
      </c>
      <c r="D253" s="5" t="s">
        <v>28</v>
      </c>
      <c r="E253" s="5" t="s">
        <v>11</v>
      </c>
      <c r="F253" s="12">
        <v>185613.88</v>
      </c>
      <c r="G253" s="13">
        <v>182654.07</v>
      </c>
    </row>
    <row r="254" spans="1:7" x14ac:dyDescent="0.3">
      <c r="A254" s="10">
        <v>5253</v>
      </c>
      <c r="B254" s="11">
        <v>45014</v>
      </c>
      <c r="C254" s="5" t="s">
        <v>7</v>
      </c>
      <c r="D254" s="5" t="s">
        <v>30</v>
      </c>
      <c r="E254" s="5" t="s">
        <v>11</v>
      </c>
      <c r="F254" s="12">
        <v>51529.919999999998</v>
      </c>
      <c r="G254" s="13">
        <v>54527.67</v>
      </c>
    </row>
    <row r="255" spans="1:7" x14ac:dyDescent="0.3">
      <c r="A255" s="10">
        <v>5254</v>
      </c>
      <c r="B255" s="11">
        <v>45484</v>
      </c>
      <c r="C255" s="5" t="s">
        <v>12</v>
      </c>
      <c r="D255" s="5" t="s">
        <v>13</v>
      </c>
      <c r="E255" s="5" t="s">
        <v>27</v>
      </c>
      <c r="F255" s="12">
        <v>325182.08000000002</v>
      </c>
      <c r="G255" s="13">
        <v>340728.98</v>
      </c>
    </row>
    <row r="256" spans="1:7" x14ac:dyDescent="0.3">
      <c r="A256" s="10">
        <v>5255</v>
      </c>
      <c r="B256" s="11">
        <v>45309</v>
      </c>
      <c r="C256" s="5" t="s">
        <v>7</v>
      </c>
      <c r="D256" s="5" t="s">
        <v>29</v>
      </c>
      <c r="E256" s="5" t="s">
        <v>21</v>
      </c>
      <c r="F256" s="12">
        <v>13328.03</v>
      </c>
      <c r="G256" s="13">
        <v>12321.77</v>
      </c>
    </row>
    <row r="257" spans="1:7" x14ac:dyDescent="0.3">
      <c r="A257" s="10">
        <v>5256</v>
      </c>
      <c r="B257" s="11">
        <v>45315</v>
      </c>
      <c r="C257" s="5" t="s">
        <v>12</v>
      </c>
      <c r="D257" s="5" t="s">
        <v>13</v>
      </c>
      <c r="E257" s="5" t="s">
        <v>11</v>
      </c>
      <c r="F257" s="12">
        <v>60074.27</v>
      </c>
      <c r="G257" s="13">
        <v>66086.86</v>
      </c>
    </row>
    <row r="258" spans="1:7" x14ac:dyDescent="0.3">
      <c r="A258" s="10">
        <v>5257</v>
      </c>
      <c r="B258" s="11">
        <v>45279</v>
      </c>
      <c r="C258" s="5" t="s">
        <v>7</v>
      </c>
      <c r="D258" s="5" t="s">
        <v>29</v>
      </c>
      <c r="E258" s="5" t="s">
        <v>15</v>
      </c>
      <c r="F258" s="12">
        <v>13062.28</v>
      </c>
      <c r="G258" s="13">
        <v>11407.93</v>
      </c>
    </row>
    <row r="259" spans="1:7" x14ac:dyDescent="0.3">
      <c r="A259" s="10">
        <v>5258</v>
      </c>
      <c r="B259" s="11">
        <v>45054</v>
      </c>
      <c r="C259" s="5" t="s">
        <v>12</v>
      </c>
      <c r="D259" s="5" t="s">
        <v>25</v>
      </c>
      <c r="E259" s="5" t="s">
        <v>14</v>
      </c>
      <c r="F259" s="12">
        <v>438062.13</v>
      </c>
      <c r="G259" s="13">
        <v>526902.71</v>
      </c>
    </row>
    <row r="260" spans="1:7" x14ac:dyDescent="0.3">
      <c r="A260" s="10">
        <v>5259</v>
      </c>
      <c r="B260" s="11">
        <v>45153</v>
      </c>
      <c r="C260" s="5" t="s">
        <v>12</v>
      </c>
      <c r="D260" s="5" t="s">
        <v>25</v>
      </c>
      <c r="E260" s="5" t="s">
        <v>14</v>
      </c>
      <c r="F260" s="12">
        <v>136220.15</v>
      </c>
      <c r="G260" s="13">
        <v>159693.43</v>
      </c>
    </row>
    <row r="261" spans="1:7" x14ac:dyDescent="0.3">
      <c r="A261" s="10">
        <v>5260</v>
      </c>
      <c r="B261" s="11">
        <v>45114</v>
      </c>
      <c r="C261" s="5" t="s">
        <v>12</v>
      </c>
      <c r="D261" s="5" t="s">
        <v>23</v>
      </c>
      <c r="E261" s="5" t="s">
        <v>19</v>
      </c>
      <c r="F261" s="12">
        <v>315925.90000000002</v>
      </c>
      <c r="G261" s="13">
        <v>313411.90000000002</v>
      </c>
    </row>
    <row r="262" spans="1:7" x14ac:dyDescent="0.3">
      <c r="A262" s="10">
        <v>5261</v>
      </c>
      <c r="B262" s="11">
        <v>45046</v>
      </c>
      <c r="C262" s="5" t="s">
        <v>12</v>
      </c>
      <c r="D262" s="5" t="s">
        <v>25</v>
      </c>
      <c r="E262" s="5" t="s">
        <v>17</v>
      </c>
      <c r="F262" s="12">
        <v>56360.84</v>
      </c>
      <c r="G262" s="13">
        <v>58431.71</v>
      </c>
    </row>
    <row r="263" spans="1:7" x14ac:dyDescent="0.3">
      <c r="A263" s="10">
        <v>5262</v>
      </c>
      <c r="B263" s="11">
        <v>45096</v>
      </c>
      <c r="C263" s="5" t="s">
        <v>7</v>
      </c>
      <c r="D263" s="5" t="s">
        <v>30</v>
      </c>
      <c r="E263" s="5" t="s">
        <v>15</v>
      </c>
      <c r="F263" s="12">
        <v>25720.51</v>
      </c>
      <c r="G263" s="13">
        <v>25717.82</v>
      </c>
    </row>
    <row r="264" spans="1:7" x14ac:dyDescent="0.3">
      <c r="A264" s="10">
        <v>5263</v>
      </c>
      <c r="B264" s="11">
        <v>45068</v>
      </c>
      <c r="C264" s="5" t="s">
        <v>7</v>
      </c>
      <c r="D264" s="5" t="s">
        <v>28</v>
      </c>
      <c r="E264" s="5" t="s">
        <v>19</v>
      </c>
      <c r="F264" s="12">
        <v>557365.54</v>
      </c>
      <c r="G264" s="13">
        <v>504362.87</v>
      </c>
    </row>
    <row r="265" spans="1:7" x14ac:dyDescent="0.3">
      <c r="A265" s="10">
        <v>5264</v>
      </c>
      <c r="B265" s="11">
        <v>45029</v>
      </c>
      <c r="C265" s="5" t="s">
        <v>12</v>
      </c>
      <c r="D265" s="5" t="s">
        <v>18</v>
      </c>
      <c r="E265" s="5" t="s">
        <v>19</v>
      </c>
      <c r="F265" s="12">
        <v>469763.62</v>
      </c>
      <c r="G265" s="13">
        <v>418601.83</v>
      </c>
    </row>
    <row r="266" spans="1:7" x14ac:dyDescent="0.3">
      <c r="A266" s="10">
        <v>5265</v>
      </c>
      <c r="B266" s="11">
        <v>45413</v>
      </c>
      <c r="C266" s="5" t="s">
        <v>7</v>
      </c>
      <c r="D266" s="5" t="s">
        <v>20</v>
      </c>
      <c r="E266" s="5" t="s">
        <v>27</v>
      </c>
      <c r="F266" s="12">
        <v>34253.25</v>
      </c>
      <c r="G266" s="13">
        <v>37616.019999999997</v>
      </c>
    </row>
    <row r="267" spans="1:7" x14ac:dyDescent="0.3">
      <c r="A267" s="10">
        <v>5266</v>
      </c>
      <c r="B267" s="11">
        <v>45606</v>
      </c>
      <c r="C267" s="5" t="s">
        <v>7</v>
      </c>
      <c r="D267" s="5" t="s">
        <v>22</v>
      </c>
      <c r="E267" s="5" t="s">
        <v>17</v>
      </c>
      <c r="F267" s="12">
        <v>165643.03</v>
      </c>
      <c r="G267" s="13">
        <v>206706.61</v>
      </c>
    </row>
    <row r="268" spans="1:7" x14ac:dyDescent="0.3">
      <c r="A268" s="10">
        <v>5267</v>
      </c>
      <c r="B268" s="11">
        <v>45200</v>
      </c>
      <c r="C268" s="5" t="s">
        <v>12</v>
      </c>
      <c r="D268" s="5" t="s">
        <v>18</v>
      </c>
      <c r="E268" s="5" t="s">
        <v>14</v>
      </c>
      <c r="F268" s="12">
        <v>261299.05</v>
      </c>
      <c r="G268" s="13">
        <v>223428.72</v>
      </c>
    </row>
    <row r="269" spans="1:7" x14ac:dyDescent="0.3">
      <c r="A269" s="10">
        <v>5268</v>
      </c>
      <c r="B269" s="11">
        <v>45374</v>
      </c>
      <c r="C269" s="5" t="s">
        <v>12</v>
      </c>
      <c r="D269" s="5" t="s">
        <v>23</v>
      </c>
      <c r="E269" s="5" t="s">
        <v>15</v>
      </c>
      <c r="F269" s="12">
        <v>388133.74</v>
      </c>
      <c r="G269" s="13">
        <v>425180.11</v>
      </c>
    </row>
    <row r="270" spans="1:7" x14ac:dyDescent="0.3">
      <c r="A270" s="10">
        <v>5269</v>
      </c>
      <c r="B270" s="11">
        <v>44939</v>
      </c>
      <c r="C270" s="5" t="s">
        <v>7</v>
      </c>
      <c r="D270" s="5" t="s">
        <v>10</v>
      </c>
      <c r="E270" s="5" t="s">
        <v>19</v>
      </c>
      <c r="F270" s="12">
        <v>192255.26</v>
      </c>
      <c r="G270" s="13">
        <v>221375.55</v>
      </c>
    </row>
    <row r="271" spans="1:7" x14ac:dyDescent="0.3">
      <c r="A271" s="10">
        <v>5270</v>
      </c>
      <c r="B271" s="11">
        <v>45293</v>
      </c>
      <c r="C271" s="5" t="s">
        <v>7</v>
      </c>
      <c r="D271" s="5" t="s">
        <v>24</v>
      </c>
      <c r="E271" s="5" t="s">
        <v>17</v>
      </c>
      <c r="F271" s="12">
        <v>182002.2</v>
      </c>
      <c r="G271" s="13">
        <v>200823.08</v>
      </c>
    </row>
    <row r="272" spans="1:7" x14ac:dyDescent="0.3">
      <c r="A272" s="10">
        <v>5271</v>
      </c>
      <c r="B272" s="11">
        <v>45076</v>
      </c>
      <c r="C272" s="5" t="s">
        <v>7</v>
      </c>
      <c r="D272" s="5" t="s">
        <v>24</v>
      </c>
      <c r="E272" s="5" t="s">
        <v>15</v>
      </c>
      <c r="F272" s="12">
        <v>139043.53</v>
      </c>
      <c r="G272" s="13">
        <v>124317.63</v>
      </c>
    </row>
    <row r="273" spans="1:7" x14ac:dyDescent="0.3">
      <c r="A273" s="10">
        <v>5272</v>
      </c>
      <c r="B273" s="11">
        <v>44980</v>
      </c>
      <c r="C273" s="5" t="s">
        <v>7</v>
      </c>
      <c r="D273" s="5" t="s">
        <v>22</v>
      </c>
      <c r="E273" s="5" t="s">
        <v>9</v>
      </c>
      <c r="F273" s="12">
        <v>35880.15</v>
      </c>
      <c r="G273" s="13">
        <v>39295.57</v>
      </c>
    </row>
    <row r="274" spans="1:7" x14ac:dyDescent="0.3">
      <c r="A274" s="10">
        <v>5273</v>
      </c>
      <c r="B274" s="11">
        <v>45064</v>
      </c>
      <c r="C274" s="5" t="s">
        <v>7</v>
      </c>
      <c r="D274" s="5" t="s">
        <v>10</v>
      </c>
      <c r="E274" s="5" t="s">
        <v>9</v>
      </c>
      <c r="F274" s="12">
        <v>193759.5</v>
      </c>
      <c r="G274" s="13">
        <v>194211.84</v>
      </c>
    </row>
    <row r="275" spans="1:7" x14ac:dyDescent="0.3">
      <c r="A275" s="10">
        <v>5274</v>
      </c>
      <c r="B275" s="11">
        <v>45014</v>
      </c>
      <c r="C275" s="5" t="s">
        <v>7</v>
      </c>
      <c r="D275" s="5" t="s">
        <v>16</v>
      </c>
      <c r="E275" s="5" t="s">
        <v>11</v>
      </c>
      <c r="F275" s="12">
        <v>46103.15</v>
      </c>
      <c r="G275" s="13">
        <v>56804.15</v>
      </c>
    </row>
    <row r="276" spans="1:7" x14ac:dyDescent="0.3">
      <c r="A276" s="10">
        <v>5275</v>
      </c>
      <c r="B276" s="11">
        <v>45102</v>
      </c>
      <c r="C276" s="5" t="s">
        <v>7</v>
      </c>
      <c r="D276" s="5" t="s">
        <v>26</v>
      </c>
      <c r="E276" s="5" t="s">
        <v>14</v>
      </c>
      <c r="F276" s="12">
        <v>47261.65</v>
      </c>
      <c r="G276" s="13">
        <v>57440.639999999999</v>
      </c>
    </row>
    <row r="277" spans="1:7" x14ac:dyDescent="0.3">
      <c r="A277" s="10">
        <v>5276</v>
      </c>
      <c r="B277" s="11">
        <v>45579</v>
      </c>
      <c r="C277" s="5" t="s">
        <v>7</v>
      </c>
      <c r="D277" s="5" t="s">
        <v>26</v>
      </c>
      <c r="E277" s="5" t="s">
        <v>21</v>
      </c>
      <c r="F277" s="12">
        <v>67717.929999999993</v>
      </c>
      <c r="G277" s="13">
        <v>61700.15</v>
      </c>
    </row>
    <row r="278" spans="1:7" x14ac:dyDescent="0.3">
      <c r="A278" s="10">
        <v>5277</v>
      </c>
      <c r="B278" s="11">
        <v>45629</v>
      </c>
      <c r="C278" s="5" t="s">
        <v>7</v>
      </c>
      <c r="D278" s="5" t="s">
        <v>26</v>
      </c>
      <c r="E278" s="5" t="s">
        <v>17</v>
      </c>
      <c r="F278" s="12">
        <v>54788.19</v>
      </c>
      <c r="G278" s="13">
        <v>49243.68</v>
      </c>
    </row>
    <row r="279" spans="1:7" x14ac:dyDescent="0.3">
      <c r="A279" s="10">
        <v>5278</v>
      </c>
      <c r="B279" s="11">
        <v>45361</v>
      </c>
      <c r="C279" s="5" t="s">
        <v>7</v>
      </c>
      <c r="D279" s="5" t="s">
        <v>10</v>
      </c>
      <c r="E279" s="5" t="s">
        <v>9</v>
      </c>
      <c r="F279" s="12">
        <v>10126.24</v>
      </c>
      <c r="G279" s="13">
        <v>9689.61</v>
      </c>
    </row>
    <row r="280" spans="1:7" x14ac:dyDescent="0.3">
      <c r="A280" s="10">
        <v>5279</v>
      </c>
      <c r="B280" s="11">
        <v>44958</v>
      </c>
      <c r="C280" s="5" t="s">
        <v>7</v>
      </c>
      <c r="D280" s="5" t="s">
        <v>22</v>
      </c>
      <c r="E280" s="5" t="s">
        <v>14</v>
      </c>
      <c r="F280" s="12">
        <v>298762.94</v>
      </c>
      <c r="G280" s="13">
        <v>275486.82</v>
      </c>
    </row>
    <row r="281" spans="1:7" x14ac:dyDescent="0.3">
      <c r="A281" s="10">
        <v>5280</v>
      </c>
      <c r="B281" s="11">
        <v>45350</v>
      </c>
      <c r="C281" s="5" t="s">
        <v>7</v>
      </c>
      <c r="D281" s="5" t="s">
        <v>22</v>
      </c>
      <c r="E281" s="5" t="s">
        <v>19</v>
      </c>
      <c r="F281" s="12">
        <v>278095.53999999998</v>
      </c>
      <c r="G281" s="13">
        <v>276496.68</v>
      </c>
    </row>
    <row r="282" spans="1:7" x14ac:dyDescent="0.3">
      <c r="A282" s="10">
        <v>5281</v>
      </c>
      <c r="B282" s="11">
        <v>45176</v>
      </c>
      <c r="C282" s="5" t="s">
        <v>7</v>
      </c>
      <c r="D282" s="5" t="s">
        <v>24</v>
      </c>
      <c r="E282" s="5" t="s">
        <v>9</v>
      </c>
      <c r="F282" s="12">
        <v>82539.88</v>
      </c>
      <c r="G282" s="13">
        <v>74523.490000000005</v>
      </c>
    </row>
    <row r="283" spans="1:7" x14ac:dyDescent="0.3">
      <c r="A283" s="10">
        <v>5282</v>
      </c>
      <c r="B283" s="11">
        <v>45342</v>
      </c>
      <c r="C283" s="5" t="s">
        <v>7</v>
      </c>
      <c r="D283" s="5" t="s">
        <v>20</v>
      </c>
      <c r="E283" s="5" t="s">
        <v>17</v>
      </c>
      <c r="F283" s="12">
        <v>25921.46</v>
      </c>
      <c r="G283" s="13">
        <v>23018.48</v>
      </c>
    </row>
    <row r="284" spans="1:7" x14ac:dyDescent="0.3">
      <c r="A284" s="10">
        <v>5283</v>
      </c>
      <c r="B284" s="11">
        <v>45293</v>
      </c>
      <c r="C284" s="5" t="s">
        <v>7</v>
      </c>
      <c r="D284" s="5" t="s">
        <v>29</v>
      </c>
      <c r="E284" s="5" t="s">
        <v>15</v>
      </c>
      <c r="F284" s="12">
        <v>36989.47</v>
      </c>
      <c r="G284" s="13">
        <v>36493.97</v>
      </c>
    </row>
    <row r="285" spans="1:7" x14ac:dyDescent="0.3">
      <c r="A285" s="10">
        <v>5284</v>
      </c>
      <c r="B285" s="11">
        <v>45153</v>
      </c>
      <c r="C285" s="5" t="s">
        <v>7</v>
      </c>
      <c r="D285" s="5" t="s">
        <v>29</v>
      </c>
      <c r="E285" s="5" t="s">
        <v>27</v>
      </c>
      <c r="F285" s="12">
        <v>7028.82</v>
      </c>
      <c r="G285" s="13">
        <v>6639.81</v>
      </c>
    </row>
    <row r="286" spans="1:7" x14ac:dyDescent="0.3">
      <c r="A286" s="10">
        <v>5285</v>
      </c>
      <c r="B286" s="11">
        <v>45391</v>
      </c>
      <c r="C286" s="5" t="s">
        <v>7</v>
      </c>
      <c r="D286" s="5" t="s">
        <v>22</v>
      </c>
      <c r="E286" s="5" t="s">
        <v>27</v>
      </c>
      <c r="F286" s="12">
        <v>76988.08</v>
      </c>
      <c r="G286" s="13">
        <v>88335.82</v>
      </c>
    </row>
    <row r="287" spans="1:7" x14ac:dyDescent="0.3">
      <c r="A287" s="10">
        <v>5286</v>
      </c>
      <c r="B287" s="11">
        <v>45002</v>
      </c>
      <c r="C287" s="5" t="s">
        <v>7</v>
      </c>
      <c r="D287" s="5" t="s">
        <v>16</v>
      </c>
      <c r="E287" s="5" t="s">
        <v>21</v>
      </c>
      <c r="F287" s="12">
        <v>143587.79</v>
      </c>
      <c r="G287" s="13">
        <v>171862.54</v>
      </c>
    </row>
    <row r="288" spans="1:7" x14ac:dyDescent="0.3">
      <c r="A288" s="10">
        <v>5287</v>
      </c>
      <c r="B288" s="11">
        <v>45387</v>
      </c>
      <c r="C288" s="5" t="s">
        <v>12</v>
      </c>
      <c r="D288" s="5" t="s">
        <v>23</v>
      </c>
      <c r="E288" s="5" t="s">
        <v>15</v>
      </c>
      <c r="F288" s="12">
        <v>424039.55</v>
      </c>
      <c r="G288" s="13">
        <v>402809.42</v>
      </c>
    </row>
    <row r="289" spans="1:7" x14ac:dyDescent="0.3">
      <c r="A289" s="10">
        <v>5288</v>
      </c>
      <c r="B289" s="11">
        <v>45278</v>
      </c>
      <c r="C289" s="5" t="s">
        <v>7</v>
      </c>
      <c r="D289" s="5" t="s">
        <v>22</v>
      </c>
      <c r="E289" s="5" t="s">
        <v>14</v>
      </c>
      <c r="F289" s="12">
        <v>225256.83</v>
      </c>
      <c r="G289" s="13">
        <v>250978.15</v>
      </c>
    </row>
    <row r="290" spans="1:7" x14ac:dyDescent="0.3">
      <c r="A290" s="10">
        <v>5289</v>
      </c>
      <c r="B290" s="11">
        <v>45347</v>
      </c>
      <c r="C290" s="5" t="s">
        <v>12</v>
      </c>
      <c r="D290" s="5" t="s">
        <v>23</v>
      </c>
      <c r="E290" s="5" t="s">
        <v>9</v>
      </c>
      <c r="F290" s="12">
        <v>371523.77</v>
      </c>
      <c r="G290" s="13">
        <v>418011.15</v>
      </c>
    </row>
    <row r="291" spans="1:7" x14ac:dyDescent="0.3">
      <c r="A291" s="10">
        <v>5290</v>
      </c>
      <c r="B291" s="11">
        <v>45079</v>
      </c>
      <c r="C291" s="5" t="s">
        <v>7</v>
      </c>
      <c r="D291" s="5" t="s">
        <v>16</v>
      </c>
      <c r="E291" s="5" t="s">
        <v>14</v>
      </c>
      <c r="F291" s="12">
        <v>99144.48</v>
      </c>
      <c r="G291" s="13">
        <v>121682.26</v>
      </c>
    </row>
    <row r="292" spans="1:7" x14ac:dyDescent="0.3">
      <c r="A292" s="10">
        <v>5291</v>
      </c>
      <c r="B292" s="11">
        <v>45459</v>
      </c>
      <c r="C292" s="5" t="s">
        <v>7</v>
      </c>
      <c r="D292" s="5" t="s">
        <v>20</v>
      </c>
      <c r="E292" s="5" t="s">
        <v>19</v>
      </c>
      <c r="F292" s="12">
        <v>31629.55</v>
      </c>
      <c r="G292" s="13">
        <v>32061.49</v>
      </c>
    </row>
    <row r="293" spans="1:7" x14ac:dyDescent="0.3">
      <c r="A293" s="10">
        <v>5292</v>
      </c>
      <c r="B293" s="11">
        <v>45000</v>
      </c>
      <c r="C293" s="5" t="s">
        <v>7</v>
      </c>
      <c r="D293" s="5" t="s">
        <v>28</v>
      </c>
      <c r="E293" s="5" t="s">
        <v>27</v>
      </c>
      <c r="F293" s="12">
        <v>367678.02</v>
      </c>
      <c r="G293" s="13">
        <v>349420.25</v>
      </c>
    </row>
    <row r="294" spans="1:7" x14ac:dyDescent="0.3">
      <c r="A294" s="10">
        <v>5293</v>
      </c>
      <c r="B294" s="11">
        <v>45088</v>
      </c>
      <c r="C294" s="5" t="s">
        <v>7</v>
      </c>
      <c r="D294" s="5" t="s">
        <v>29</v>
      </c>
      <c r="E294" s="5" t="s">
        <v>9</v>
      </c>
      <c r="F294" s="12">
        <v>9957.58</v>
      </c>
      <c r="G294" s="13">
        <v>11912.5</v>
      </c>
    </row>
    <row r="295" spans="1:7" x14ac:dyDescent="0.3">
      <c r="A295" s="10">
        <v>5294</v>
      </c>
      <c r="B295" s="11">
        <v>45266</v>
      </c>
      <c r="C295" s="5" t="s">
        <v>12</v>
      </c>
      <c r="D295" s="5" t="s">
        <v>18</v>
      </c>
      <c r="E295" s="5" t="s">
        <v>27</v>
      </c>
      <c r="F295" s="12">
        <v>336512.83</v>
      </c>
      <c r="G295" s="13">
        <v>397785.28</v>
      </c>
    </row>
    <row r="296" spans="1:7" x14ac:dyDescent="0.3">
      <c r="A296" s="10">
        <v>5295</v>
      </c>
      <c r="B296" s="11">
        <v>45557</v>
      </c>
      <c r="C296" s="5" t="s">
        <v>7</v>
      </c>
      <c r="D296" s="5" t="s">
        <v>30</v>
      </c>
      <c r="E296" s="5" t="s">
        <v>21</v>
      </c>
      <c r="F296" s="12">
        <v>59483.47</v>
      </c>
      <c r="G296" s="13">
        <v>51997.93</v>
      </c>
    </row>
    <row r="297" spans="1:7" x14ac:dyDescent="0.3">
      <c r="A297" s="10">
        <v>5296</v>
      </c>
      <c r="B297" s="11">
        <v>45098</v>
      </c>
      <c r="C297" s="5" t="s">
        <v>7</v>
      </c>
      <c r="D297" s="5" t="s">
        <v>16</v>
      </c>
      <c r="E297" s="5" t="s">
        <v>19</v>
      </c>
      <c r="F297" s="12">
        <v>123570.18</v>
      </c>
      <c r="G297" s="13">
        <v>131824.21</v>
      </c>
    </row>
    <row r="298" spans="1:7" x14ac:dyDescent="0.3">
      <c r="A298" s="10">
        <v>5297</v>
      </c>
      <c r="B298" s="11">
        <v>45372</v>
      </c>
      <c r="C298" s="5" t="s">
        <v>12</v>
      </c>
      <c r="D298" s="5" t="s">
        <v>13</v>
      </c>
      <c r="E298" s="5" t="s">
        <v>9</v>
      </c>
      <c r="F298" s="12">
        <v>45756.1</v>
      </c>
      <c r="G298" s="13">
        <v>44732.13</v>
      </c>
    </row>
    <row r="299" spans="1:7" x14ac:dyDescent="0.3">
      <c r="A299" s="10">
        <v>5298</v>
      </c>
      <c r="B299" s="11">
        <v>45458</v>
      </c>
      <c r="C299" s="5" t="s">
        <v>7</v>
      </c>
      <c r="D299" s="5" t="s">
        <v>20</v>
      </c>
      <c r="E299" s="5" t="s">
        <v>11</v>
      </c>
      <c r="F299" s="12">
        <v>39717.79</v>
      </c>
      <c r="G299" s="13">
        <v>45313.78</v>
      </c>
    </row>
    <row r="300" spans="1:7" x14ac:dyDescent="0.3">
      <c r="A300" s="10">
        <v>5299</v>
      </c>
      <c r="B300" s="11">
        <v>45461</v>
      </c>
      <c r="C300" s="5" t="s">
        <v>7</v>
      </c>
      <c r="D300" s="5" t="s">
        <v>8</v>
      </c>
      <c r="E300" s="5" t="s">
        <v>17</v>
      </c>
      <c r="F300" s="12">
        <v>2107.33</v>
      </c>
      <c r="G300" s="13">
        <v>1933.42</v>
      </c>
    </row>
    <row r="301" spans="1:7" x14ac:dyDescent="0.3">
      <c r="A301" s="10">
        <v>5300</v>
      </c>
      <c r="B301" s="11">
        <v>45211</v>
      </c>
      <c r="C301" s="5" t="s">
        <v>12</v>
      </c>
      <c r="D301" s="5" t="s">
        <v>23</v>
      </c>
      <c r="E301" s="5" t="s">
        <v>17</v>
      </c>
      <c r="F301" s="12">
        <v>259013.46</v>
      </c>
      <c r="G301" s="13">
        <v>250025.55</v>
      </c>
    </row>
    <row r="302" spans="1:7" x14ac:dyDescent="0.3">
      <c r="A302" s="10">
        <v>5301</v>
      </c>
      <c r="B302" s="11">
        <v>45098</v>
      </c>
      <c r="C302" s="5" t="s">
        <v>7</v>
      </c>
      <c r="D302" s="5" t="s">
        <v>8</v>
      </c>
      <c r="E302" s="5" t="s">
        <v>11</v>
      </c>
      <c r="F302" s="12">
        <v>23266.34</v>
      </c>
      <c r="G302" s="13">
        <v>22678.73</v>
      </c>
    </row>
    <row r="303" spans="1:7" x14ac:dyDescent="0.3">
      <c r="A303" s="10">
        <v>5302</v>
      </c>
      <c r="B303" s="11">
        <v>45016</v>
      </c>
      <c r="C303" s="5" t="s">
        <v>7</v>
      </c>
      <c r="D303" s="5" t="s">
        <v>10</v>
      </c>
      <c r="E303" s="5" t="s">
        <v>19</v>
      </c>
      <c r="F303" s="12">
        <v>132682.82</v>
      </c>
      <c r="G303" s="13">
        <v>158400.29999999999</v>
      </c>
    </row>
    <row r="304" spans="1:7" x14ac:dyDescent="0.3">
      <c r="A304" s="10">
        <v>5303</v>
      </c>
      <c r="B304" s="11">
        <v>45080</v>
      </c>
      <c r="C304" s="5" t="s">
        <v>7</v>
      </c>
      <c r="D304" s="5" t="s">
        <v>29</v>
      </c>
      <c r="E304" s="5" t="s">
        <v>27</v>
      </c>
      <c r="F304" s="12">
        <v>20771.23</v>
      </c>
      <c r="G304" s="13">
        <v>18468.12</v>
      </c>
    </row>
    <row r="305" spans="1:7" x14ac:dyDescent="0.3">
      <c r="A305" s="10">
        <v>5304</v>
      </c>
      <c r="B305" s="11">
        <v>45383</v>
      </c>
      <c r="C305" s="5" t="s">
        <v>12</v>
      </c>
      <c r="D305" s="5" t="s">
        <v>18</v>
      </c>
      <c r="E305" s="5" t="s">
        <v>17</v>
      </c>
      <c r="F305" s="12">
        <v>481309.92</v>
      </c>
      <c r="G305" s="13">
        <v>468745.44</v>
      </c>
    </row>
    <row r="306" spans="1:7" x14ac:dyDescent="0.3">
      <c r="A306" s="10">
        <v>5305</v>
      </c>
      <c r="B306" s="11">
        <v>45424</v>
      </c>
      <c r="C306" s="5" t="s">
        <v>7</v>
      </c>
      <c r="D306" s="5" t="s">
        <v>30</v>
      </c>
      <c r="E306" s="5" t="s">
        <v>11</v>
      </c>
      <c r="F306" s="12">
        <v>36283.65</v>
      </c>
      <c r="G306" s="13">
        <v>41240.54</v>
      </c>
    </row>
    <row r="307" spans="1:7" x14ac:dyDescent="0.3">
      <c r="A307" s="10">
        <v>5306</v>
      </c>
      <c r="B307" s="11">
        <v>45416</v>
      </c>
      <c r="C307" s="5" t="s">
        <v>12</v>
      </c>
      <c r="D307" s="5" t="s">
        <v>23</v>
      </c>
      <c r="E307" s="5" t="s">
        <v>11</v>
      </c>
      <c r="F307" s="12">
        <v>117379.33</v>
      </c>
      <c r="G307" s="13">
        <v>108466.17</v>
      </c>
    </row>
    <row r="308" spans="1:7" x14ac:dyDescent="0.3">
      <c r="A308" s="10">
        <v>5307</v>
      </c>
      <c r="B308" s="11">
        <v>44992</v>
      </c>
      <c r="C308" s="5" t="s">
        <v>7</v>
      </c>
      <c r="D308" s="5" t="s">
        <v>30</v>
      </c>
      <c r="E308" s="5" t="s">
        <v>27</v>
      </c>
      <c r="F308" s="12">
        <v>105745.63</v>
      </c>
      <c r="G308" s="13">
        <v>92921.57</v>
      </c>
    </row>
    <row r="309" spans="1:7" x14ac:dyDescent="0.3">
      <c r="A309" s="10">
        <v>5308</v>
      </c>
      <c r="B309" s="11">
        <v>45393</v>
      </c>
      <c r="C309" s="5" t="s">
        <v>7</v>
      </c>
      <c r="D309" s="5" t="s">
        <v>22</v>
      </c>
      <c r="E309" s="5" t="s">
        <v>9</v>
      </c>
      <c r="F309" s="12">
        <v>73717.09</v>
      </c>
      <c r="G309" s="13">
        <v>85211.57</v>
      </c>
    </row>
    <row r="310" spans="1:7" x14ac:dyDescent="0.3">
      <c r="A310" s="10">
        <v>5309</v>
      </c>
      <c r="B310" s="11">
        <v>45150</v>
      </c>
      <c r="C310" s="5" t="s">
        <v>12</v>
      </c>
      <c r="D310" s="5" t="s">
        <v>25</v>
      </c>
      <c r="E310" s="5" t="s">
        <v>11</v>
      </c>
      <c r="F310" s="12">
        <v>374613.48</v>
      </c>
      <c r="G310" s="13">
        <v>413270.97</v>
      </c>
    </row>
    <row r="311" spans="1:7" x14ac:dyDescent="0.3">
      <c r="A311" s="10">
        <v>5310</v>
      </c>
      <c r="B311" s="11">
        <v>45347</v>
      </c>
      <c r="C311" s="5" t="s">
        <v>7</v>
      </c>
      <c r="D311" s="5" t="s">
        <v>22</v>
      </c>
      <c r="E311" s="5" t="s">
        <v>11</v>
      </c>
      <c r="F311" s="12">
        <v>216509.39</v>
      </c>
      <c r="G311" s="13">
        <v>194389.37</v>
      </c>
    </row>
    <row r="312" spans="1:7" x14ac:dyDescent="0.3">
      <c r="A312" s="10">
        <v>5311</v>
      </c>
      <c r="B312" s="11">
        <v>45155</v>
      </c>
      <c r="C312" s="5" t="s">
        <v>7</v>
      </c>
      <c r="D312" s="5" t="s">
        <v>8</v>
      </c>
      <c r="E312" s="5" t="s">
        <v>15</v>
      </c>
      <c r="F312" s="12">
        <v>21833.54</v>
      </c>
      <c r="G312" s="13">
        <v>26591.16</v>
      </c>
    </row>
    <row r="313" spans="1:7" x14ac:dyDescent="0.3">
      <c r="A313" s="10">
        <v>5312</v>
      </c>
      <c r="B313" s="11">
        <v>45458</v>
      </c>
      <c r="C313" s="5" t="s">
        <v>12</v>
      </c>
      <c r="D313" s="5" t="s">
        <v>18</v>
      </c>
      <c r="E313" s="5" t="s">
        <v>27</v>
      </c>
      <c r="F313" s="12">
        <v>364030.06</v>
      </c>
      <c r="G313" s="13">
        <v>420290.32</v>
      </c>
    </row>
    <row r="314" spans="1:7" x14ac:dyDescent="0.3">
      <c r="A314" s="10">
        <v>5313</v>
      </c>
      <c r="B314" s="11">
        <v>45378</v>
      </c>
      <c r="C314" s="5" t="s">
        <v>12</v>
      </c>
      <c r="D314" s="5" t="s">
        <v>25</v>
      </c>
      <c r="E314" s="5" t="s">
        <v>15</v>
      </c>
      <c r="F314" s="12">
        <v>337481.74</v>
      </c>
      <c r="G314" s="13">
        <v>419622.77</v>
      </c>
    </row>
    <row r="315" spans="1:7" x14ac:dyDescent="0.3">
      <c r="A315" s="10">
        <v>5314</v>
      </c>
      <c r="B315" s="11">
        <v>45639</v>
      </c>
      <c r="C315" s="5" t="s">
        <v>12</v>
      </c>
      <c r="D315" s="5" t="s">
        <v>23</v>
      </c>
      <c r="E315" s="5" t="s">
        <v>19</v>
      </c>
      <c r="F315" s="12">
        <v>306613.90999999997</v>
      </c>
      <c r="G315" s="13">
        <v>288298.98</v>
      </c>
    </row>
    <row r="316" spans="1:7" x14ac:dyDescent="0.3">
      <c r="A316" s="10">
        <v>5315</v>
      </c>
      <c r="B316" s="11">
        <v>45580</v>
      </c>
      <c r="C316" s="5" t="s">
        <v>7</v>
      </c>
      <c r="D316" s="5" t="s">
        <v>26</v>
      </c>
      <c r="E316" s="5" t="s">
        <v>27</v>
      </c>
      <c r="F316" s="12">
        <v>28325.040000000001</v>
      </c>
      <c r="G316" s="13">
        <v>25772.1</v>
      </c>
    </row>
    <row r="317" spans="1:7" x14ac:dyDescent="0.3">
      <c r="A317" s="10">
        <v>5316</v>
      </c>
      <c r="B317" s="11">
        <v>45410</v>
      </c>
      <c r="C317" s="5" t="s">
        <v>12</v>
      </c>
      <c r="D317" s="5" t="s">
        <v>18</v>
      </c>
      <c r="E317" s="5" t="s">
        <v>15</v>
      </c>
      <c r="F317" s="12">
        <v>486143.65</v>
      </c>
      <c r="G317" s="13">
        <v>547739.5</v>
      </c>
    </row>
    <row r="318" spans="1:7" x14ac:dyDescent="0.3">
      <c r="A318" s="10">
        <v>5317</v>
      </c>
      <c r="B318" s="11">
        <v>45040</v>
      </c>
      <c r="C318" s="5" t="s">
        <v>7</v>
      </c>
      <c r="D318" s="5" t="s">
        <v>22</v>
      </c>
      <c r="E318" s="5" t="s">
        <v>19</v>
      </c>
      <c r="F318" s="12">
        <v>194618.52</v>
      </c>
      <c r="G318" s="13">
        <v>243233.05</v>
      </c>
    </row>
    <row r="319" spans="1:7" x14ac:dyDescent="0.3">
      <c r="A319" s="10">
        <v>5318</v>
      </c>
      <c r="B319" s="11">
        <v>44934</v>
      </c>
      <c r="C319" s="5" t="s">
        <v>12</v>
      </c>
      <c r="D319" s="5" t="s">
        <v>18</v>
      </c>
      <c r="E319" s="5" t="s">
        <v>9</v>
      </c>
      <c r="F319" s="12">
        <v>61460.63</v>
      </c>
      <c r="G319" s="13">
        <v>61354.66</v>
      </c>
    </row>
    <row r="320" spans="1:7" x14ac:dyDescent="0.3">
      <c r="A320" s="10">
        <v>5319</v>
      </c>
      <c r="B320" s="11">
        <v>45657</v>
      </c>
      <c r="C320" s="5" t="s">
        <v>7</v>
      </c>
      <c r="D320" s="5" t="s">
        <v>26</v>
      </c>
      <c r="E320" s="5" t="s">
        <v>17</v>
      </c>
      <c r="F320" s="12">
        <v>56763.25</v>
      </c>
      <c r="G320" s="13">
        <v>68424.490000000005</v>
      </c>
    </row>
    <row r="321" spans="1:7" x14ac:dyDescent="0.3">
      <c r="A321" s="10">
        <v>5320</v>
      </c>
      <c r="B321" s="11">
        <v>45033</v>
      </c>
      <c r="C321" s="5" t="s">
        <v>7</v>
      </c>
      <c r="D321" s="5" t="s">
        <v>30</v>
      </c>
      <c r="E321" s="5" t="s">
        <v>14</v>
      </c>
      <c r="F321" s="12">
        <v>13175.54</v>
      </c>
      <c r="G321" s="13">
        <v>12736.46</v>
      </c>
    </row>
    <row r="322" spans="1:7" x14ac:dyDescent="0.3">
      <c r="A322" s="10">
        <v>5321</v>
      </c>
      <c r="B322" s="11">
        <v>45143</v>
      </c>
      <c r="C322" s="5" t="s">
        <v>7</v>
      </c>
      <c r="D322" s="5" t="s">
        <v>28</v>
      </c>
      <c r="E322" s="5" t="s">
        <v>21</v>
      </c>
      <c r="F322" s="12">
        <v>358793.45</v>
      </c>
      <c r="G322" s="13">
        <v>390634.01</v>
      </c>
    </row>
    <row r="323" spans="1:7" x14ac:dyDescent="0.3">
      <c r="A323" s="10">
        <v>5322</v>
      </c>
      <c r="B323" s="11">
        <v>45174</v>
      </c>
      <c r="C323" s="5" t="s">
        <v>12</v>
      </c>
      <c r="D323" s="5" t="s">
        <v>25</v>
      </c>
      <c r="E323" s="5" t="s">
        <v>9</v>
      </c>
      <c r="F323" s="12">
        <v>416491.74</v>
      </c>
      <c r="G323" s="13">
        <v>385628.49</v>
      </c>
    </row>
    <row r="324" spans="1:7" x14ac:dyDescent="0.3">
      <c r="A324" s="10">
        <v>5323</v>
      </c>
      <c r="B324" s="11">
        <v>45416</v>
      </c>
      <c r="C324" s="5" t="s">
        <v>12</v>
      </c>
      <c r="D324" s="5" t="s">
        <v>23</v>
      </c>
      <c r="E324" s="5" t="s">
        <v>11</v>
      </c>
      <c r="F324" s="12">
        <v>152408.04</v>
      </c>
      <c r="G324" s="13">
        <v>151849.15</v>
      </c>
    </row>
    <row r="325" spans="1:7" x14ac:dyDescent="0.3">
      <c r="A325" s="10">
        <v>5324</v>
      </c>
      <c r="B325" s="11">
        <v>45215</v>
      </c>
      <c r="C325" s="5" t="s">
        <v>12</v>
      </c>
      <c r="D325" s="5" t="s">
        <v>25</v>
      </c>
      <c r="E325" s="5" t="s">
        <v>17</v>
      </c>
      <c r="F325" s="12">
        <v>421948.14</v>
      </c>
      <c r="G325" s="13">
        <v>476056.52</v>
      </c>
    </row>
    <row r="326" spans="1:7" x14ac:dyDescent="0.3">
      <c r="A326" s="10">
        <v>5325</v>
      </c>
      <c r="B326" s="11">
        <v>45097</v>
      </c>
      <c r="C326" s="5" t="s">
        <v>7</v>
      </c>
      <c r="D326" s="5" t="s">
        <v>30</v>
      </c>
      <c r="E326" s="5" t="s">
        <v>15</v>
      </c>
      <c r="F326" s="12">
        <v>52374.03</v>
      </c>
      <c r="G326" s="13">
        <v>64690.61</v>
      </c>
    </row>
    <row r="327" spans="1:7" x14ac:dyDescent="0.3">
      <c r="A327" s="10">
        <v>5326</v>
      </c>
      <c r="B327" s="11">
        <v>45117</v>
      </c>
      <c r="C327" s="5" t="s">
        <v>7</v>
      </c>
      <c r="D327" s="5" t="s">
        <v>26</v>
      </c>
      <c r="E327" s="5" t="s">
        <v>9</v>
      </c>
      <c r="F327" s="12">
        <v>63123.74</v>
      </c>
      <c r="G327" s="13">
        <v>65537.56</v>
      </c>
    </row>
    <row r="328" spans="1:7" x14ac:dyDescent="0.3">
      <c r="A328" s="10">
        <v>5327</v>
      </c>
      <c r="B328" s="11">
        <v>45371</v>
      </c>
      <c r="C328" s="5" t="s">
        <v>7</v>
      </c>
      <c r="D328" s="5" t="s">
        <v>16</v>
      </c>
      <c r="E328" s="5" t="s">
        <v>15</v>
      </c>
      <c r="F328" s="12">
        <v>79316.69</v>
      </c>
      <c r="G328" s="13">
        <v>77645.88</v>
      </c>
    </row>
    <row r="329" spans="1:7" x14ac:dyDescent="0.3">
      <c r="A329" s="10">
        <v>5328</v>
      </c>
      <c r="B329" s="11">
        <v>45651</v>
      </c>
      <c r="C329" s="5" t="s">
        <v>7</v>
      </c>
      <c r="D329" s="5" t="s">
        <v>24</v>
      </c>
      <c r="E329" s="5" t="s">
        <v>15</v>
      </c>
      <c r="F329" s="12">
        <v>80786.2</v>
      </c>
      <c r="G329" s="13">
        <v>93576.79</v>
      </c>
    </row>
    <row r="330" spans="1:7" x14ac:dyDescent="0.3">
      <c r="A330" s="10">
        <v>5329</v>
      </c>
      <c r="B330" s="11">
        <v>44963</v>
      </c>
      <c r="C330" s="5" t="s">
        <v>7</v>
      </c>
      <c r="D330" s="5" t="s">
        <v>16</v>
      </c>
      <c r="E330" s="5" t="s">
        <v>27</v>
      </c>
      <c r="F330" s="12">
        <v>147643.47</v>
      </c>
      <c r="G330" s="13">
        <v>181558.08</v>
      </c>
    </row>
    <row r="331" spans="1:7" x14ac:dyDescent="0.3">
      <c r="A331" s="10">
        <v>5330</v>
      </c>
      <c r="B331" s="11">
        <v>45421</v>
      </c>
      <c r="C331" s="5" t="s">
        <v>7</v>
      </c>
      <c r="D331" s="5" t="s">
        <v>16</v>
      </c>
      <c r="E331" s="5" t="s">
        <v>27</v>
      </c>
      <c r="F331" s="12">
        <v>107254.87</v>
      </c>
      <c r="G331" s="13">
        <v>132660.16</v>
      </c>
    </row>
    <row r="332" spans="1:7" x14ac:dyDescent="0.3">
      <c r="A332" s="10">
        <v>5331</v>
      </c>
      <c r="B332" s="11">
        <v>45168</v>
      </c>
      <c r="C332" s="5" t="s">
        <v>7</v>
      </c>
      <c r="D332" s="5" t="s">
        <v>20</v>
      </c>
      <c r="E332" s="5" t="s">
        <v>14</v>
      </c>
      <c r="F332" s="12">
        <v>16786.57</v>
      </c>
      <c r="G332" s="13">
        <v>15926.74</v>
      </c>
    </row>
    <row r="333" spans="1:7" x14ac:dyDescent="0.3">
      <c r="A333" s="10">
        <v>5332</v>
      </c>
      <c r="B333" s="11">
        <v>45305</v>
      </c>
      <c r="C333" s="5" t="s">
        <v>12</v>
      </c>
      <c r="D333" s="5" t="s">
        <v>18</v>
      </c>
      <c r="E333" s="5" t="s">
        <v>9</v>
      </c>
      <c r="F333" s="12">
        <v>369627.14</v>
      </c>
      <c r="G333" s="13">
        <v>383067.88</v>
      </c>
    </row>
    <row r="334" spans="1:7" x14ac:dyDescent="0.3">
      <c r="A334" s="10">
        <v>5333</v>
      </c>
      <c r="B334" s="11">
        <v>45089</v>
      </c>
      <c r="C334" s="5" t="s">
        <v>7</v>
      </c>
      <c r="D334" s="5" t="s">
        <v>24</v>
      </c>
      <c r="E334" s="5" t="s">
        <v>15</v>
      </c>
      <c r="F334" s="12">
        <v>32389.75</v>
      </c>
      <c r="G334" s="13">
        <v>28816.34</v>
      </c>
    </row>
    <row r="335" spans="1:7" x14ac:dyDescent="0.3">
      <c r="A335" s="10">
        <v>5334</v>
      </c>
      <c r="B335" s="11">
        <v>45075</v>
      </c>
      <c r="C335" s="5" t="s">
        <v>12</v>
      </c>
      <c r="D335" s="5" t="s">
        <v>18</v>
      </c>
      <c r="E335" s="5" t="s">
        <v>21</v>
      </c>
      <c r="F335" s="12">
        <v>352424.49</v>
      </c>
      <c r="G335" s="13">
        <v>326838.63</v>
      </c>
    </row>
    <row r="336" spans="1:7" x14ac:dyDescent="0.3">
      <c r="A336" s="10">
        <v>5335</v>
      </c>
      <c r="B336" s="11">
        <v>44970</v>
      </c>
      <c r="C336" s="5" t="s">
        <v>7</v>
      </c>
      <c r="D336" s="5" t="s">
        <v>28</v>
      </c>
      <c r="E336" s="5" t="s">
        <v>19</v>
      </c>
      <c r="F336" s="12">
        <v>371959.15</v>
      </c>
      <c r="G336" s="13">
        <v>410031.14</v>
      </c>
    </row>
    <row r="337" spans="1:7" x14ac:dyDescent="0.3">
      <c r="A337" s="10">
        <v>5336</v>
      </c>
      <c r="B337" s="11">
        <v>45521</v>
      </c>
      <c r="C337" s="5" t="s">
        <v>7</v>
      </c>
      <c r="D337" s="5" t="s">
        <v>16</v>
      </c>
      <c r="E337" s="5" t="s">
        <v>11</v>
      </c>
      <c r="F337" s="12">
        <v>111537.86</v>
      </c>
      <c r="G337" s="13">
        <v>106472.42</v>
      </c>
    </row>
    <row r="338" spans="1:7" x14ac:dyDescent="0.3">
      <c r="A338" s="10">
        <v>5337</v>
      </c>
      <c r="B338" s="11">
        <v>45011</v>
      </c>
      <c r="C338" s="5" t="s">
        <v>12</v>
      </c>
      <c r="D338" s="5" t="s">
        <v>13</v>
      </c>
      <c r="E338" s="5" t="s">
        <v>14</v>
      </c>
      <c r="F338" s="12">
        <v>376633.29</v>
      </c>
      <c r="G338" s="13">
        <v>459110.44</v>
      </c>
    </row>
    <row r="339" spans="1:7" x14ac:dyDescent="0.3">
      <c r="A339" s="10">
        <v>5338</v>
      </c>
      <c r="B339" s="11">
        <v>45541</v>
      </c>
      <c r="C339" s="5" t="s">
        <v>12</v>
      </c>
      <c r="D339" s="5" t="s">
        <v>23</v>
      </c>
      <c r="E339" s="5" t="s">
        <v>14</v>
      </c>
      <c r="F339" s="12">
        <v>243743.16</v>
      </c>
      <c r="G339" s="13">
        <v>218045.53</v>
      </c>
    </row>
    <row r="340" spans="1:7" x14ac:dyDescent="0.3">
      <c r="A340" s="10">
        <v>5339</v>
      </c>
      <c r="B340" s="11">
        <v>45422</v>
      </c>
      <c r="C340" s="5" t="s">
        <v>7</v>
      </c>
      <c r="D340" s="5" t="s">
        <v>30</v>
      </c>
      <c r="E340" s="5" t="s">
        <v>27</v>
      </c>
      <c r="F340" s="12">
        <v>34274.720000000001</v>
      </c>
      <c r="G340" s="13">
        <v>40322.269999999997</v>
      </c>
    </row>
    <row r="341" spans="1:7" x14ac:dyDescent="0.3">
      <c r="A341" s="10">
        <v>5340</v>
      </c>
      <c r="B341" s="11">
        <v>45005</v>
      </c>
      <c r="C341" s="5" t="s">
        <v>7</v>
      </c>
      <c r="D341" s="5" t="s">
        <v>28</v>
      </c>
      <c r="E341" s="5" t="s">
        <v>19</v>
      </c>
      <c r="F341" s="12">
        <v>381480.86</v>
      </c>
      <c r="G341" s="13">
        <v>327693.28000000003</v>
      </c>
    </row>
    <row r="342" spans="1:7" x14ac:dyDescent="0.3">
      <c r="A342" s="10">
        <v>5341</v>
      </c>
      <c r="B342" s="11">
        <v>45637</v>
      </c>
      <c r="C342" s="5" t="s">
        <v>7</v>
      </c>
      <c r="D342" s="5" t="s">
        <v>30</v>
      </c>
      <c r="E342" s="5" t="s">
        <v>15</v>
      </c>
      <c r="F342" s="12">
        <v>32217.119999999999</v>
      </c>
      <c r="G342" s="13">
        <v>32138.95</v>
      </c>
    </row>
    <row r="343" spans="1:7" x14ac:dyDescent="0.3">
      <c r="A343" s="10">
        <v>5342</v>
      </c>
      <c r="B343" s="11">
        <v>45310</v>
      </c>
      <c r="C343" s="5" t="s">
        <v>12</v>
      </c>
      <c r="D343" s="5" t="s">
        <v>25</v>
      </c>
      <c r="E343" s="5" t="s">
        <v>15</v>
      </c>
      <c r="F343" s="12">
        <v>310623.89</v>
      </c>
      <c r="G343" s="13">
        <v>367532.23</v>
      </c>
    </row>
    <row r="344" spans="1:7" x14ac:dyDescent="0.3">
      <c r="A344" s="10">
        <v>5343</v>
      </c>
      <c r="B344" s="11">
        <v>45330</v>
      </c>
      <c r="C344" s="5" t="s">
        <v>7</v>
      </c>
      <c r="D344" s="5" t="s">
        <v>8</v>
      </c>
      <c r="E344" s="5" t="s">
        <v>21</v>
      </c>
      <c r="F344" s="12">
        <v>5109.92</v>
      </c>
      <c r="G344" s="13">
        <v>6205.46</v>
      </c>
    </row>
    <row r="345" spans="1:7" x14ac:dyDescent="0.3">
      <c r="A345" s="10">
        <v>5344</v>
      </c>
      <c r="B345" s="11">
        <v>45498</v>
      </c>
      <c r="C345" s="5" t="s">
        <v>12</v>
      </c>
      <c r="D345" s="5" t="s">
        <v>25</v>
      </c>
      <c r="E345" s="5" t="s">
        <v>9</v>
      </c>
      <c r="F345" s="12">
        <v>110180.41</v>
      </c>
      <c r="G345" s="13">
        <v>115501.81</v>
      </c>
    </row>
    <row r="346" spans="1:7" x14ac:dyDescent="0.3">
      <c r="A346" s="10">
        <v>5345</v>
      </c>
      <c r="B346" s="11">
        <v>45418</v>
      </c>
      <c r="C346" s="5" t="s">
        <v>7</v>
      </c>
      <c r="D346" s="5" t="s">
        <v>10</v>
      </c>
      <c r="E346" s="5" t="s">
        <v>11</v>
      </c>
      <c r="F346" s="12">
        <v>22574.67</v>
      </c>
      <c r="G346" s="13">
        <v>27105.78</v>
      </c>
    </row>
    <row r="347" spans="1:7" x14ac:dyDescent="0.3">
      <c r="A347" s="10">
        <v>5346</v>
      </c>
      <c r="B347" s="11">
        <v>45116</v>
      </c>
      <c r="C347" s="5" t="s">
        <v>12</v>
      </c>
      <c r="D347" s="5" t="s">
        <v>18</v>
      </c>
      <c r="E347" s="5" t="s">
        <v>19</v>
      </c>
      <c r="F347" s="12">
        <v>334795.90000000002</v>
      </c>
      <c r="G347" s="13">
        <v>314493.5</v>
      </c>
    </row>
    <row r="348" spans="1:7" x14ac:dyDescent="0.3">
      <c r="A348" s="10">
        <v>5347</v>
      </c>
      <c r="B348" s="11">
        <v>45449</v>
      </c>
      <c r="C348" s="5" t="s">
        <v>7</v>
      </c>
      <c r="D348" s="5" t="s">
        <v>30</v>
      </c>
      <c r="E348" s="5" t="s">
        <v>27</v>
      </c>
      <c r="F348" s="12">
        <v>109078.22</v>
      </c>
      <c r="G348" s="13">
        <v>117476.94</v>
      </c>
    </row>
    <row r="349" spans="1:7" x14ac:dyDescent="0.3">
      <c r="A349" s="10">
        <v>5348</v>
      </c>
      <c r="B349" s="11">
        <v>45425</v>
      </c>
      <c r="C349" s="5" t="s">
        <v>12</v>
      </c>
      <c r="D349" s="5" t="s">
        <v>23</v>
      </c>
      <c r="E349" s="5" t="s">
        <v>21</v>
      </c>
      <c r="F349" s="12">
        <v>470793.74</v>
      </c>
      <c r="G349" s="13">
        <v>542570.38</v>
      </c>
    </row>
    <row r="350" spans="1:7" x14ac:dyDescent="0.3">
      <c r="A350" s="10">
        <v>5349</v>
      </c>
      <c r="B350" s="11">
        <v>45353</v>
      </c>
      <c r="C350" s="5" t="s">
        <v>7</v>
      </c>
      <c r="D350" s="5" t="s">
        <v>10</v>
      </c>
      <c r="E350" s="5" t="s">
        <v>21</v>
      </c>
      <c r="F350" s="12">
        <v>140409.04</v>
      </c>
      <c r="G350" s="13">
        <v>140454.99</v>
      </c>
    </row>
    <row r="351" spans="1:7" x14ac:dyDescent="0.3">
      <c r="A351" s="10">
        <v>5350</v>
      </c>
      <c r="B351" s="11">
        <v>45400</v>
      </c>
      <c r="C351" s="5" t="s">
        <v>7</v>
      </c>
      <c r="D351" s="5" t="s">
        <v>16</v>
      </c>
      <c r="E351" s="5" t="s">
        <v>17</v>
      </c>
      <c r="F351" s="12">
        <v>33865.57</v>
      </c>
      <c r="G351" s="13">
        <v>30329.81</v>
      </c>
    </row>
    <row r="352" spans="1:7" x14ac:dyDescent="0.3">
      <c r="A352" s="10">
        <v>5351</v>
      </c>
      <c r="B352" s="11">
        <v>45434</v>
      </c>
      <c r="C352" s="5" t="s">
        <v>12</v>
      </c>
      <c r="D352" s="5" t="s">
        <v>25</v>
      </c>
      <c r="E352" s="5" t="s">
        <v>11</v>
      </c>
      <c r="F352" s="12">
        <v>139545.24</v>
      </c>
      <c r="G352" s="13">
        <v>134775.09</v>
      </c>
    </row>
    <row r="353" spans="1:7" x14ac:dyDescent="0.3">
      <c r="A353" s="10">
        <v>5352</v>
      </c>
      <c r="B353" s="11">
        <v>45585</v>
      </c>
      <c r="C353" s="5" t="s">
        <v>7</v>
      </c>
      <c r="D353" s="5" t="s">
        <v>20</v>
      </c>
      <c r="E353" s="5" t="s">
        <v>19</v>
      </c>
      <c r="F353" s="12">
        <v>31490.45</v>
      </c>
      <c r="G353" s="13">
        <v>28204.55</v>
      </c>
    </row>
    <row r="354" spans="1:7" x14ac:dyDescent="0.3">
      <c r="A354" s="10">
        <v>5353</v>
      </c>
      <c r="B354" s="11">
        <v>45301</v>
      </c>
      <c r="C354" s="5" t="s">
        <v>7</v>
      </c>
      <c r="D354" s="5" t="s">
        <v>30</v>
      </c>
      <c r="E354" s="5" t="s">
        <v>15</v>
      </c>
      <c r="F354" s="12">
        <v>86943.89</v>
      </c>
      <c r="G354" s="13">
        <v>90052.84</v>
      </c>
    </row>
    <row r="355" spans="1:7" x14ac:dyDescent="0.3">
      <c r="A355" s="10">
        <v>5354</v>
      </c>
      <c r="B355" s="11">
        <v>45119</v>
      </c>
      <c r="C355" s="5" t="s">
        <v>7</v>
      </c>
      <c r="D355" s="5" t="s">
        <v>22</v>
      </c>
      <c r="E355" s="5" t="s">
        <v>11</v>
      </c>
      <c r="F355" s="12">
        <v>249540.07</v>
      </c>
      <c r="G355" s="13">
        <v>289158.51</v>
      </c>
    </row>
    <row r="356" spans="1:7" x14ac:dyDescent="0.3">
      <c r="A356" s="10">
        <v>5355</v>
      </c>
      <c r="B356" s="11">
        <v>45430</v>
      </c>
      <c r="C356" s="5" t="s">
        <v>12</v>
      </c>
      <c r="D356" s="5" t="s">
        <v>23</v>
      </c>
      <c r="E356" s="5" t="s">
        <v>19</v>
      </c>
      <c r="F356" s="12">
        <v>104389.94</v>
      </c>
      <c r="G356" s="13">
        <v>105010.17</v>
      </c>
    </row>
    <row r="357" spans="1:7" x14ac:dyDescent="0.3">
      <c r="A357" s="10">
        <v>5356</v>
      </c>
      <c r="B357" s="11">
        <v>45585</v>
      </c>
      <c r="C357" s="5" t="s">
        <v>12</v>
      </c>
      <c r="D357" s="5" t="s">
        <v>18</v>
      </c>
      <c r="E357" s="5" t="s">
        <v>27</v>
      </c>
      <c r="F357" s="12">
        <v>411485.21</v>
      </c>
      <c r="G357" s="13">
        <v>488674.5</v>
      </c>
    </row>
    <row r="358" spans="1:7" x14ac:dyDescent="0.3">
      <c r="A358" s="10">
        <v>5357</v>
      </c>
      <c r="B358" s="11">
        <v>45377</v>
      </c>
      <c r="C358" s="5" t="s">
        <v>7</v>
      </c>
      <c r="D358" s="5" t="s">
        <v>29</v>
      </c>
      <c r="E358" s="5" t="s">
        <v>21</v>
      </c>
      <c r="F358" s="12">
        <v>43748.09</v>
      </c>
      <c r="G358" s="13">
        <v>37387.370000000003</v>
      </c>
    </row>
    <row r="359" spans="1:7" x14ac:dyDescent="0.3">
      <c r="A359" s="10">
        <v>5358</v>
      </c>
      <c r="B359" s="11">
        <v>45170</v>
      </c>
      <c r="C359" s="5" t="s">
        <v>7</v>
      </c>
      <c r="D359" s="5" t="s">
        <v>29</v>
      </c>
      <c r="E359" s="5" t="s">
        <v>17</v>
      </c>
      <c r="F359" s="12">
        <v>43380.7</v>
      </c>
      <c r="G359" s="13">
        <v>51541.46</v>
      </c>
    </row>
    <row r="360" spans="1:7" x14ac:dyDescent="0.3">
      <c r="A360" s="10">
        <v>5359</v>
      </c>
      <c r="B360" s="11">
        <v>45618</v>
      </c>
      <c r="C360" s="5" t="s">
        <v>7</v>
      </c>
      <c r="D360" s="5" t="s">
        <v>28</v>
      </c>
      <c r="E360" s="5" t="s">
        <v>19</v>
      </c>
      <c r="F360" s="12">
        <v>581629.97</v>
      </c>
      <c r="G360" s="13">
        <v>669975.57999999996</v>
      </c>
    </row>
    <row r="361" spans="1:7" x14ac:dyDescent="0.3">
      <c r="A361" s="10">
        <v>5360</v>
      </c>
      <c r="B361" s="11">
        <v>45168</v>
      </c>
      <c r="C361" s="5" t="s">
        <v>7</v>
      </c>
      <c r="D361" s="5" t="s">
        <v>20</v>
      </c>
      <c r="E361" s="5" t="s">
        <v>15</v>
      </c>
      <c r="F361" s="12">
        <v>24528.91</v>
      </c>
      <c r="G361" s="13">
        <v>27175.66</v>
      </c>
    </row>
    <row r="362" spans="1:7" x14ac:dyDescent="0.3">
      <c r="A362" s="10">
        <v>5361</v>
      </c>
      <c r="B362" s="11">
        <v>45394</v>
      </c>
      <c r="C362" s="5" t="s">
        <v>12</v>
      </c>
      <c r="D362" s="5" t="s">
        <v>18</v>
      </c>
      <c r="E362" s="5" t="s">
        <v>19</v>
      </c>
      <c r="F362" s="12">
        <v>153630.87</v>
      </c>
      <c r="G362" s="13">
        <v>146416.60999999999</v>
      </c>
    </row>
    <row r="363" spans="1:7" x14ac:dyDescent="0.3">
      <c r="A363" s="10">
        <v>5362</v>
      </c>
      <c r="B363" s="11">
        <v>45244</v>
      </c>
      <c r="C363" s="5" t="s">
        <v>12</v>
      </c>
      <c r="D363" s="5" t="s">
        <v>25</v>
      </c>
      <c r="E363" s="5" t="s">
        <v>15</v>
      </c>
      <c r="F363" s="12">
        <v>282652.83</v>
      </c>
      <c r="G363" s="13">
        <v>273007.57</v>
      </c>
    </row>
    <row r="364" spans="1:7" x14ac:dyDescent="0.3">
      <c r="A364" s="10">
        <v>5363</v>
      </c>
      <c r="B364" s="11">
        <v>45393</v>
      </c>
      <c r="C364" s="5" t="s">
        <v>12</v>
      </c>
      <c r="D364" s="5" t="s">
        <v>13</v>
      </c>
      <c r="E364" s="5" t="s">
        <v>17</v>
      </c>
      <c r="F364" s="12">
        <v>403122.07</v>
      </c>
      <c r="G364" s="13">
        <v>465767.88</v>
      </c>
    </row>
    <row r="365" spans="1:7" x14ac:dyDescent="0.3">
      <c r="A365" s="10">
        <v>5364</v>
      </c>
      <c r="B365" s="11">
        <v>45020</v>
      </c>
      <c r="C365" s="5" t="s">
        <v>12</v>
      </c>
      <c r="D365" s="5" t="s">
        <v>13</v>
      </c>
      <c r="E365" s="5" t="s">
        <v>19</v>
      </c>
      <c r="F365" s="12">
        <v>454943.43</v>
      </c>
      <c r="G365" s="13">
        <v>447491.4</v>
      </c>
    </row>
    <row r="366" spans="1:7" x14ac:dyDescent="0.3">
      <c r="A366" s="10">
        <v>5365</v>
      </c>
      <c r="B366" s="11">
        <v>45261</v>
      </c>
      <c r="C366" s="5" t="s">
        <v>7</v>
      </c>
      <c r="D366" s="5" t="s">
        <v>16</v>
      </c>
      <c r="E366" s="5" t="s">
        <v>17</v>
      </c>
      <c r="F366" s="12">
        <v>42742.11</v>
      </c>
      <c r="G366" s="13">
        <v>38770.78</v>
      </c>
    </row>
    <row r="367" spans="1:7" x14ac:dyDescent="0.3">
      <c r="A367" s="10">
        <v>5366</v>
      </c>
      <c r="B367" s="11">
        <v>45396</v>
      </c>
      <c r="C367" s="5" t="s">
        <v>7</v>
      </c>
      <c r="D367" s="5" t="s">
        <v>10</v>
      </c>
      <c r="E367" s="5" t="s">
        <v>17</v>
      </c>
      <c r="F367" s="12">
        <v>210304.91</v>
      </c>
      <c r="G367" s="13">
        <v>255513.16</v>
      </c>
    </row>
    <row r="368" spans="1:7" x14ac:dyDescent="0.3">
      <c r="A368" s="10">
        <v>5367</v>
      </c>
      <c r="B368" s="11">
        <v>45432</v>
      </c>
      <c r="C368" s="5" t="s">
        <v>12</v>
      </c>
      <c r="D368" s="5" t="s">
        <v>13</v>
      </c>
      <c r="E368" s="5" t="s">
        <v>21</v>
      </c>
      <c r="F368" s="12">
        <v>99133.84</v>
      </c>
      <c r="G368" s="13">
        <v>110855.89</v>
      </c>
    </row>
    <row r="369" spans="1:7" x14ac:dyDescent="0.3">
      <c r="A369" s="10">
        <v>5368</v>
      </c>
      <c r="B369" s="11">
        <v>45532</v>
      </c>
      <c r="C369" s="5" t="s">
        <v>7</v>
      </c>
      <c r="D369" s="5" t="s">
        <v>29</v>
      </c>
      <c r="E369" s="5" t="s">
        <v>27</v>
      </c>
      <c r="F369" s="12">
        <v>44770.38</v>
      </c>
      <c r="G369" s="13">
        <v>45821.09</v>
      </c>
    </row>
    <row r="370" spans="1:7" x14ac:dyDescent="0.3">
      <c r="A370" s="10">
        <v>5369</v>
      </c>
      <c r="B370" s="11">
        <v>45530</v>
      </c>
      <c r="C370" s="5" t="s">
        <v>7</v>
      </c>
      <c r="D370" s="5" t="s">
        <v>10</v>
      </c>
      <c r="E370" s="5" t="s">
        <v>15</v>
      </c>
      <c r="F370" s="12">
        <v>144774.39000000001</v>
      </c>
      <c r="G370" s="13">
        <v>169658.27</v>
      </c>
    </row>
    <row r="371" spans="1:7" x14ac:dyDescent="0.3">
      <c r="A371" s="10">
        <v>5370</v>
      </c>
      <c r="B371" s="11">
        <v>45214</v>
      </c>
      <c r="C371" s="5" t="s">
        <v>7</v>
      </c>
      <c r="D371" s="5" t="s">
        <v>24</v>
      </c>
      <c r="E371" s="5" t="s">
        <v>14</v>
      </c>
      <c r="F371" s="12">
        <v>106129.60000000001</v>
      </c>
      <c r="G371" s="13">
        <v>92410.71</v>
      </c>
    </row>
    <row r="372" spans="1:7" x14ac:dyDescent="0.3">
      <c r="A372" s="10">
        <v>5371</v>
      </c>
      <c r="B372" s="11">
        <v>45442</v>
      </c>
      <c r="C372" s="5" t="s">
        <v>7</v>
      </c>
      <c r="D372" s="5" t="s">
        <v>29</v>
      </c>
      <c r="E372" s="5" t="s">
        <v>14</v>
      </c>
      <c r="F372" s="12">
        <v>42922.54</v>
      </c>
      <c r="G372" s="13">
        <v>42862.23</v>
      </c>
    </row>
    <row r="373" spans="1:7" x14ac:dyDescent="0.3">
      <c r="A373" s="10">
        <v>5372</v>
      </c>
      <c r="B373" s="11">
        <v>45000</v>
      </c>
      <c r="C373" s="5" t="s">
        <v>12</v>
      </c>
      <c r="D373" s="5" t="s">
        <v>13</v>
      </c>
      <c r="E373" s="5" t="s">
        <v>21</v>
      </c>
      <c r="F373" s="12">
        <v>487948.99</v>
      </c>
      <c r="G373" s="13">
        <v>473707.05</v>
      </c>
    </row>
    <row r="374" spans="1:7" x14ac:dyDescent="0.3">
      <c r="A374" s="10">
        <v>5373</v>
      </c>
      <c r="B374" s="11">
        <v>45511</v>
      </c>
      <c r="C374" s="5" t="s">
        <v>7</v>
      </c>
      <c r="D374" s="5" t="s">
        <v>20</v>
      </c>
      <c r="E374" s="5" t="s">
        <v>17</v>
      </c>
      <c r="F374" s="12">
        <v>6437.61</v>
      </c>
      <c r="G374" s="13">
        <v>7523.09</v>
      </c>
    </row>
    <row r="375" spans="1:7" x14ac:dyDescent="0.3">
      <c r="A375" s="10">
        <v>5374</v>
      </c>
      <c r="B375" s="11">
        <v>44965</v>
      </c>
      <c r="C375" s="5" t="s">
        <v>12</v>
      </c>
      <c r="D375" s="5" t="s">
        <v>25</v>
      </c>
      <c r="E375" s="5" t="s">
        <v>27</v>
      </c>
      <c r="F375" s="12">
        <v>404481.86</v>
      </c>
      <c r="G375" s="13">
        <v>487634.02</v>
      </c>
    </row>
    <row r="376" spans="1:7" x14ac:dyDescent="0.3">
      <c r="A376" s="10">
        <v>5375</v>
      </c>
      <c r="B376" s="11">
        <v>45494</v>
      </c>
      <c r="C376" s="5" t="s">
        <v>7</v>
      </c>
      <c r="D376" s="5" t="s">
        <v>22</v>
      </c>
      <c r="E376" s="5" t="s">
        <v>21</v>
      </c>
      <c r="F376" s="12">
        <v>162657.45000000001</v>
      </c>
      <c r="G376" s="13">
        <v>181254.36</v>
      </c>
    </row>
    <row r="377" spans="1:7" x14ac:dyDescent="0.3">
      <c r="A377" s="10">
        <v>5376</v>
      </c>
      <c r="B377" s="11">
        <v>45655</v>
      </c>
      <c r="C377" s="5" t="s">
        <v>12</v>
      </c>
      <c r="D377" s="5" t="s">
        <v>25</v>
      </c>
      <c r="E377" s="5" t="s">
        <v>9</v>
      </c>
      <c r="F377" s="12">
        <v>93520.53</v>
      </c>
      <c r="G377" s="13">
        <v>106082.49</v>
      </c>
    </row>
    <row r="378" spans="1:7" x14ac:dyDescent="0.3">
      <c r="A378" s="10">
        <v>5377</v>
      </c>
      <c r="B378" s="11">
        <v>45488</v>
      </c>
      <c r="C378" s="5" t="s">
        <v>7</v>
      </c>
      <c r="D378" s="5" t="s">
        <v>26</v>
      </c>
      <c r="E378" s="5" t="s">
        <v>9</v>
      </c>
      <c r="F378" s="12">
        <v>10021.66</v>
      </c>
      <c r="G378" s="13">
        <v>9319.75</v>
      </c>
    </row>
    <row r="379" spans="1:7" x14ac:dyDescent="0.3">
      <c r="A379" s="10">
        <v>5378</v>
      </c>
      <c r="B379" s="11">
        <v>45054</v>
      </c>
      <c r="C379" s="5" t="s">
        <v>12</v>
      </c>
      <c r="D379" s="5" t="s">
        <v>23</v>
      </c>
      <c r="E379" s="5" t="s">
        <v>27</v>
      </c>
      <c r="F379" s="12">
        <v>407063.33</v>
      </c>
      <c r="G379" s="13">
        <v>472412.47</v>
      </c>
    </row>
    <row r="380" spans="1:7" x14ac:dyDescent="0.3">
      <c r="A380" s="10">
        <v>5379</v>
      </c>
      <c r="B380" s="11">
        <v>45077</v>
      </c>
      <c r="C380" s="5" t="s">
        <v>12</v>
      </c>
      <c r="D380" s="5" t="s">
        <v>18</v>
      </c>
      <c r="E380" s="5" t="s">
        <v>19</v>
      </c>
      <c r="F380" s="12">
        <v>59609.17</v>
      </c>
      <c r="G380" s="13">
        <v>61774.16</v>
      </c>
    </row>
    <row r="381" spans="1:7" x14ac:dyDescent="0.3">
      <c r="A381" s="10">
        <v>5380</v>
      </c>
      <c r="B381" s="11">
        <v>45072</v>
      </c>
      <c r="C381" s="5" t="s">
        <v>12</v>
      </c>
      <c r="D381" s="5" t="s">
        <v>25</v>
      </c>
      <c r="E381" s="5" t="s">
        <v>14</v>
      </c>
      <c r="F381" s="12">
        <v>161550.32</v>
      </c>
      <c r="G381" s="13">
        <v>161528.01999999999</v>
      </c>
    </row>
    <row r="382" spans="1:7" x14ac:dyDescent="0.3">
      <c r="A382" s="10">
        <v>5381</v>
      </c>
      <c r="B382" s="11">
        <v>45368</v>
      </c>
      <c r="C382" s="5" t="s">
        <v>7</v>
      </c>
      <c r="D382" s="5" t="s">
        <v>30</v>
      </c>
      <c r="E382" s="5" t="s">
        <v>9</v>
      </c>
      <c r="F382" s="12">
        <v>118366.14</v>
      </c>
      <c r="G382" s="13">
        <v>130265.79</v>
      </c>
    </row>
    <row r="383" spans="1:7" x14ac:dyDescent="0.3">
      <c r="A383" s="10">
        <v>5382</v>
      </c>
      <c r="B383" s="11">
        <v>44971</v>
      </c>
      <c r="C383" s="5" t="s">
        <v>12</v>
      </c>
      <c r="D383" s="5" t="s">
        <v>23</v>
      </c>
      <c r="E383" s="5" t="s">
        <v>15</v>
      </c>
      <c r="F383" s="12">
        <v>460063.16</v>
      </c>
      <c r="G383" s="13">
        <v>521650.42</v>
      </c>
    </row>
    <row r="384" spans="1:7" x14ac:dyDescent="0.3">
      <c r="A384" s="10">
        <v>5383</v>
      </c>
      <c r="B384" s="11">
        <v>45579</v>
      </c>
      <c r="C384" s="5" t="s">
        <v>7</v>
      </c>
      <c r="D384" s="5" t="s">
        <v>20</v>
      </c>
      <c r="E384" s="5" t="s">
        <v>9</v>
      </c>
      <c r="F384" s="12">
        <v>31387.43</v>
      </c>
      <c r="G384" s="13">
        <v>32572.6</v>
      </c>
    </row>
    <row r="385" spans="1:7" x14ac:dyDescent="0.3">
      <c r="A385" s="10">
        <v>5384</v>
      </c>
      <c r="B385" s="11">
        <v>45603</v>
      </c>
      <c r="C385" s="5" t="s">
        <v>12</v>
      </c>
      <c r="D385" s="5" t="s">
        <v>23</v>
      </c>
      <c r="E385" s="5" t="s">
        <v>14</v>
      </c>
      <c r="F385" s="12">
        <v>314201.45</v>
      </c>
      <c r="G385" s="13">
        <v>319679.18</v>
      </c>
    </row>
    <row r="386" spans="1:7" x14ac:dyDescent="0.3">
      <c r="A386" s="10">
        <v>5385</v>
      </c>
      <c r="B386" s="11">
        <v>45114</v>
      </c>
      <c r="C386" s="5" t="s">
        <v>7</v>
      </c>
      <c r="D386" s="5" t="s">
        <v>20</v>
      </c>
      <c r="E386" s="5" t="s">
        <v>14</v>
      </c>
      <c r="F386" s="12">
        <v>22307.77</v>
      </c>
      <c r="G386" s="13">
        <v>23616.09</v>
      </c>
    </row>
    <row r="387" spans="1:7" x14ac:dyDescent="0.3">
      <c r="A387" s="10">
        <v>5386</v>
      </c>
      <c r="B387" s="11">
        <v>45597</v>
      </c>
      <c r="C387" s="5" t="s">
        <v>7</v>
      </c>
      <c r="D387" s="5" t="s">
        <v>16</v>
      </c>
      <c r="E387" s="5" t="s">
        <v>17</v>
      </c>
      <c r="F387" s="12">
        <v>41196.480000000003</v>
      </c>
      <c r="G387" s="13">
        <v>47692.76</v>
      </c>
    </row>
    <row r="388" spans="1:7" x14ac:dyDescent="0.3">
      <c r="A388" s="10">
        <v>5387</v>
      </c>
      <c r="B388" s="11">
        <v>45149</v>
      </c>
      <c r="C388" s="5" t="s">
        <v>7</v>
      </c>
      <c r="D388" s="5" t="s">
        <v>10</v>
      </c>
      <c r="E388" s="5" t="s">
        <v>21</v>
      </c>
      <c r="F388" s="12">
        <v>161561.66</v>
      </c>
      <c r="G388" s="13">
        <v>163128.95999999999</v>
      </c>
    </row>
    <row r="389" spans="1:7" x14ac:dyDescent="0.3">
      <c r="A389" s="10">
        <v>5388</v>
      </c>
      <c r="B389" s="11">
        <v>45546</v>
      </c>
      <c r="C389" s="5" t="s">
        <v>12</v>
      </c>
      <c r="D389" s="5" t="s">
        <v>23</v>
      </c>
      <c r="E389" s="5" t="s">
        <v>19</v>
      </c>
      <c r="F389" s="12">
        <v>334171.17</v>
      </c>
      <c r="G389" s="13">
        <v>355601.7</v>
      </c>
    </row>
    <row r="390" spans="1:7" x14ac:dyDescent="0.3">
      <c r="A390" s="10">
        <v>5389</v>
      </c>
      <c r="B390" s="11">
        <v>45277</v>
      </c>
      <c r="C390" s="5" t="s">
        <v>7</v>
      </c>
      <c r="D390" s="5" t="s">
        <v>28</v>
      </c>
      <c r="E390" s="5" t="s">
        <v>17</v>
      </c>
      <c r="F390" s="12">
        <v>374932.28</v>
      </c>
      <c r="G390" s="13">
        <v>433602.89</v>
      </c>
    </row>
    <row r="391" spans="1:7" x14ac:dyDescent="0.3">
      <c r="A391" s="10">
        <v>5390</v>
      </c>
      <c r="B391" s="11">
        <v>45045</v>
      </c>
      <c r="C391" s="5" t="s">
        <v>7</v>
      </c>
      <c r="D391" s="5" t="s">
        <v>10</v>
      </c>
      <c r="E391" s="5" t="s">
        <v>17</v>
      </c>
      <c r="F391" s="12">
        <v>153759.14000000001</v>
      </c>
      <c r="G391" s="13">
        <v>177251.86</v>
      </c>
    </row>
    <row r="392" spans="1:7" x14ac:dyDescent="0.3">
      <c r="A392" s="10">
        <v>5391</v>
      </c>
      <c r="B392" s="11">
        <v>45308</v>
      </c>
      <c r="C392" s="5" t="s">
        <v>12</v>
      </c>
      <c r="D392" s="5" t="s">
        <v>25</v>
      </c>
      <c r="E392" s="5" t="s">
        <v>14</v>
      </c>
      <c r="F392" s="12">
        <v>60938.67</v>
      </c>
      <c r="G392" s="13">
        <v>63922.78</v>
      </c>
    </row>
    <row r="393" spans="1:7" x14ac:dyDescent="0.3">
      <c r="A393" s="10">
        <v>5392</v>
      </c>
      <c r="B393" s="11">
        <v>45266</v>
      </c>
      <c r="C393" s="5" t="s">
        <v>7</v>
      </c>
      <c r="D393" s="5" t="s">
        <v>20</v>
      </c>
      <c r="E393" s="5" t="s">
        <v>9</v>
      </c>
      <c r="F393" s="12">
        <v>32338.26</v>
      </c>
      <c r="G393" s="13">
        <v>36361.78</v>
      </c>
    </row>
    <row r="394" spans="1:7" x14ac:dyDescent="0.3">
      <c r="A394" s="10">
        <v>5393</v>
      </c>
      <c r="B394" s="11">
        <v>45320</v>
      </c>
      <c r="C394" s="5" t="s">
        <v>7</v>
      </c>
      <c r="D394" s="5" t="s">
        <v>8</v>
      </c>
      <c r="E394" s="5" t="s">
        <v>15</v>
      </c>
      <c r="F394" s="12">
        <v>21935.759999999998</v>
      </c>
      <c r="G394" s="13">
        <v>25982.5</v>
      </c>
    </row>
    <row r="395" spans="1:7" x14ac:dyDescent="0.3">
      <c r="A395" s="10">
        <v>5394</v>
      </c>
      <c r="B395" s="11">
        <v>45633</v>
      </c>
      <c r="C395" s="5" t="s">
        <v>12</v>
      </c>
      <c r="D395" s="5" t="s">
        <v>18</v>
      </c>
      <c r="E395" s="5" t="s">
        <v>9</v>
      </c>
      <c r="F395" s="12">
        <v>263859.03000000003</v>
      </c>
      <c r="G395" s="13">
        <v>260206.53</v>
      </c>
    </row>
    <row r="396" spans="1:7" x14ac:dyDescent="0.3">
      <c r="A396" s="10">
        <v>5395</v>
      </c>
      <c r="B396" s="11">
        <v>45613</v>
      </c>
      <c r="C396" s="5" t="s">
        <v>12</v>
      </c>
      <c r="D396" s="5" t="s">
        <v>18</v>
      </c>
      <c r="E396" s="5" t="s">
        <v>19</v>
      </c>
      <c r="F396" s="12">
        <v>361720.7</v>
      </c>
      <c r="G396" s="13">
        <v>432452.77</v>
      </c>
    </row>
    <row r="397" spans="1:7" x14ac:dyDescent="0.3">
      <c r="A397" s="10">
        <v>5396</v>
      </c>
      <c r="B397" s="11">
        <v>45493</v>
      </c>
      <c r="C397" s="5" t="s">
        <v>7</v>
      </c>
      <c r="D397" s="5" t="s">
        <v>20</v>
      </c>
      <c r="E397" s="5" t="s">
        <v>14</v>
      </c>
      <c r="F397" s="12">
        <v>19310.45</v>
      </c>
      <c r="G397" s="13">
        <v>19203.73</v>
      </c>
    </row>
    <row r="398" spans="1:7" x14ac:dyDescent="0.3">
      <c r="A398" s="10">
        <v>5397</v>
      </c>
      <c r="B398" s="11">
        <v>45143</v>
      </c>
      <c r="C398" s="5" t="s">
        <v>7</v>
      </c>
      <c r="D398" s="5" t="s">
        <v>10</v>
      </c>
      <c r="E398" s="5" t="s">
        <v>21</v>
      </c>
      <c r="F398" s="12">
        <v>178846.85</v>
      </c>
      <c r="G398" s="13">
        <v>201878.56</v>
      </c>
    </row>
    <row r="399" spans="1:7" x14ac:dyDescent="0.3">
      <c r="A399" s="10">
        <v>5398</v>
      </c>
      <c r="B399" s="11">
        <v>44937</v>
      </c>
      <c r="C399" s="5" t="s">
        <v>7</v>
      </c>
      <c r="D399" s="5" t="s">
        <v>22</v>
      </c>
      <c r="E399" s="5" t="s">
        <v>19</v>
      </c>
      <c r="F399" s="12">
        <v>15484.93</v>
      </c>
      <c r="G399" s="13">
        <v>17935.400000000001</v>
      </c>
    </row>
    <row r="400" spans="1:7" x14ac:dyDescent="0.3">
      <c r="A400" s="10">
        <v>5399</v>
      </c>
      <c r="B400" s="11">
        <v>45577</v>
      </c>
      <c r="C400" s="5" t="s">
        <v>7</v>
      </c>
      <c r="D400" s="5" t="s">
        <v>26</v>
      </c>
      <c r="E400" s="5" t="s">
        <v>21</v>
      </c>
      <c r="F400" s="12">
        <v>5086.41</v>
      </c>
      <c r="G400" s="13">
        <v>5824.42</v>
      </c>
    </row>
    <row r="401" spans="1:7" x14ac:dyDescent="0.3">
      <c r="A401" s="10">
        <v>5400</v>
      </c>
      <c r="B401" s="11">
        <v>45616</v>
      </c>
      <c r="C401" s="5" t="s">
        <v>7</v>
      </c>
      <c r="D401" s="5" t="s">
        <v>24</v>
      </c>
      <c r="E401" s="5" t="s">
        <v>19</v>
      </c>
      <c r="F401" s="12">
        <v>171890.41</v>
      </c>
      <c r="G401" s="13">
        <v>148660.64000000001</v>
      </c>
    </row>
    <row r="402" spans="1:7" x14ac:dyDescent="0.3">
      <c r="A402" s="10">
        <v>5401</v>
      </c>
      <c r="B402" s="11">
        <v>44932</v>
      </c>
      <c r="C402" s="5" t="s">
        <v>12</v>
      </c>
      <c r="D402" s="5" t="s">
        <v>25</v>
      </c>
      <c r="E402" s="5" t="s">
        <v>9</v>
      </c>
      <c r="F402" s="12">
        <v>127810.55</v>
      </c>
      <c r="G402" s="13">
        <v>120431.36</v>
      </c>
    </row>
    <row r="403" spans="1:7" x14ac:dyDescent="0.3">
      <c r="A403" s="10">
        <v>5402</v>
      </c>
      <c r="B403" s="11">
        <v>45020</v>
      </c>
      <c r="C403" s="5" t="s">
        <v>7</v>
      </c>
      <c r="D403" s="5" t="s">
        <v>10</v>
      </c>
      <c r="E403" s="5" t="s">
        <v>17</v>
      </c>
      <c r="F403" s="12">
        <v>43526.04</v>
      </c>
      <c r="G403" s="13">
        <v>48184.29</v>
      </c>
    </row>
    <row r="404" spans="1:7" x14ac:dyDescent="0.3">
      <c r="A404" s="10">
        <v>5403</v>
      </c>
      <c r="B404" s="11">
        <v>45575</v>
      </c>
      <c r="C404" s="5" t="s">
        <v>7</v>
      </c>
      <c r="D404" s="5" t="s">
        <v>10</v>
      </c>
      <c r="E404" s="5" t="s">
        <v>15</v>
      </c>
      <c r="F404" s="12">
        <v>198013.25</v>
      </c>
      <c r="G404" s="13">
        <v>233940.17</v>
      </c>
    </row>
    <row r="405" spans="1:7" x14ac:dyDescent="0.3">
      <c r="A405" s="10">
        <v>5404</v>
      </c>
      <c r="B405" s="11">
        <v>45495</v>
      </c>
      <c r="C405" s="5" t="s">
        <v>12</v>
      </c>
      <c r="D405" s="5" t="s">
        <v>13</v>
      </c>
      <c r="E405" s="5" t="s">
        <v>19</v>
      </c>
      <c r="F405" s="12">
        <v>351828.24</v>
      </c>
      <c r="G405" s="13">
        <v>379138.26</v>
      </c>
    </row>
    <row r="406" spans="1:7" x14ac:dyDescent="0.3">
      <c r="A406" s="10">
        <v>5405</v>
      </c>
      <c r="B406" s="11">
        <v>45098</v>
      </c>
      <c r="C406" s="5" t="s">
        <v>7</v>
      </c>
      <c r="D406" s="5" t="s">
        <v>10</v>
      </c>
      <c r="E406" s="5" t="s">
        <v>17</v>
      </c>
      <c r="F406" s="12">
        <v>172617.98</v>
      </c>
      <c r="G406" s="13">
        <v>212783.98</v>
      </c>
    </row>
    <row r="407" spans="1:7" x14ac:dyDescent="0.3">
      <c r="A407" s="10">
        <v>5406</v>
      </c>
      <c r="B407" s="11">
        <v>45211</v>
      </c>
      <c r="C407" s="5" t="s">
        <v>7</v>
      </c>
      <c r="D407" s="5" t="s">
        <v>26</v>
      </c>
      <c r="E407" s="5" t="s">
        <v>19</v>
      </c>
      <c r="F407" s="12">
        <v>22918.03</v>
      </c>
      <c r="G407" s="13">
        <v>27327.67</v>
      </c>
    </row>
    <row r="408" spans="1:7" x14ac:dyDescent="0.3">
      <c r="A408" s="10">
        <v>5407</v>
      </c>
      <c r="B408" s="11">
        <v>44945</v>
      </c>
      <c r="C408" s="5" t="s">
        <v>12</v>
      </c>
      <c r="D408" s="5" t="s">
        <v>18</v>
      </c>
      <c r="E408" s="5" t="s">
        <v>27</v>
      </c>
      <c r="F408" s="12">
        <v>252265.56</v>
      </c>
      <c r="G408" s="13">
        <v>255593.36</v>
      </c>
    </row>
    <row r="409" spans="1:7" x14ac:dyDescent="0.3">
      <c r="A409" s="10">
        <v>5408</v>
      </c>
      <c r="B409" s="11">
        <v>45150</v>
      </c>
      <c r="C409" s="5" t="s">
        <v>7</v>
      </c>
      <c r="D409" s="5" t="s">
        <v>24</v>
      </c>
      <c r="E409" s="5" t="s">
        <v>21</v>
      </c>
      <c r="F409" s="12">
        <v>26005.68</v>
      </c>
      <c r="G409" s="13">
        <v>30297.55</v>
      </c>
    </row>
    <row r="410" spans="1:7" x14ac:dyDescent="0.3">
      <c r="A410" s="10">
        <v>5409</v>
      </c>
      <c r="B410" s="11">
        <v>45374</v>
      </c>
      <c r="C410" s="5" t="s">
        <v>12</v>
      </c>
      <c r="D410" s="5" t="s">
        <v>18</v>
      </c>
      <c r="E410" s="5" t="s">
        <v>27</v>
      </c>
      <c r="F410" s="12">
        <v>26561.86</v>
      </c>
      <c r="G410" s="13">
        <v>28078.97</v>
      </c>
    </row>
    <row r="411" spans="1:7" x14ac:dyDescent="0.3">
      <c r="A411" s="10">
        <v>5410</v>
      </c>
      <c r="B411" s="11">
        <v>45588</v>
      </c>
      <c r="C411" s="5" t="s">
        <v>7</v>
      </c>
      <c r="D411" s="5" t="s">
        <v>8</v>
      </c>
      <c r="E411" s="5" t="s">
        <v>14</v>
      </c>
      <c r="F411" s="12">
        <v>11906.76</v>
      </c>
      <c r="G411" s="13">
        <v>12825.35</v>
      </c>
    </row>
    <row r="412" spans="1:7" x14ac:dyDescent="0.3">
      <c r="A412" s="10">
        <v>5411</v>
      </c>
      <c r="B412" s="11">
        <v>45017</v>
      </c>
      <c r="C412" s="5" t="s">
        <v>12</v>
      </c>
      <c r="D412" s="5" t="s">
        <v>13</v>
      </c>
      <c r="E412" s="5" t="s">
        <v>15</v>
      </c>
      <c r="F412" s="12">
        <v>206488.6</v>
      </c>
      <c r="G412" s="13">
        <v>254227.35</v>
      </c>
    </row>
    <row r="413" spans="1:7" x14ac:dyDescent="0.3">
      <c r="A413" s="10">
        <v>5412</v>
      </c>
      <c r="B413" s="11">
        <v>45350</v>
      </c>
      <c r="C413" s="5" t="s">
        <v>7</v>
      </c>
      <c r="D413" s="5" t="s">
        <v>24</v>
      </c>
      <c r="E413" s="5" t="s">
        <v>19</v>
      </c>
      <c r="F413" s="12">
        <v>84078.49</v>
      </c>
      <c r="G413" s="13">
        <v>88707.89</v>
      </c>
    </row>
    <row r="414" spans="1:7" x14ac:dyDescent="0.3">
      <c r="A414" s="10">
        <v>5413</v>
      </c>
      <c r="B414" s="11">
        <v>45576</v>
      </c>
      <c r="C414" s="5" t="s">
        <v>7</v>
      </c>
      <c r="D414" s="5" t="s">
        <v>24</v>
      </c>
      <c r="E414" s="5" t="s">
        <v>11</v>
      </c>
      <c r="F414" s="12">
        <v>171772.27</v>
      </c>
      <c r="G414" s="13">
        <v>181566.45</v>
      </c>
    </row>
    <row r="415" spans="1:7" x14ac:dyDescent="0.3">
      <c r="A415" s="10">
        <v>5414</v>
      </c>
      <c r="B415" s="11">
        <v>45604</v>
      </c>
      <c r="C415" s="5" t="s">
        <v>7</v>
      </c>
      <c r="D415" s="5" t="s">
        <v>24</v>
      </c>
      <c r="E415" s="5" t="s">
        <v>9</v>
      </c>
      <c r="F415" s="12">
        <v>23798.880000000001</v>
      </c>
      <c r="G415" s="13">
        <v>28995.57</v>
      </c>
    </row>
    <row r="416" spans="1:7" x14ac:dyDescent="0.3">
      <c r="A416" s="10">
        <v>5415</v>
      </c>
      <c r="B416" s="11">
        <v>45202</v>
      </c>
      <c r="C416" s="5" t="s">
        <v>7</v>
      </c>
      <c r="D416" s="5" t="s">
        <v>30</v>
      </c>
      <c r="E416" s="5" t="s">
        <v>21</v>
      </c>
      <c r="F416" s="12">
        <v>115680.31</v>
      </c>
      <c r="G416" s="13">
        <v>130370.98</v>
      </c>
    </row>
    <row r="417" spans="1:7" x14ac:dyDescent="0.3">
      <c r="A417" s="10">
        <v>5416</v>
      </c>
      <c r="B417" s="11">
        <v>45467</v>
      </c>
      <c r="C417" s="5" t="s">
        <v>7</v>
      </c>
      <c r="D417" s="5" t="s">
        <v>26</v>
      </c>
      <c r="E417" s="5" t="s">
        <v>11</v>
      </c>
      <c r="F417" s="12">
        <v>22857.599999999999</v>
      </c>
      <c r="G417" s="13">
        <v>19650.53</v>
      </c>
    </row>
    <row r="418" spans="1:7" x14ac:dyDescent="0.3">
      <c r="A418" s="10">
        <v>5417</v>
      </c>
      <c r="B418" s="11">
        <v>45390</v>
      </c>
      <c r="C418" s="5" t="s">
        <v>7</v>
      </c>
      <c r="D418" s="5" t="s">
        <v>24</v>
      </c>
      <c r="E418" s="5" t="s">
        <v>17</v>
      </c>
      <c r="F418" s="12">
        <v>50011.07</v>
      </c>
      <c r="G418" s="13">
        <v>46642.89</v>
      </c>
    </row>
    <row r="419" spans="1:7" x14ac:dyDescent="0.3">
      <c r="A419" s="10">
        <v>5418</v>
      </c>
      <c r="B419" s="11">
        <v>45503</v>
      </c>
      <c r="C419" s="5" t="s">
        <v>7</v>
      </c>
      <c r="D419" s="5" t="s">
        <v>29</v>
      </c>
      <c r="E419" s="5" t="s">
        <v>11</v>
      </c>
      <c r="F419" s="12">
        <v>41175.58</v>
      </c>
      <c r="G419" s="13">
        <v>37755.39</v>
      </c>
    </row>
    <row r="420" spans="1:7" x14ac:dyDescent="0.3">
      <c r="A420" s="10">
        <v>5419</v>
      </c>
      <c r="B420" s="11">
        <v>45373</v>
      </c>
      <c r="C420" s="5" t="s">
        <v>7</v>
      </c>
      <c r="D420" s="5" t="s">
        <v>28</v>
      </c>
      <c r="E420" s="5" t="s">
        <v>27</v>
      </c>
      <c r="F420" s="12">
        <v>337824.84</v>
      </c>
      <c r="G420" s="13">
        <v>367882.41</v>
      </c>
    </row>
    <row r="421" spans="1:7" x14ac:dyDescent="0.3">
      <c r="A421" s="10">
        <v>5420</v>
      </c>
      <c r="B421" s="11">
        <v>45153</v>
      </c>
      <c r="C421" s="5" t="s">
        <v>7</v>
      </c>
      <c r="D421" s="5" t="s">
        <v>22</v>
      </c>
      <c r="E421" s="5" t="s">
        <v>14</v>
      </c>
      <c r="F421" s="12">
        <v>250050.24</v>
      </c>
      <c r="G421" s="13">
        <v>220630.14</v>
      </c>
    </row>
    <row r="422" spans="1:7" x14ac:dyDescent="0.3">
      <c r="A422" s="10">
        <v>5421</v>
      </c>
      <c r="B422" s="11">
        <v>45293</v>
      </c>
      <c r="C422" s="5" t="s">
        <v>7</v>
      </c>
      <c r="D422" s="5" t="s">
        <v>8</v>
      </c>
      <c r="E422" s="5" t="s">
        <v>11</v>
      </c>
      <c r="F422" s="12">
        <v>2117.94</v>
      </c>
      <c r="G422" s="13">
        <v>2469.0700000000002</v>
      </c>
    </row>
    <row r="423" spans="1:7" x14ac:dyDescent="0.3">
      <c r="A423" s="10">
        <v>5422</v>
      </c>
      <c r="B423" s="11">
        <v>45654</v>
      </c>
      <c r="C423" s="5" t="s">
        <v>12</v>
      </c>
      <c r="D423" s="5" t="s">
        <v>25</v>
      </c>
      <c r="E423" s="5" t="s">
        <v>14</v>
      </c>
      <c r="F423" s="12">
        <v>93929.51</v>
      </c>
      <c r="G423" s="13">
        <v>116073.44</v>
      </c>
    </row>
    <row r="424" spans="1:7" x14ac:dyDescent="0.3">
      <c r="A424" s="10">
        <v>5423</v>
      </c>
      <c r="B424" s="11">
        <v>45493</v>
      </c>
      <c r="C424" s="5" t="s">
        <v>12</v>
      </c>
      <c r="D424" s="5" t="s">
        <v>13</v>
      </c>
      <c r="E424" s="5" t="s">
        <v>21</v>
      </c>
      <c r="F424" s="12">
        <v>258435.64</v>
      </c>
      <c r="G424" s="13">
        <v>241471.2</v>
      </c>
    </row>
    <row r="425" spans="1:7" x14ac:dyDescent="0.3">
      <c r="A425" s="10">
        <v>5424</v>
      </c>
      <c r="B425" s="11">
        <v>45568</v>
      </c>
      <c r="C425" s="5" t="s">
        <v>7</v>
      </c>
      <c r="D425" s="5" t="s">
        <v>22</v>
      </c>
      <c r="E425" s="5" t="s">
        <v>9</v>
      </c>
      <c r="F425" s="12">
        <v>222922.22</v>
      </c>
      <c r="G425" s="13">
        <v>223507.95</v>
      </c>
    </row>
    <row r="426" spans="1:7" x14ac:dyDescent="0.3">
      <c r="A426" s="10">
        <v>5425</v>
      </c>
      <c r="B426" s="11">
        <v>45012</v>
      </c>
      <c r="C426" s="5" t="s">
        <v>12</v>
      </c>
      <c r="D426" s="5" t="s">
        <v>13</v>
      </c>
      <c r="E426" s="5" t="s">
        <v>27</v>
      </c>
      <c r="F426" s="12">
        <v>106190.15</v>
      </c>
      <c r="G426" s="13">
        <v>101988.84</v>
      </c>
    </row>
    <row r="427" spans="1:7" x14ac:dyDescent="0.3">
      <c r="A427" s="10">
        <v>5426</v>
      </c>
      <c r="B427" s="11">
        <v>45389</v>
      </c>
      <c r="C427" s="5" t="s">
        <v>7</v>
      </c>
      <c r="D427" s="5" t="s">
        <v>10</v>
      </c>
      <c r="E427" s="5" t="s">
        <v>19</v>
      </c>
      <c r="F427" s="12">
        <v>154543.97</v>
      </c>
      <c r="G427" s="13">
        <v>151996.74</v>
      </c>
    </row>
    <row r="428" spans="1:7" x14ac:dyDescent="0.3">
      <c r="A428" s="10">
        <v>5427</v>
      </c>
      <c r="B428" s="11">
        <v>45372</v>
      </c>
      <c r="C428" s="5" t="s">
        <v>12</v>
      </c>
      <c r="D428" s="5" t="s">
        <v>13</v>
      </c>
      <c r="E428" s="5" t="s">
        <v>9</v>
      </c>
      <c r="F428" s="12">
        <v>495200.72</v>
      </c>
      <c r="G428" s="13">
        <v>470711.33</v>
      </c>
    </row>
    <row r="429" spans="1:7" x14ac:dyDescent="0.3">
      <c r="A429" s="10">
        <v>5428</v>
      </c>
      <c r="B429" s="11">
        <v>45442</v>
      </c>
      <c r="C429" s="5" t="s">
        <v>12</v>
      </c>
      <c r="D429" s="5" t="s">
        <v>23</v>
      </c>
      <c r="E429" s="5" t="s">
        <v>17</v>
      </c>
      <c r="F429" s="12">
        <v>284698.05</v>
      </c>
      <c r="G429" s="13">
        <v>270650.90999999997</v>
      </c>
    </row>
    <row r="430" spans="1:7" x14ac:dyDescent="0.3">
      <c r="A430" s="10">
        <v>5429</v>
      </c>
      <c r="B430" s="11">
        <v>45570</v>
      </c>
      <c r="C430" s="5" t="s">
        <v>7</v>
      </c>
      <c r="D430" s="5" t="s">
        <v>20</v>
      </c>
      <c r="E430" s="5" t="s">
        <v>19</v>
      </c>
      <c r="F430" s="12">
        <v>22828.58</v>
      </c>
      <c r="G430" s="13">
        <v>25471.75</v>
      </c>
    </row>
    <row r="431" spans="1:7" x14ac:dyDescent="0.3">
      <c r="A431" s="10">
        <v>5430</v>
      </c>
      <c r="B431" s="11">
        <v>45323</v>
      </c>
      <c r="C431" s="5" t="s">
        <v>7</v>
      </c>
      <c r="D431" s="5" t="s">
        <v>28</v>
      </c>
      <c r="E431" s="5" t="s">
        <v>15</v>
      </c>
      <c r="F431" s="12">
        <v>528789.66</v>
      </c>
      <c r="G431" s="13">
        <v>570778.89</v>
      </c>
    </row>
    <row r="432" spans="1:7" x14ac:dyDescent="0.3">
      <c r="A432" s="10">
        <v>5431</v>
      </c>
      <c r="B432" s="11">
        <v>45567</v>
      </c>
      <c r="C432" s="5" t="s">
        <v>7</v>
      </c>
      <c r="D432" s="5" t="s">
        <v>29</v>
      </c>
      <c r="E432" s="5" t="s">
        <v>14</v>
      </c>
      <c r="F432" s="12">
        <v>38321.68</v>
      </c>
      <c r="G432" s="13">
        <v>37623.06</v>
      </c>
    </row>
    <row r="433" spans="1:7" x14ac:dyDescent="0.3">
      <c r="A433" s="10">
        <v>5432</v>
      </c>
      <c r="B433" s="11">
        <v>45130</v>
      </c>
      <c r="C433" s="5" t="s">
        <v>12</v>
      </c>
      <c r="D433" s="5" t="s">
        <v>18</v>
      </c>
      <c r="E433" s="5" t="s">
        <v>21</v>
      </c>
      <c r="F433" s="12">
        <v>185886.53</v>
      </c>
      <c r="G433" s="13">
        <v>185681.33</v>
      </c>
    </row>
    <row r="434" spans="1:7" x14ac:dyDescent="0.3">
      <c r="A434" s="10">
        <v>5433</v>
      </c>
      <c r="B434" s="11">
        <v>45256</v>
      </c>
      <c r="C434" s="5" t="s">
        <v>7</v>
      </c>
      <c r="D434" s="5" t="s">
        <v>8</v>
      </c>
      <c r="E434" s="5" t="s">
        <v>17</v>
      </c>
      <c r="F434" s="12">
        <v>9737.0300000000007</v>
      </c>
      <c r="G434" s="13">
        <v>10527.32</v>
      </c>
    </row>
    <row r="435" spans="1:7" x14ac:dyDescent="0.3">
      <c r="A435" s="10">
        <v>5434</v>
      </c>
      <c r="B435" s="11">
        <v>44969</v>
      </c>
      <c r="C435" s="5" t="s">
        <v>7</v>
      </c>
      <c r="D435" s="5" t="s">
        <v>28</v>
      </c>
      <c r="E435" s="5" t="s">
        <v>21</v>
      </c>
      <c r="F435" s="12">
        <v>361029</v>
      </c>
      <c r="G435" s="13">
        <v>420870.89</v>
      </c>
    </row>
    <row r="436" spans="1:7" x14ac:dyDescent="0.3">
      <c r="A436" s="10">
        <v>5435</v>
      </c>
      <c r="B436" s="11">
        <v>45149</v>
      </c>
      <c r="C436" s="5" t="s">
        <v>12</v>
      </c>
      <c r="D436" s="5" t="s">
        <v>25</v>
      </c>
      <c r="E436" s="5" t="s">
        <v>17</v>
      </c>
      <c r="F436" s="12">
        <v>187366.77</v>
      </c>
      <c r="G436" s="13">
        <v>217889.9</v>
      </c>
    </row>
    <row r="437" spans="1:7" x14ac:dyDescent="0.3">
      <c r="A437" s="10">
        <v>5436</v>
      </c>
      <c r="B437" s="11">
        <v>45249</v>
      </c>
      <c r="C437" s="5" t="s">
        <v>7</v>
      </c>
      <c r="D437" s="5" t="s">
        <v>22</v>
      </c>
      <c r="E437" s="5" t="s">
        <v>15</v>
      </c>
      <c r="F437" s="12">
        <v>208141.26</v>
      </c>
      <c r="G437" s="13">
        <v>197716.64</v>
      </c>
    </row>
    <row r="438" spans="1:7" x14ac:dyDescent="0.3">
      <c r="A438" s="10">
        <v>5437</v>
      </c>
      <c r="B438" s="11">
        <v>44949</v>
      </c>
      <c r="C438" s="5" t="s">
        <v>12</v>
      </c>
      <c r="D438" s="5" t="s">
        <v>13</v>
      </c>
      <c r="E438" s="5" t="s">
        <v>9</v>
      </c>
      <c r="F438" s="12">
        <v>394351.43</v>
      </c>
      <c r="G438" s="13">
        <v>408186.94</v>
      </c>
    </row>
    <row r="439" spans="1:7" x14ac:dyDescent="0.3">
      <c r="A439" s="10">
        <v>5438</v>
      </c>
      <c r="B439" s="11">
        <v>45273</v>
      </c>
      <c r="C439" s="5" t="s">
        <v>12</v>
      </c>
      <c r="D439" s="5" t="s">
        <v>25</v>
      </c>
      <c r="E439" s="5" t="s">
        <v>19</v>
      </c>
      <c r="F439" s="12">
        <v>274637.23</v>
      </c>
      <c r="G439" s="13">
        <v>319064.75</v>
      </c>
    </row>
    <row r="440" spans="1:7" x14ac:dyDescent="0.3">
      <c r="A440" s="10">
        <v>5439</v>
      </c>
      <c r="B440" s="11">
        <v>44975</v>
      </c>
      <c r="C440" s="5" t="s">
        <v>7</v>
      </c>
      <c r="D440" s="5" t="s">
        <v>24</v>
      </c>
      <c r="E440" s="5" t="s">
        <v>19</v>
      </c>
      <c r="F440" s="12">
        <v>154161.54</v>
      </c>
      <c r="G440" s="13">
        <v>159740.44</v>
      </c>
    </row>
    <row r="441" spans="1:7" x14ac:dyDescent="0.3">
      <c r="A441" s="10">
        <v>5440</v>
      </c>
      <c r="B441" s="11">
        <v>45187</v>
      </c>
      <c r="C441" s="5" t="s">
        <v>7</v>
      </c>
      <c r="D441" s="5" t="s">
        <v>22</v>
      </c>
      <c r="E441" s="5" t="s">
        <v>15</v>
      </c>
      <c r="F441" s="12">
        <v>74213.72</v>
      </c>
      <c r="G441" s="13">
        <v>88606.44</v>
      </c>
    </row>
    <row r="442" spans="1:7" x14ac:dyDescent="0.3">
      <c r="A442" s="10">
        <v>5441</v>
      </c>
      <c r="B442" s="11">
        <v>44989</v>
      </c>
      <c r="C442" s="5" t="s">
        <v>7</v>
      </c>
      <c r="D442" s="5" t="s">
        <v>16</v>
      </c>
      <c r="E442" s="5" t="s">
        <v>15</v>
      </c>
      <c r="F442" s="12">
        <v>142631.32</v>
      </c>
      <c r="G442" s="13">
        <v>132132.06</v>
      </c>
    </row>
    <row r="443" spans="1:7" x14ac:dyDescent="0.3">
      <c r="A443" s="10">
        <v>5442</v>
      </c>
      <c r="B443" s="11">
        <v>45119</v>
      </c>
      <c r="C443" s="5" t="s">
        <v>12</v>
      </c>
      <c r="D443" s="5" t="s">
        <v>23</v>
      </c>
      <c r="E443" s="5" t="s">
        <v>19</v>
      </c>
      <c r="F443" s="12">
        <v>354525.34</v>
      </c>
      <c r="G443" s="13">
        <v>329997.90999999997</v>
      </c>
    </row>
    <row r="444" spans="1:7" x14ac:dyDescent="0.3">
      <c r="A444" s="10">
        <v>5443</v>
      </c>
      <c r="B444" s="11">
        <v>45454</v>
      </c>
      <c r="C444" s="5" t="s">
        <v>12</v>
      </c>
      <c r="D444" s="5" t="s">
        <v>18</v>
      </c>
      <c r="E444" s="5" t="s">
        <v>21</v>
      </c>
      <c r="F444" s="12">
        <v>311574.11</v>
      </c>
      <c r="G444" s="13">
        <v>353323.04</v>
      </c>
    </row>
    <row r="445" spans="1:7" x14ac:dyDescent="0.3">
      <c r="A445" s="10">
        <v>5444</v>
      </c>
      <c r="B445" s="11">
        <v>45362</v>
      </c>
      <c r="C445" s="5" t="s">
        <v>7</v>
      </c>
      <c r="D445" s="5" t="s">
        <v>26</v>
      </c>
      <c r="E445" s="5" t="s">
        <v>19</v>
      </c>
      <c r="F445" s="12">
        <v>23647.1</v>
      </c>
      <c r="G445" s="13">
        <v>21587.15</v>
      </c>
    </row>
    <row r="446" spans="1:7" x14ac:dyDescent="0.3">
      <c r="A446" s="10">
        <v>5445</v>
      </c>
      <c r="B446" s="11">
        <v>45522</v>
      </c>
      <c r="C446" s="5" t="s">
        <v>7</v>
      </c>
      <c r="D446" s="5" t="s">
        <v>8</v>
      </c>
      <c r="E446" s="5" t="s">
        <v>15</v>
      </c>
      <c r="F446" s="12">
        <v>11166.46</v>
      </c>
      <c r="G446" s="13">
        <v>10969.09</v>
      </c>
    </row>
    <row r="447" spans="1:7" x14ac:dyDescent="0.3">
      <c r="A447" s="10">
        <v>5446</v>
      </c>
      <c r="B447" s="11">
        <v>45191</v>
      </c>
      <c r="C447" s="5" t="s">
        <v>7</v>
      </c>
      <c r="D447" s="5" t="s">
        <v>16</v>
      </c>
      <c r="E447" s="5" t="s">
        <v>27</v>
      </c>
      <c r="F447" s="12">
        <v>85253.82</v>
      </c>
      <c r="G447" s="13">
        <v>87009.52</v>
      </c>
    </row>
    <row r="448" spans="1:7" x14ac:dyDescent="0.3">
      <c r="A448" s="10">
        <v>5447</v>
      </c>
      <c r="B448" s="11">
        <v>45521</v>
      </c>
      <c r="C448" s="5" t="s">
        <v>7</v>
      </c>
      <c r="D448" s="5" t="s">
        <v>30</v>
      </c>
      <c r="E448" s="5" t="s">
        <v>11</v>
      </c>
      <c r="F448" s="12">
        <v>41639.54</v>
      </c>
      <c r="G448" s="13">
        <v>51904.85</v>
      </c>
    </row>
    <row r="449" spans="1:7" x14ac:dyDescent="0.3">
      <c r="A449" s="10">
        <v>5448</v>
      </c>
      <c r="B449" s="11">
        <v>44939</v>
      </c>
      <c r="C449" s="5" t="s">
        <v>7</v>
      </c>
      <c r="D449" s="5" t="s">
        <v>28</v>
      </c>
      <c r="E449" s="5" t="s">
        <v>21</v>
      </c>
      <c r="F449" s="12">
        <v>231811.36</v>
      </c>
      <c r="G449" s="13">
        <v>256959.48</v>
      </c>
    </row>
    <row r="450" spans="1:7" x14ac:dyDescent="0.3">
      <c r="A450" s="10">
        <v>5449</v>
      </c>
      <c r="B450" s="11">
        <v>45619</v>
      </c>
      <c r="C450" s="5" t="s">
        <v>7</v>
      </c>
      <c r="D450" s="5" t="s">
        <v>22</v>
      </c>
      <c r="E450" s="5" t="s">
        <v>15</v>
      </c>
      <c r="F450" s="12">
        <v>129267.64</v>
      </c>
      <c r="G450" s="13">
        <v>157924.04</v>
      </c>
    </row>
    <row r="451" spans="1:7" x14ac:dyDescent="0.3">
      <c r="A451" s="10">
        <v>5450</v>
      </c>
      <c r="B451" s="11">
        <v>45136</v>
      </c>
      <c r="C451" s="5" t="s">
        <v>7</v>
      </c>
      <c r="D451" s="5" t="s">
        <v>10</v>
      </c>
      <c r="E451" s="5" t="s">
        <v>19</v>
      </c>
      <c r="F451" s="12">
        <v>215158.2</v>
      </c>
      <c r="G451" s="13">
        <v>252116.9</v>
      </c>
    </row>
    <row r="452" spans="1:7" x14ac:dyDescent="0.3">
      <c r="A452" s="10">
        <v>5451</v>
      </c>
      <c r="B452" s="11">
        <v>45274</v>
      </c>
      <c r="C452" s="5" t="s">
        <v>12</v>
      </c>
      <c r="D452" s="5" t="s">
        <v>18</v>
      </c>
      <c r="E452" s="5" t="s">
        <v>19</v>
      </c>
      <c r="F452" s="12">
        <v>67940.41</v>
      </c>
      <c r="G452" s="13">
        <v>78649.48</v>
      </c>
    </row>
    <row r="453" spans="1:7" x14ac:dyDescent="0.3">
      <c r="A453" s="10">
        <v>5452</v>
      </c>
      <c r="B453" s="11">
        <v>45582</v>
      </c>
      <c r="C453" s="5" t="s">
        <v>7</v>
      </c>
      <c r="D453" s="5" t="s">
        <v>30</v>
      </c>
      <c r="E453" s="5" t="s">
        <v>14</v>
      </c>
      <c r="F453" s="12">
        <v>115658.37</v>
      </c>
      <c r="G453" s="13">
        <v>118082.11</v>
      </c>
    </row>
    <row r="454" spans="1:7" x14ac:dyDescent="0.3">
      <c r="A454" s="10">
        <v>5453</v>
      </c>
      <c r="B454" s="11">
        <v>45097</v>
      </c>
      <c r="C454" s="5" t="s">
        <v>12</v>
      </c>
      <c r="D454" s="5" t="s">
        <v>18</v>
      </c>
      <c r="E454" s="5" t="s">
        <v>27</v>
      </c>
      <c r="F454" s="12">
        <v>424639.67</v>
      </c>
      <c r="G454" s="13">
        <v>477211</v>
      </c>
    </row>
    <row r="455" spans="1:7" x14ac:dyDescent="0.3">
      <c r="A455" s="10">
        <v>5454</v>
      </c>
      <c r="B455" s="11">
        <v>44945</v>
      </c>
      <c r="C455" s="5" t="s">
        <v>7</v>
      </c>
      <c r="D455" s="5" t="s">
        <v>29</v>
      </c>
      <c r="E455" s="5" t="s">
        <v>15</v>
      </c>
      <c r="F455" s="12">
        <v>12299.25</v>
      </c>
      <c r="G455" s="13">
        <v>15254.15</v>
      </c>
    </row>
    <row r="456" spans="1:7" x14ac:dyDescent="0.3">
      <c r="A456" s="10">
        <v>5455</v>
      </c>
      <c r="B456" s="11">
        <v>45113</v>
      </c>
      <c r="C456" s="5" t="s">
        <v>12</v>
      </c>
      <c r="D456" s="5" t="s">
        <v>25</v>
      </c>
      <c r="E456" s="5" t="s">
        <v>14</v>
      </c>
      <c r="F456" s="12">
        <v>229529.9</v>
      </c>
      <c r="G456" s="13">
        <v>213151.77</v>
      </c>
    </row>
    <row r="457" spans="1:7" x14ac:dyDescent="0.3">
      <c r="A457" s="10">
        <v>5456</v>
      </c>
      <c r="B457" s="11">
        <v>45059</v>
      </c>
      <c r="C457" s="5" t="s">
        <v>7</v>
      </c>
      <c r="D457" s="5" t="s">
        <v>16</v>
      </c>
      <c r="E457" s="5" t="s">
        <v>9</v>
      </c>
      <c r="F457" s="12">
        <v>47347.63</v>
      </c>
      <c r="G457" s="13">
        <v>45778.36</v>
      </c>
    </row>
    <row r="458" spans="1:7" x14ac:dyDescent="0.3">
      <c r="A458" s="10">
        <v>5457</v>
      </c>
      <c r="B458" s="11">
        <v>45649</v>
      </c>
      <c r="C458" s="5" t="s">
        <v>12</v>
      </c>
      <c r="D458" s="5" t="s">
        <v>25</v>
      </c>
      <c r="E458" s="5" t="s">
        <v>27</v>
      </c>
      <c r="F458" s="12">
        <v>158831.32</v>
      </c>
      <c r="G458" s="13">
        <v>167054.60999999999</v>
      </c>
    </row>
    <row r="459" spans="1:7" x14ac:dyDescent="0.3">
      <c r="A459" s="10">
        <v>5458</v>
      </c>
      <c r="B459" s="11">
        <v>45105</v>
      </c>
      <c r="C459" s="5" t="s">
        <v>7</v>
      </c>
      <c r="D459" s="5" t="s">
        <v>24</v>
      </c>
      <c r="E459" s="5" t="s">
        <v>9</v>
      </c>
      <c r="F459" s="12">
        <v>53822.48</v>
      </c>
      <c r="G459" s="13">
        <v>57172.38</v>
      </c>
    </row>
    <row r="460" spans="1:7" x14ac:dyDescent="0.3">
      <c r="A460" s="10">
        <v>5459</v>
      </c>
      <c r="B460" s="11">
        <v>45575</v>
      </c>
      <c r="C460" s="5" t="s">
        <v>7</v>
      </c>
      <c r="D460" s="5" t="s">
        <v>29</v>
      </c>
      <c r="E460" s="5" t="s">
        <v>15</v>
      </c>
      <c r="F460" s="12">
        <v>4694.8</v>
      </c>
      <c r="G460" s="13">
        <v>5238.76</v>
      </c>
    </row>
    <row r="461" spans="1:7" x14ac:dyDescent="0.3">
      <c r="A461" s="10">
        <v>5460</v>
      </c>
      <c r="B461" s="11">
        <v>45382</v>
      </c>
      <c r="C461" s="5" t="s">
        <v>7</v>
      </c>
      <c r="D461" s="5" t="s">
        <v>20</v>
      </c>
      <c r="E461" s="5" t="s">
        <v>11</v>
      </c>
      <c r="F461" s="12">
        <v>29974.57</v>
      </c>
      <c r="G461" s="13">
        <v>37375.68</v>
      </c>
    </row>
    <row r="462" spans="1:7" x14ac:dyDescent="0.3">
      <c r="A462" s="10">
        <v>5461</v>
      </c>
      <c r="B462" s="11">
        <v>45176</v>
      </c>
      <c r="C462" s="5" t="s">
        <v>7</v>
      </c>
      <c r="D462" s="5" t="s">
        <v>22</v>
      </c>
      <c r="E462" s="5" t="s">
        <v>27</v>
      </c>
      <c r="F462" s="12">
        <v>54357.35</v>
      </c>
      <c r="G462" s="13">
        <v>60962</v>
      </c>
    </row>
    <row r="463" spans="1:7" x14ac:dyDescent="0.3">
      <c r="A463" s="10">
        <v>5462</v>
      </c>
      <c r="B463" s="11">
        <v>45257</v>
      </c>
      <c r="C463" s="5" t="s">
        <v>7</v>
      </c>
      <c r="D463" s="5" t="s">
        <v>30</v>
      </c>
      <c r="E463" s="5" t="s">
        <v>27</v>
      </c>
      <c r="F463" s="12">
        <v>8860.64</v>
      </c>
      <c r="G463" s="13">
        <v>9249.35</v>
      </c>
    </row>
    <row r="464" spans="1:7" x14ac:dyDescent="0.3">
      <c r="A464" s="10">
        <v>5463</v>
      </c>
      <c r="B464" s="11">
        <v>45386</v>
      </c>
      <c r="C464" s="5" t="s">
        <v>7</v>
      </c>
      <c r="D464" s="5" t="s">
        <v>10</v>
      </c>
      <c r="E464" s="5" t="s">
        <v>27</v>
      </c>
      <c r="F464" s="12">
        <v>139708.10999999999</v>
      </c>
      <c r="G464" s="13">
        <v>123746.07</v>
      </c>
    </row>
    <row r="465" spans="1:7" x14ac:dyDescent="0.3">
      <c r="A465" s="10">
        <v>5464</v>
      </c>
      <c r="B465" s="11">
        <v>45435</v>
      </c>
      <c r="C465" s="5" t="s">
        <v>12</v>
      </c>
      <c r="D465" s="5" t="s">
        <v>13</v>
      </c>
      <c r="E465" s="5" t="s">
        <v>17</v>
      </c>
      <c r="F465" s="12">
        <v>383786.93</v>
      </c>
      <c r="G465" s="13">
        <v>389395.68</v>
      </c>
    </row>
    <row r="466" spans="1:7" x14ac:dyDescent="0.3">
      <c r="A466" s="10">
        <v>5465</v>
      </c>
      <c r="B466" s="11">
        <v>45088</v>
      </c>
      <c r="C466" s="5" t="s">
        <v>7</v>
      </c>
      <c r="D466" s="5" t="s">
        <v>22</v>
      </c>
      <c r="E466" s="5" t="s">
        <v>19</v>
      </c>
      <c r="F466" s="12">
        <v>238898.3</v>
      </c>
      <c r="G466" s="13">
        <v>288399.93</v>
      </c>
    </row>
    <row r="467" spans="1:7" x14ac:dyDescent="0.3">
      <c r="A467" s="10">
        <v>5466</v>
      </c>
      <c r="B467" s="11">
        <v>44982</v>
      </c>
      <c r="C467" s="5" t="s">
        <v>7</v>
      </c>
      <c r="D467" s="5" t="s">
        <v>28</v>
      </c>
      <c r="E467" s="5" t="s">
        <v>9</v>
      </c>
      <c r="F467" s="12">
        <v>194741.76000000001</v>
      </c>
      <c r="G467" s="13">
        <v>201264.37</v>
      </c>
    </row>
    <row r="468" spans="1:7" x14ac:dyDescent="0.3">
      <c r="A468" s="10">
        <v>5467</v>
      </c>
      <c r="B468" s="11">
        <v>45319</v>
      </c>
      <c r="C468" s="5" t="s">
        <v>7</v>
      </c>
      <c r="D468" s="5" t="s">
        <v>24</v>
      </c>
      <c r="E468" s="5" t="s">
        <v>9</v>
      </c>
      <c r="F468" s="12">
        <v>130249.98</v>
      </c>
      <c r="G468" s="13">
        <v>157974.46</v>
      </c>
    </row>
    <row r="469" spans="1:7" x14ac:dyDescent="0.3">
      <c r="A469" s="10">
        <v>5468</v>
      </c>
      <c r="B469" s="11">
        <v>44945</v>
      </c>
      <c r="C469" s="5" t="s">
        <v>7</v>
      </c>
      <c r="D469" s="5" t="s">
        <v>28</v>
      </c>
      <c r="E469" s="5" t="s">
        <v>17</v>
      </c>
      <c r="F469" s="12">
        <v>557272.78</v>
      </c>
      <c r="G469" s="13">
        <v>676313.48</v>
      </c>
    </row>
    <row r="470" spans="1:7" x14ac:dyDescent="0.3">
      <c r="A470" s="10">
        <v>5469</v>
      </c>
      <c r="B470" s="11">
        <v>45016</v>
      </c>
      <c r="C470" s="5" t="s">
        <v>12</v>
      </c>
      <c r="D470" s="5" t="s">
        <v>18</v>
      </c>
      <c r="E470" s="5" t="s">
        <v>9</v>
      </c>
      <c r="F470" s="12">
        <v>270335.95</v>
      </c>
      <c r="G470" s="13">
        <v>265623.59999999998</v>
      </c>
    </row>
    <row r="471" spans="1:7" x14ac:dyDescent="0.3">
      <c r="A471" s="10">
        <v>5470</v>
      </c>
      <c r="B471" s="11">
        <v>45354</v>
      </c>
      <c r="C471" s="5" t="s">
        <v>12</v>
      </c>
      <c r="D471" s="5" t="s">
        <v>18</v>
      </c>
      <c r="E471" s="5" t="s">
        <v>11</v>
      </c>
      <c r="F471" s="12">
        <v>369024.03</v>
      </c>
      <c r="G471" s="13">
        <v>369388.79999999999</v>
      </c>
    </row>
    <row r="472" spans="1:7" x14ac:dyDescent="0.3">
      <c r="A472" s="10">
        <v>5471</v>
      </c>
      <c r="B472" s="11">
        <v>45579</v>
      </c>
      <c r="C472" s="5" t="s">
        <v>12</v>
      </c>
      <c r="D472" s="5" t="s">
        <v>23</v>
      </c>
      <c r="E472" s="5" t="s">
        <v>19</v>
      </c>
      <c r="F472" s="12">
        <v>447778.95</v>
      </c>
      <c r="G472" s="13">
        <v>472431.69</v>
      </c>
    </row>
    <row r="473" spans="1:7" x14ac:dyDescent="0.3">
      <c r="A473" s="10">
        <v>5472</v>
      </c>
      <c r="B473" s="11">
        <v>45230</v>
      </c>
      <c r="C473" s="5" t="s">
        <v>7</v>
      </c>
      <c r="D473" s="5" t="s">
        <v>22</v>
      </c>
      <c r="E473" s="5" t="s">
        <v>9</v>
      </c>
      <c r="F473" s="12">
        <v>100932.21</v>
      </c>
      <c r="G473" s="13">
        <v>91344.14</v>
      </c>
    </row>
    <row r="474" spans="1:7" x14ac:dyDescent="0.3">
      <c r="A474" s="10">
        <v>5473</v>
      </c>
      <c r="B474" s="11">
        <v>45141</v>
      </c>
      <c r="C474" s="5" t="s">
        <v>12</v>
      </c>
      <c r="D474" s="5" t="s">
        <v>23</v>
      </c>
      <c r="E474" s="5" t="s">
        <v>21</v>
      </c>
      <c r="F474" s="12">
        <v>96336.52</v>
      </c>
      <c r="G474" s="13">
        <v>104308.64</v>
      </c>
    </row>
    <row r="475" spans="1:7" x14ac:dyDescent="0.3">
      <c r="A475" s="10">
        <v>5474</v>
      </c>
      <c r="B475" s="11">
        <v>44941</v>
      </c>
      <c r="C475" s="5" t="s">
        <v>7</v>
      </c>
      <c r="D475" s="5" t="s">
        <v>16</v>
      </c>
      <c r="E475" s="5" t="s">
        <v>17</v>
      </c>
      <c r="F475" s="12">
        <v>64486.32</v>
      </c>
      <c r="G475" s="13">
        <v>59951.88</v>
      </c>
    </row>
    <row r="476" spans="1:7" x14ac:dyDescent="0.3">
      <c r="A476" s="10">
        <v>5475</v>
      </c>
      <c r="B476" s="11">
        <v>45197</v>
      </c>
      <c r="C476" s="5" t="s">
        <v>12</v>
      </c>
      <c r="D476" s="5" t="s">
        <v>18</v>
      </c>
      <c r="E476" s="5" t="s">
        <v>21</v>
      </c>
      <c r="F476" s="12">
        <v>70390.67</v>
      </c>
      <c r="G476" s="13">
        <v>84100.479999999996</v>
      </c>
    </row>
    <row r="477" spans="1:7" x14ac:dyDescent="0.3">
      <c r="A477" s="10">
        <v>5476</v>
      </c>
      <c r="B477" s="11">
        <v>45614</v>
      </c>
      <c r="C477" s="5" t="s">
        <v>7</v>
      </c>
      <c r="D477" s="5" t="s">
        <v>24</v>
      </c>
      <c r="E477" s="5" t="s">
        <v>17</v>
      </c>
      <c r="F477" s="12">
        <v>125915.57</v>
      </c>
      <c r="G477" s="13">
        <v>129927.66</v>
      </c>
    </row>
    <row r="478" spans="1:7" x14ac:dyDescent="0.3">
      <c r="A478" s="10">
        <v>5477</v>
      </c>
      <c r="B478" s="11">
        <v>45294</v>
      </c>
      <c r="C478" s="5" t="s">
        <v>7</v>
      </c>
      <c r="D478" s="5" t="s">
        <v>20</v>
      </c>
      <c r="E478" s="5" t="s">
        <v>9</v>
      </c>
      <c r="F478" s="12">
        <v>30477.3</v>
      </c>
      <c r="G478" s="13">
        <v>31266.03</v>
      </c>
    </row>
    <row r="479" spans="1:7" x14ac:dyDescent="0.3">
      <c r="A479" s="10">
        <v>5478</v>
      </c>
      <c r="B479" s="11">
        <v>45436</v>
      </c>
      <c r="C479" s="5" t="s">
        <v>12</v>
      </c>
      <c r="D479" s="5" t="s">
        <v>23</v>
      </c>
      <c r="E479" s="5" t="s">
        <v>19</v>
      </c>
      <c r="F479" s="12">
        <v>338337.44</v>
      </c>
      <c r="G479" s="13">
        <v>315413.52</v>
      </c>
    </row>
    <row r="480" spans="1:7" x14ac:dyDescent="0.3">
      <c r="A480" s="10">
        <v>5479</v>
      </c>
      <c r="B480" s="11">
        <v>45234</v>
      </c>
      <c r="C480" s="5" t="s">
        <v>7</v>
      </c>
      <c r="D480" s="5" t="s">
        <v>28</v>
      </c>
      <c r="E480" s="5" t="s">
        <v>11</v>
      </c>
      <c r="F480" s="12">
        <v>194991.56</v>
      </c>
      <c r="G480" s="13">
        <v>216041.18</v>
      </c>
    </row>
    <row r="481" spans="1:7" x14ac:dyDescent="0.3">
      <c r="A481" s="10">
        <v>5480</v>
      </c>
      <c r="B481" s="11">
        <v>44964</v>
      </c>
      <c r="C481" s="5" t="s">
        <v>12</v>
      </c>
      <c r="D481" s="5" t="s">
        <v>13</v>
      </c>
      <c r="E481" s="5" t="s">
        <v>9</v>
      </c>
      <c r="F481" s="12">
        <v>446124.17</v>
      </c>
      <c r="G481" s="13">
        <v>515138.59</v>
      </c>
    </row>
    <row r="482" spans="1:7" x14ac:dyDescent="0.3">
      <c r="A482" s="10">
        <v>5481</v>
      </c>
      <c r="B482" s="11">
        <v>45526</v>
      </c>
      <c r="C482" s="5" t="s">
        <v>7</v>
      </c>
      <c r="D482" s="5" t="s">
        <v>26</v>
      </c>
      <c r="E482" s="5" t="s">
        <v>17</v>
      </c>
      <c r="F482" s="12">
        <v>15451.05</v>
      </c>
      <c r="G482" s="13">
        <v>18743.48</v>
      </c>
    </row>
    <row r="483" spans="1:7" x14ac:dyDescent="0.3">
      <c r="A483" s="10">
        <v>5482</v>
      </c>
      <c r="B483" s="11">
        <v>45373</v>
      </c>
      <c r="C483" s="5" t="s">
        <v>7</v>
      </c>
      <c r="D483" s="5" t="s">
        <v>8</v>
      </c>
      <c r="E483" s="5" t="s">
        <v>27</v>
      </c>
      <c r="F483" s="12">
        <v>13980.18</v>
      </c>
      <c r="G483" s="13">
        <v>15852.14</v>
      </c>
    </row>
    <row r="484" spans="1:7" x14ac:dyDescent="0.3">
      <c r="A484" s="10">
        <v>5483</v>
      </c>
      <c r="B484" s="11">
        <v>45652</v>
      </c>
      <c r="C484" s="5" t="s">
        <v>12</v>
      </c>
      <c r="D484" s="5" t="s">
        <v>25</v>
      </c>
      <c r="E484" s="5" t="s">
        <v>11</v>
      </c>
      <c r="F484" s="12">
        <v>402986</v>
      </c>
      <c r="G484" s="13">
        <v>377297.42</v>
      </c>
    </row>
    <row r="485" spans="1:7" x14ac:dyDescent="0.3">
      <c r="A485" s="10">
        <v>5484</v>
      </c>
      <c r="B485" s="11">
        <v>44939</v>
      </c>
      <c r="C485" s="5" t="s">
        <v>12</v>
      </c>
      <c r="D485" s="5" t="s">
        <v>13</v>
      </c>
      <c r="E485" s="5" t="s">
        <v>21</v>
      </c>
      <c r="F485" s="12">
        <v>155058.54999999999</v>
      </c>
      <c r="G485" s="13">
        <v>164265.31</v>
      </c>
    </row>
    <row r="486" spans="1:7" x14ac:dyDescent="0.3">
      <c r="A486" s="10">
        <v>5485</v>
      </c>
      <c r="B486" s="11">
        <v>45203</v>
      </c>
      <c r="C486" s="5" t="s">
        <v>7</v>
      </c>
      <c r="D486" s="5" t="s">
        <v>8</v>
      </c>
      <c r="E486" s="5" t="s">
        <v>9</v>
      </c>
      <c r="F486" s="12">
        <v>11577.13</v>
      </c>
      <c r="G486" s="13">
        <v>12403.64</v>
      </c>
    </row>
    <row r="487" spans="1:7" x14ac:dyDescent="0.3">
      <c r="A487" s="10">
        <v>5486</v>
      </c>
      <c r="B487" s="11">
        <v>45301</v>
      </c>
      <c r="C487" s="5" t="s">
        <v>12</v>
      </c>
      <c r="D487" s="5" t="s">
        <v>25</v>
      </c>
      <c r="E487" s="5" t="s">
        <v>11</v>
      </c>
      <c r="F487" s="12">
        <v>74621.509999999995</v>
      </c>
      <c r="G487" s="13">
        <v>72954.81</v>
      </c>
    </row>
    <row r="488" spans="1:7" x14ac:dyDescent="0.3">
      <c r="A488" s="10">
        <v>5487</v>
      </c>
      <c r="B488" s="11">
        <v>45170</v>
      </c>
      <c r="C488" s="5" t="s">
        <v>7</v>
      </c>
      <c r="D488" s="5" t="s">
        <v>26</v>
      </c>
      <c r="E488" s="5" t="s">
        <v>15</v>
      </c>
      <c r="F488" s="12">
        <v>35505.370000000003</v>
      </c>
      <c r="G488" s="13">
        <v>36125.56</v>
      </c>
    </row>
    <row r="489" spans="1:7" x14ac:dyDescent="0.3">
      <c r="A489" s="10">
        <v>5488</v>
      </c>
      <c r="B489" s="11">
        <v>45055</v>
      </c>
      <c r="C489" s="5" t="s">
        <v>12</v>
      </c>
      <c r="D489" s="5" t="s">
        <v>23</v>
      </c>
      <c r="E489" s="5" t="s">
        <v>17</v>
      </c>
      <c r="F489" s="12">
        <v>34333.599999999999</v>
      </c>
      <c r="G489" s="13">
        <v>35166.74</v>
      </c>
    </row>
    <row r="490" spans="1:7" x14ac:dyDescent="0.3">
      <c r="A490" s="10">
        <v>5489</v>
      </c>
      <c r="B490" s="11">
        <v>45354</v>
      </c>
      <c r="C490" s="5" t="s">
        <v>7</v>
      </c>
      <c r="D490" s="5" t="s">
        <v>29</v>
      </c>
      <c r="E490" s="5" t="s">
        <v>15</v>
      </c>
      <c r="F490" s="12">
        <v>48459.99</v>
      </c>
      <c r="G490" s="13">
        <v>42427.45</v>
      </c>
    </row>
    <row r="491" spans="1:7" x14ac:dyDescent="0.3">
      <c r="A491" s="10">
        <v>5490</v>
      </c>
      <c r="B491" s="11">
        <v>45442</v>
      </c>
      <c r="C491" s="5" t="s">
        <v>7</v>
      </c>
      <c r="D491" s="5" t="s">
        <v>30</v>
      </c>
      <c r="E491" s="5" t="s">
        <v>27</v>
      </c>
      <c r="F491" s="12">
        <v>98524.68</v>
      </c>
      <c r="G491" s="13">
        <v>117026.8</v>
      </c>
    </row>
    <row r="492" spans="1:7" x14ac:dyDescent="0.3">
      <c r="A492" s="10">
        <v>5491</v>
      </c>
      <c r="B492" s="11">
        <v>45190</v>
      </c>
      <c r="C492" s="5" t="s">
        <v>7</v>
      </c>
      <c r="D492" s="5" t="s">
        <v>20</v>
      </c>
      <c r="E492" s="5" t="s">
        <v>27</v>
      </c>
      <c r="F492" s="12">
        <v>23593.35</v>
      </c>
      <c r="G492" s="13">
        <v>28235.9</v>
      </c>
    </row>
    <row r="493" spans="1:7" x14ac:dyDescent="0.3">
      <c r="A493" s="10">
        <v>5492</v>
      </c>
      <c r="B493" s="11">
        <v>45404</v>
      </c>
      <c r="C493" s="5" t="s">
        <v>7</v>
      </c>
      <c r="D493" s="5" t="s">
        <v>30</v>
      </c>
      <c r="E493" s="5" t="s">
        <v>9</v>
      </c>
      <c r="F493" s="12">
        <v>95815.81</v>
      </c>
      <c r="G493" s="13">
        <v>116904.42</v>
      </c>
    </row>
    <row r="494" spans="1:7" x14ac:dyDescent="0.3">
      <c r="A494" s="10">
        <v>5493</v>
      </c>
      <c r="B494" s="11">
        <v>45495</v>
      </c>
      <c r="C494" s="5" t="s">
        <v>7</v>
      </c>
      <c r="D494" s="5" t="s">
        <v>10</v>
      </c>
      <c r="E494" s="5" t="s">
        <v>21</v>
      </c>
      <c r="F494" s="12">
        <v>127590.92</v>
      </c>
      <c r="G494" s="13">
        <v>119198.94</v>
      </c>
    </row>
    <row r="495" spans="1:7" x14ac:dyDescent="0.3">
      <c r="A495" s="10">
        <v>5494</v>
      </c>
      <c r="B495" s="11">
        <v>45029</v>
      </c>
      <c r="C495" s="5" t="s">
        <v>7</v>
      </c>
      <c r="D495" s="5" t="s">
        <v>30</v>
      </c>
      <c r="E495" s="5" t="s">
        <v>21</v>
      </c>
      <c r="F495" s="12">
        <v>86057</v>
      </c>
      <c r="G495" s="13">
        <v>92186.13</v>
      </c>
    </row>
    <row r="496" spans="1:7" x14ac:dyDescent="0.3">
      <c r="A496" s="10">
        <v>5495</v>
      </c>
      <c r="B496" s="11">
        <v>45158</v>
      </c>
      <c r="C496" s="5" t="s">
        <v>12</v>
      </c>
      <c r="D496" s="5" t="s">
        <v>18</v>
      </c>
      <c r="E496" s="5" t="s">
        <v>21</v>
      </c>
      <c r="F496" s="12">
        <v>449187.19</v>
      </c>
      <c r="G496" s="13">
        <v>407106.74</v>
      </c>
    </row>
    <row r="497" spans="1:7" x14ac:dyDescent="0.3">
      <c r="A497" s="10">
        <v>5496</v>
      </c>
      <c r="B497" s="11">
        <v>45558</v>
      </c>
      <c r="C497" s="5" t="s">
        <v>7</v>
      </c>
      <c r="D497" s="5" t="s">
        <v>24</v>
      </c>
      <c r="E497" s="5" t="s">
        <v>11</v>
      </c>
      <c r="F497" s="12">
        <v>170958.21</v>
      </c>
      <c r="G497" s="13">
        <v>183325.79</v>
      </c>
    </row>
    <row r="498" spans="1:7" x14ac:dyDescent="0.3">
      <c r="A498" s="10">
        <v>5497</v>
      </c>
      <c r="B498" s="11">
        <v>45040</v>
      </c>
      <c r="C498" s="5" t="s">
        <v>12</v>
      </c>
      <c r="D498" s="5" t="s">
        <v>23</v>
      </c>
      <c r="E498" s="5" t="s">
        <v>27</v>
      </c>
      <c r="F498" s="12">
        <v>76909.11</v>
      </c>
      <c r="G498" s="13">
        <v>77170.649999999994</v>
      </c>
    </row>
    <row r="499" spans="1:7" x14ac:dyDescent="0.3">
      <c r="A499" s="10">
        <v>5498</v>
      </c>
      <c r="B499" s="11">
        <v>45053</v>
      </c>
      <c r="C499" s="5" t="s">
        <v>12</v>
      </c>
      <c r="D499" s="5" t="s">
        <v>23</v>
      </c>
      <c r="E499" s="5" t="s">
        <v>9</v>
      </c>
      <c r="F499" s="12">
        <v>40785.43</v>
      </c>
      <c r="G499" s="13">
        <v>42458.92</v>
      </c>
    </row>
    <row r="500" spans="1:7" x14ac:dyDescent="0.3">
      <c r="A500" s="10">
        <v>5499</v>
      </c>
      <c r="B500" s="11">
        <v>45036</v>
      </c>
      <c r="C500" s="5" t="s">
        <v>12</v>
      </c>
      <c r="D500" s="5" t="s">
        <v>18</v>
      </c>
      <c r="E500" s="5" t="s">
        <v>11</v>
      </c>
      <c r="F500" s="12">
        <v>278778.39</v>
      </c>
      <c r="G500" s="13">
        <v>343204.1</v>
      </c>
    </row>
    <row r="501" spans="1:7" x14ac:dyDescent="0.3">
      <c r="A501" s="10">
        <v>5500</v>
      </c>
      <c r="B501" s="11">
        <v>45270</v>
      </c>
      <c r="C501" s="5" t="s">
        <v>7</v>
      </c>
      <c r="D501" s="5" t="s">
        <v>28</v>
      </c>
      <c r="E501" s="5" t="s">
        <v>15</v>
      </c>
      <c r="F501" s="12">
        <v>160616.20000000001</v>
      </c>
      <c r="G501" s="13">
        <v>139805.41</v>
      </c>
    </row>
    <row r="502" spans="1:7" x14ac:dyDescent="0.3">
      <c r="A502" s="10">
        <v>5501</v>
      </c>
      <c r="B502" s="11">
        <v>45473</v>
      </c>
      <c r="C502" s="5" t="s">
        <v>7</v>
      </c>
      <c r="D502" s="5" t="s">
        <v>16</v>
      </c>
      <c r="E502" s="5" t="s">
        <v>17</v>
      </c>
      <c r="F502" s="12">
        <v>64315.24</v>
      </c>
      <c r="G502" s="13">
        <v>64932.7</v>
      </c>
    </row>
    <row r="503" spans="1:7" x14ac:dyDescent="0.3">
      <c r="A503" s="10">
        <v>5502</v>
      </c>
      <c r="B503" s="11">
        <v>45274</v>
      </c>
      <c r="C503" s="5" t="s">
        <v>7</v>
      </c>
      <c r="D503" s="5" t="s">
        <v>30</v>
      </c>
      <c r="E503" s="5" t="s">
        <v>19</v>
      </c>
      <c r="F503" s="12">
        <v>43064.97</v>
      </c>
      <c r="G503" s="13">
        <v>47645.83</v>
      </c>
    </row>
    <row r="504" spans="1:7" x14ac:dyDescent="0.3">
      <c r="A504" s="10">
        <v>5503</v>
      </c>
      <c r="B504" s="11">
        <v>45323</v>
      </c>
      <c r="C504" s="5" t="s">
        <v>12</v>
      </c>
      <c r="D504" s="5" t="s">
        <v>25</v>
      </c>
      <c r="E504" s="5" t="s">
        <v>21</v>
      </c>
      <c r="F504" s="12">
        <v>482195.76</v>
      </c>
      <c r="G504" s="13">
        <v>503813.54</v>
      </c>
    </row>
    <row r="505" spans="1:7" x14ac:dyDescent="0.3">
      <c r="A505" s="10">
        <v>5504</v>
      </c>
      <c r="B505" s="11">
        <v>45180</v>
      </c>
      <c r="C505" s="5" t="s">
        <v>7</v>
      </c>
      <c r="D505" s="5" t="s">
        <v>30</v>
      </c>
      <c r="E505" s="5" t="s">
        <v>19</v>
      </c>
      <c r="F505" s="12">
        <v>111749.15</v>
      </c>
      <c r="G505" s="13">
        <v>112988.67</v>
      </c>
    </row>
    <row r="506" spans="1:7" x14ac:dyDescent="0.3">
      <c r="A506" s="10">
        <v>5505</v>
      </c>
      <c r="B506" s="11">
        <v>45070</v>
      </c>
      <c r="C506" s="5" t="s">
        <v>7</v>
      </c>
      <c r="D506" s="5" t="s">
        <v>30</v>
      </c>
      <c r="E506" s="5" t="s">
        <v>19</v>
      </c>
      <c r="F506" s="12">
        <v>17549.47</v>
      </c>
      <c r="G506" s="13">
        <v>16507.5</v>
      </c>
    </row>
    <row r="507" spans="1:7" x14ac:dyDescent="0.3">
      <c r="A507" s="10">
        <v>5506</v>
      </c>
      <c r="B507" s="11">
        <v>45275</v>
      </c>
      <c r="C507" s="5" t="s">
        <v>12</v>
      </c>
      <c r="D507" s="5" t="s">
        <v>13</v>
      </c>
      <c r="E507" s="5" t="s">
        <v>21</v>
      </c>
      <c r="F507" s="12">
        <v>282598.77</v>
      </c>
      <c r="G507" s="13">
        <v>340047.35999999999</v>
      </c>
    </row>
    <row r="508" spans="1:7" x14ac:dyDescent="0.3">
      <c r="A508" s="10">
        <v>5507</v>
      </c>
      <c r="B508" s="11">
        <v>44984</v>
      </c>
      <c r="C508" s="5" t="s">
        <v>7</v>
      </c>
      <c r="D508" s="5" t="s">
        <v>20</v>
      </c>
      <c r="E508" s="5" t="s">
        <v>14</v>
      </c>
      <c r="F508" s="12">
        <v>32311.65</v>
      </c>
      <c r="G508" s="13">
        <v>31835.59</v>
      </c>
    </row>
    <row r="509" spans="1:7" x14ac:dyDescent="0.3">
      <c r="A509" s="10">
        <v>5508</v>
      </c>
      <c r="B509" s="11">
        <v>45056</v>
      </c>
      <c r="C509" s="5" t="s">
        <v>7</v>
      </c>
      <c r="D509" s="5" t="s">
        <v>30</v>
      </c>
      <c r="E509" s="5" t="s">
        <v>14</v>
      </c>
      <c r="F509" s="12">
        <v>119249.85</v>
      </c>
      <c r="G509" s="13">
        <v>113587.31</v>
      </c>
    </row>
    <row r="510" spans="1:7" x14ac:dyDescent="0.3">
      <c r="A510" s="10">
        <v>5509</v>
      </c>
      <c r="B510" s="11">
        <v>45647</v>
      </c>
      <c r="C510" s="5" t="s">
        <v>7</v>
      </c>
      <c r="D510" s="5" t="s">
        <v>28</v>
      </c>
      <c r="E510" s="5" t="s">
        <v>14</v>
      </c>
      <c r="F510" s="12">
        <v>144175.51</v>
      </c>
      <c r="G510" s="13">
        <v>139301.5</v>
      </c>
    </row>
    <row r="511" spans="1:7" x14ac:dyDescent="0.3">
      <c r="A511" s="10">
        <v>5510</v>
      </c>
      <c r="B511" s="11">
        <v>45332</v>
      </c>
      <c r="C511" s="5" t="s">
        <v>7</v>
      </c>
      <c r="D511" s="5" t="s">
        <v>16</v>
      </c>
      <c r="E511" s="5" t="s">
        <v>17</v>
      </c>
      <c r="F511" s="12">
        <v>135136.64000000001</v>
      </c>
      <c r="G511" s="13">
        <v>128305.60000000001</v>
      </c>
    </row>
    <row r="512" spans="1:7" x14ac:dyDescent="0.3">
      <c r="A512" s="10">
        <v>5511</v>
      </c>
      <c r="B512" s="11">
        <v>45651</v>
      </c>
      <c r="C512" s="5" t="s">
        <v>7</v>
      </c>
      <c r="D512" s="5" t="s">
        <v>10</v>
      </c>
      <c r="E512" s="5" t="s">
        <v>17</v>
      </c>
      <c r="F512" s="12">
        <v>51093.39</v>
      </c>
      <c r="G512" s="13">
        <v>44711.91</v>
      </c>
    </row>
    <row r="513" spans="1:7" x14ac:dyDescent="0.3">
      <c r="A513" s="10">
        <v>5512</v>
      </c>
      <c r="B513" s="11">
        <v>45292</v>
      </c>
      <c r="C513" s="5" t="s">
        <v>12</v>
      </c>
      <c r="D513" s="5" t="s">
        <v>13</v>
      </c>
      <c r="E513" s="5" t="s">
        <v>14</v>
      </c>
      <c r="F513" s="12">
        <v>24927.99</v>
      </c>
      <c r="G513" s="13">
        <v>22437.7</v>
      </c>
    </row>
    <row r="514" spans="1:7" x14ac:dyDescent="0.3">
      <c r="A514" s="10">
        <v>5513</v>
      </c>
      <c r="B514" s="11">
        <v>45433</v>
      </c>
      <c r="C514" s="5" t="s">
        <v>12</v>
      </c>
      <c r="D514" s="5" t="s">
        <v>13</v>
      </c>
      <c r="E514" s="5" t="s">
        <v>9</v>
      </c>
      <c r="F514" s="12">
        <v>184757.11</v>
      </c>
      <c r="G514" s="13">
        <v>223273.21</v>
      </c>
    </row>
    <row r="515" spans="1:7" x14ac:dyDescent="0.3">
      <c r="A515" s="10">
        <v>5514</v>
      </c>
      <c r="B515" s="11">
        <v>45243</v>
      </c>
      <c r="C515" s="5" t="s">
        <v>7</v>
      </c>
      <c r="D515" s="5" t="s">
        <v>22</v>
      </c>
      <c r="E515" s="5" t="s">
        <v>17</v>
      </c>
      <c r="F515" s="12">
        <v>272820.06</v>
      </c>
      <c r="G515" s="13">
        <v>329203.83</v>
      </c>
    </row>
    <row r="516" spans="1:7" x14ac:dyDescent="0.3">
      <c r="A516" s="10">
        <v>5515</v>
      </c>
      <c r="B516" s="11">
        <v>45347</v>
      </c>
      <c r="C516" s="5" t="s">
        <v>7</v>
      </c>
      <c r="D516" s="5" t="s">
        <v>10</v>
      </c>
      <c r="E516" s="5" t="s">
        <v>9</v>
      </c>
      <c r="F516" s="12">
        <v>208623.07</v>
      </c>
      <c r="G516" s="13">
        <v>237668.26</v>
      </c>
    </row>
    <row r="517" spans="1:7" x14ac:dyDescent="0.3">
      <c r="A517" s="10">
        <v>5516</v>
      </c>
      <c r="B517" s="11">
        <v>45197</v>
      </c>
      <c r="C517" s="5" t="s">
        <v>7</v>
      </c>
      <c r="D517" s="5" t="s">
        <v>26</v>
      </c>
      <c r="E517" s="5" t="s">
        <v>19</v>
      </c>
      <c r="F517" s="12">
        <v>78649.429999999993</v>
      </c>
      <c r="G517" s="13">
        <v>80672.5</v>
      </c>
    </row>
    <row r="518" spans="1:7" x14ac:dyDescent="0.3">
      <c r="A518" s="10">
        <v>5517</v>
      </c>
      <c r="B518" s="11">
        <v>45373</v>
      </c>
      <c r="C518" s="5" t="s">
        <v>7</v>
      </c>
      <c r="D518" s="5" t="s">
        <v>28</v>
      </c>
      <c r="E518" s="5" t="s">
        <v>17</v>
      </c>
      <c r="F518" s="12">
        <v>390747.87</v>
      </c>
      <c r="G518" s="13">
        <v>374852.06</v>
      </c>
    </row>
    <row r="519" spans="1:7" x14ac:dyDescent="0.3">
      <c r="A519" s="10">
        <v>5518</v>
      </c>
      <c r="B519" s="11">
        <v>45518</v>
      </c>
      <c r="C519" s="5" t="s">
        <v>12</v>
      </c>
      <c r="D519" s="5" t="s">
        <v>23</v>
      </c>
      <c r="E519" s="5" t="s">
        <v>19</v>
      </c>
      <c r="F519" s="12">
        <v>445528.13</v>
      </c>
      <c r="G519" s="13">
        <v>478735.31</v>
      </c>
    </row>
    <row r="520" spans="1:7" x14ac:dyDescent="0.3">
      <c r="A520" s="10">
        <v>5519</v>
      </c>
      <c r="B520" s="11">
        <v>45383</v>
      </c>
      <c r="C520" s="5" t="s">
        <v>7</v>
      </c>
      <c r="D520" s="5" t="s">
        <v>10</v>
      </c>
      <c r="E520" s="5" t="s">
        <v>17</v>
      </c>
      <c r="F520" s="12">
        <v>25131.37</v>
      </c>
      <c r="G520" s="13">
        <v>25722.46</v>
      </c>
    </row>
    <row r="521" spans="1:7" x14ac:dyDescent="0.3">
      <c r="A521" s="10">
        <v>5520</v>
      </c>
      <c r="B521" s="11">
        <v>45631</v>
      </c>
      <c r="C521" s="5" t="s">
        <v>7</v>
      </c>
      <c r="D521" s="5" t="s">
        <v>16</v>
      </c>
      <c r="E521" s="5" t="s">
        <v>15</v>
      </c>
      <c r="F521" s="12">
        <v>71290.14</v>
      </c>
      <c r="G521" s="13">
        <v>71410.48</v>
      </c>
    </row>
    <row r="522" spans="1:7" x14ac:dyDescent="0.3">
      <c r="A522" s="10">
        <v>5521</v>
      </c>
      <c r="B522" s="11">
        <v>45035</v>
      </c>
      <c r="C522" s="5" t="s">
        <v>7</v>
      </c>
      <c r="D522" s="5" t="s">
        <v>10</v>
      </c>
      <c r="E522" s="5" t="s">
        <v>17</v>
      </c>
      <c r="F522" s="12">
        <v>133161.91</v>
      </c>
      <c r="G522" s="13">
        <v>150089.45000000001</v>
      </c>
    </row>
    <row r="523" spans="1:7" x14ac:dyDescent="0.3">
      <c r="A523" s="10">
        <v>5522</v>
      </c>
      <c r="B523" s="11">
        <v>44989</v>
      </c>
      <c r="C523" s="5" t="s">
        <v>7</v>
      </c>
      <c r="D523" s="5" t="s">
        <v>16</v>
      </c>
      <c r="E523" s="5" t="s">
        <v>14</v>
      </c>
      <c r="F523" s="12">
        <v>106311.36</v>
      </c>
      <c r="G523" s="13">
        <v>117829.18</v>
      </c>
    </row>
    <row r="524" spans="1:7" x14ac:dyDescent="0.3">
      <c r="A524" s="10">
        <v>5523</v>
      </c>
      <c r="B524" s="11">
        <v>44977</v>
      </c>
      <c r="C524" s="5" t="s">
        <v>12</v>
      </c>
      <c r="D524" s="5" t="s">
        <v>18</v>
      </c>
      <c r="E524" s="5" t="s">
        <v>21</v>
      </c>
      <c r="F524" s="12">
        <v>438502.64</v>
      </c>
      <c r="G524" s="13">
        <v>390758.99</v>
      </c>
    </row>
    <row r="525" spans="1:7" x14ac:dyDescent="0.3">
      <c r="A525" s="10">
        <v>5524</v>
      </c>
      <c r="B525" s="11">
        <v>45322</v>
      </c>
      <c r="C525" s="5" t="s">
        <v>7</v>
      </c>
      <c r="D525" s="5" t="s">
        <v>10</v>
      </c>
      <c r="E525" s="5" t="s">
        <v>17</v>
      </c>
      <c r="F525" s="12">
        <v>171806.51</v>
      </c>
      <c r="G525" s="13">
        <v>200200.35</v>
      </c>
    </row>
    <row r="526" spans="1:7" x14ac:dyDescent="0.3">
      <c r="A526" s="10">
        <v>5525</v>
      </c>
      <c r="B526" s="11">
        <v>45148</v>
      </c>
      <c r="C526" s="5" t="s">
        <v>12</v>
      </c>
      <c r="D526" s="5" t="s">
        <v>23</v>
      </c>
      <c r="E526" s="5" t="s">
        <v>14</v>
      </c>
      <c r="F526" s="12">
        <v>403360.4</v>
      </c>
      <c r="G526" s="13">
        <v>488806.03</v>
      </c>
    </row>
    <row r="527" spans="1:7" x14ac:dyDescent="0.3">
      <c r="A527" s="10">
        <v>5526</v>
      </c>
      <c r="B527" s="11">
        <v>45310</v>
      </c>
      <c r="C527" s="5" t="s">
        <v>7</v>
      </c>
      <c r="D527" s="5" t="s">
        <v>30</v>
      </c>
      <c r="E527" s="5" t="s">
        <v>14</v>
      </c>
      <c r="F527" s="12">
        <v>113391.49</v>
      </c>
      <c r="G527" s="13">
        <v>137293.16</v>
      </c>
    </row>
    <row r="528" spans="1:7" x14ac:dyDescent="0.3">
      <c r="A528" s="10">
        <v>5527</v>
      </c>
      <c r="B528" s="11">
        <v>44966</v>
      </c>
      <c r="C528" s="5" t="s">
        <v>12</v>
      </c>
      <c r="D528" s="5" t="s">
        <v>18</v>
      </c>
      <c r="E528" s="5" t="s">
        <v>21</v>
      </c>
      <c r="F528" s="12">
        <v>336244.15</v>
      </c>
      <c r="G528" s="13">
        <v>310765.74</v>
      </c>
    </row>
    <row r="529" spans="1:7" x14ac:dyDescent="0.3">
      <c r="A529" s="10">
        <v>5528</v>
      </c>
      <c r="B529" s="11">
        <v>45219</v>
      </c>
      <c r="C529" s="5" t="s">
        <v>7</v>
      </c>
      <c r="D529" s="5" t="s">
        <v>29</v>
      </c>
      <c r="E529" s="5" t="s">
        <v>14</v>
      </c>
      <c r="F529" s="12">
        <v>5913.46</v>
      </c>
      <c r="G529" s="13">
        <v>5987.98</v>
      </c>
    </row>
    <row r="530" spans="1:7" x14ac:dyDescent="0.3">
      <c r="A530" s="10">
        <v>5529</v>
      </c>
      <c r="B530" s="11">
        <v>45165</v>
      </c>
      <c r="C530" s="5" t="s">
        <v>7</v>
      </c>
      <c r="D530" s="5" t="s">
        <v>8</v>
      </c>
      <c r="E530" s="5" t="s">
        <v>14</v>
      </c>
      <c r="F530" s="12">
        <v>20467.68</v>
      </c>
      <c r="G530" s="13">
        <v>24107.84</v>
      </c>
    </row>
    <row r="531" spans="1:7" x14ac:dyDescent="0.3">
      <c r="A531" s="10">
        <v>5530</v>
      </c>
      <c r="B531" s="11">
        <v>45640</v>
      </c>
      <c r="C531" s="5" t="s">
        <v>12</v>
      </c>
      <c r="D531" s="5" t="s">
        <v>23</v>
      </c>
      <c r="E531" s="5" t="s">
        <v>27</v>
      </c>
      <c r="F531" s="12">
        <v>400247.21</v>
      </c>
      <c r="G531" s="13">
        <v>375852.43</v>
      </c>
    </row>
    <row r="532" spans="1:7" x14ac:dyDescent="0.3">
      <c r="A532" s="10">
        <v>5531</v>
      </c>
      <c r="B532" s="11">
        <v>45431</v>
      </c>
      <c r="C532" s="5" t="s">
        <v>7</v>
      </c>
      <c r="D532" s="5" t="s">
        <v>10</v>
      </c>
      <c r="E532" s="5" t="s">
        <v>27</v>
      </c>
      <c r="F532" s="12">
        <v>147287.82999999999</v>
      </c>
      <c r="G532" s="13">
        <v>183093.83</v>
      </c>
    </row>
    <row r="533" spans="1:7" x14ac:dyDescent="0.3">
      <c r="A533" s="10">
        <v>5532</v>
      </c>
      <c r="B533" s="11">
        <v>45158</v>
      </c>
      <c r="C533" s="5" t="s">
        <v>12</v>
      </c>
      <c r="D533" s="5" t="s">
        <v>25</v>
      </c>
      <c r="E533" s="5" t="s">
        <v>14</v>
      </c>
      <c r="F533" s="12">
        <v>434257.58</v>
      </c>
      <c r="G533" s="13">
        <v>478925.84</v>
      </c>
    </row>
    <row r="534" spans="1:7" x14ac:dyDescent="0.3">
      <c r="A534" s="10">
        <v>5533</v>
      </c>
      <c r="B534" s="11">
        <v>45586</v>
      </c>
      <c r="C534" s="5" t="s">
        <v>7</v>
      </c>
      <c r="D534" s="5" t="s">
        <v>22</v>
      </c>
      <c r="E534" s="5" t="s">
        <v>11</v>
      </c>
      <c r="F534" s="12">
        <v>204149.63</v>
      </c>
      <c r="G534" s="13">
        <v>188677.75</v>
      </c>
    </row>
    <row r="535" spans="1:7" x14ac:dyDescent="0.3">
      <c r="A535" s="10">
        <v>5534</v>
      </c>
      <c r="B535" s="11">
        <v>44993</v>
      </c>
      <c r="C535" s="5" t="s">
        <v>7</v>
      </c>
      <c r="D535" s="5" t="s">
        <v>30</v>
      </c>
      <c r="E535" s="5" t="s">
        <v>9</v>
      </c>
      <c r="F535" s="12">
        <v>15843.18</v>
      </c>
      <c r="G535" s="13">
        <v>16090.75</v>
      </c>
    </row>
    <row r="536" spans="1:7" x14ac:dyDescent="0.3">
      <c r="A536" s="10">
        <v>5535</v>
      </c>
      <c r="B536" s="11">
        <v>45010</v>
      </c>
      <c r="C536" s="5" t="s">
        <v>7</v>
      </c>
      <c r="D536" s="5" t="s">
        <v>16</v>
      </c>
      <c r="E536" s="5" t="s">
        <v>21</v>
      </c>
      <c r="F536" s="12">
        <v>125380.66</v>
      </c>
      <c r="G536" s="13">
        <v>154715.04999999999</v>
      </c>
    </row>
    <row r="537" spans="1:7" x14ac:dyDescent="0.3">
      <c r="A537" s="10">
        <v>5536</v>
      </c>
      <c r="B537" s="11">
        <v>45068</v>
      </c>
      <c r="C537" s="5" t="s">
        <v>7</v>
      </c>
      <c r="D537" s="5" t="s">
        <v>28</v>
      </c>
      <c r="E537" s="5" t="s">
        <v>9</v>
      </c>
      <c r="F537" s="12">
        <v>333328.44</v>
      </c>
      <c r="G537" s="13">
        <v>299861.94</v>
      </c>
    </row>
    <row r="538" spans="1:7" x14ac:dyDescent="0.3">
      <c r="A538" s="10">
        <v>5537</v>
      </c>
      <c r="B538" s="11">
        <v>45170</v>
      </c>
      <c r="C538" s="5" t="s">
        <v>12</v>
      </c>
      <c r="D538" s="5" t="s">
        <v>25</v>
      </c>
      <c r="E538" s="5" t="s">
        <v>27</v>
      </c>
      <c r="F538" s="12">
        <v>488777.41</v>
      </c>
      <c r="G538" s="13">
        <v>526962.56000000006</v>
      </c>
    </row>
    <row r="539" spans="1:7" x14ac:dyDescent="0.3">
      <c r="A539" s="10">
        <v>5538</v>
      </c>
      <c r="B539" s="11">
        <v>45501</v>
      </c>
      <c r="C539" s="5" t="s">
        <v>12</v>
      </c>
      <c r="D539" s="5" t="s">
        <v>18</v>
      </c>
      <c r="E539" s="5" t="s">
        <v>17</v>
      </c>
      <c r="F539" s="12">
        <v>317504.78999999998</v>
      </c>
      <c r="G539" s="13">
        <v>367609.38</v>
      </c>
    </row>
    <row r="540" spans="1:7" x14ac:dyDescent="0.3">
      <c r="A540" s="10">
        <v>5539</v>
      </c>
      <c r="B540" s="11">
        <v>45653</v>
      </c>
      <c r="C540" s="5" t="s">
        <v>7</v>
      </c>
      <c r="D540" s="5" t="s">
        <v>24</v>
      </c>
      <c r="E540" s="5" t="s">
        <v>15</v>
      </c>
      <c r="F540" s="12">
        <v>198443.85</v>
      </c>
      <c r="G540" s="13">
        <v>219848.23</v>
      </c>
    </row>
    <row r="541" spans="1:7" x14ac:dyDescent="0.3">
      <c r="A541" s="10">
        <v>5540</v>
      </c>
      <c r="B541" s="11">
        <v>45237</v>
      </c>
      <c r="C541" s="5" t="s">
        <v>7</v>
      </c>
      <c r="D541" s="5" t="s">
        <v>29</v>
      </c>
      <c r="E541" s="5" t="s">
        <v>17</v>
      </c>
      <c r="F541" s="12">
        <v>48637.29</v>
      </c>
      <c r="G541" s="13">
        <v>51336.62</v>
      </c>
    </row>
    <row r="542" spans="1:7" x14ac:dyDescent="0.3">
      <c r="A542" s="10">
        <v>5541</v>
      </c>
      <c r="B542" s="11">
        <v>45262</v>
      </c>
      <c r="C542" s="5" t="s">
        <v>7</v>
      </c>
      <c r="D542" s="5" t="s">
        <v>26</v>
      </c>
      <c r="E542" s="5" t="s">
        <v>15</v>
      </c>
      <c r="F542" s="12">
        <v>23127.49</v>
      </c>
      <c r="G542" s="13">
        <v>24797.34</v>
      </c>
    </row>
    <row r="543" spans="1:7" x14ac:dyDescent="0.3">
      <c r="A543" s="10">
        <v>5542</v>
      </c>
      <c r="B543" s="11">
        <v>45535</v>
      </c>
      <c r="C543" s="5" t="s">
        <v>12</v>
      </c>
      <c r="D543" s="5" t="s">
        <v>13</v>
      </c>
      <c r="E543" s="5" t="s">
        <v>9</v>
      </c>
      <c r="F543" s="12">
        <v>293256.58</v>
      </c>
      <c r="G543" s="13">
        <v>289129.89</v>
      </c>
    </row>
    <row r="544" spans="1:7" x14ac:dyDescent="0.3">
      <c r="A544" s="10">
        <v>5543</v>
      </c>
      <c r="B544" s="11">
        <v>44999</v>
      </c>
      <c r="C544" s="5" t="s">
        <v>7</v>
      </c>
      <c r="D544" s="5" t="s">
        <v>8</v>
      </c>
      <c r="E544" s="5" t="s">
        <v>15</v>
      </c>
      <c r="F544" s="12">
        <v>11875.81</v>
      </c>
      <c r="G544" s="13">
        <v>10328.27</v>
      </c>
    </row>
    <row r="545" spans="1:7" x14ac:dyDescent="0.3">
      <c r="A545" s="10">
        <v>5544</v>
      </c>
      <c r="B545" s="11">
        <v>45536</v>
      </c>
      <c r="C545" s="5" t="s">
        <v>7</v>
      </c>
      <c r="D545" s="5" t="s">
        <v>8</v>
      </c>
      <c r="E545" s="5" t="s">
        <v>17</v>
      </c>
      <c r="F545" s="12">
        <v>1622.34</v>
      </c>
      <c r="G545" s="13">
        <v>1583.46</v>
      </c>
    </row>
    <row r="546" spans="1:7" x14ac:dyDescent="0.3">
      <c r="A546" s="10">
        <v>5545</v>
      </c>
      <c r="B546" s="11">
        <v>45020</v>
      </c>
      <c r="C546" s="5" t="s">
        <v>7</v>
      </c>
      <c r="D546" s="5" t="s">
        <v>22</v>
      </c>
      <c r="E546" s="5" t="s">
        <v>9</v>
      </c>
      <c r="F546" s="12">
        <v>250858.79</v>
      </c>
      <c r="G546" s="13">
        <v>302179.83</v>
      </c>
    </row>
    <row r="547" spans="1:7" x14ac:dyDescent="0.3">
      <c r="A547" s="10">
        <v>5546</v>
      </c>
      <c r="B547" s="11">
        <v>45406</v>
      </c>
      <c r="C547" s="5" t="s">
        <v>12</v>
      </c>
      <c r="D547" s="5" t="s">
        <v>25</v>
      </c>
      <c r="E547" s="5" t="s">
        <v>11</v>
      </c>
      <c r="F547" s="12">
        <v>102610.58</v>
      </c>
      <c r="G547" s="13">
        <v>125641.3</v>
      </c>
    </row>
    <row r="548" spans="1:7" x14ac:dyDescent="0.3">
      <c r="A548" s="10">
        <v>5547</v>
      </c>
      <c r="B548" s="11">
        <v>45142</v>
      </c>
      <c r="C548" s="5" t="s">
        <v>7</v>
      </c>
      <c r="D548" s="5" t="s">
        <v>24</v>
      </c>
      <c r="E548" s="5" t="s">
        <v>11</v>
      </c>
      <c r="F548" s="12">
        <v>19238.439999999999</v>
      </c>
      <c r="G548" s="13">
        <v>22419.61</v>
      </c>
    </row>
    <row r="549" spans="1:7" x14ac:dyDescent="0.3">
      <c r="A549" s="10">
        <v>5548</v>
      </c>
      <c r="B549" s="11">
        <v>45508</v>
      </c>
      <c r="C549" s="5" t="s">
        <v>7</v>
      </c>
      <c r="D549" s="5" t="s">
        <v>30</v>
      </c>
      <c r="E549" s="5" t="s">
        <v>27</v>
      </c>
      <c r="F549" s="12">
        <v>103821.59</v>
      </c>
      <c r="G549" s="13">
        <v>114360.37</v>
      </c>
    </row>
    <row r="550" spans="1:7" x14ac:dyDescent="0.3">
      <c r="A550" s="10">
        <v>5549</v>
      </c>
      <c r="B550" s="11">
        <v>45015</v>
      </c>
      <c r="C550" s="5" t="s">
        <v>7</v>
      </c>
      <c r="D550" s="5" t="s">
        <v>28</v>
      </c>
      <c r="E550" s="5" t="s">
        <v>19</v>
      </c>
      <c r="F550" s="12">
        <v>576914.36</v>
      </c>
      <c r="G550" s="13">
        <v>668922.47</v>
      </c>
    </row>
    <row r="551" spans="1:7" x14ac:dyDescent="0.3">
      <c r="A551" s="10">
        <v>5550</v>
      </c>
      <c r="B551" s="11">
        <v>45005</v>
      </c>
      <c r="C551" s="5" t="s">
        <v>7</v>
      </c>
      <c r="D551" s="5" t="s">
        <v>8</v>
      </c>
      <c r="E551" s="5" t="s">
        <v>15</v>
      </c>
      <c r="F551" s="12">
        <v>5408.26</v>
      </c>
      <c r="G551" s="13">
        <v>5820.4</v>
      </c>
    </row>
    <row r="552" spans="1:7" x14ac:dyDescent="0.3">
      <c r="A552" s="10">
        <v>5551</v>
      </c>
      <c r="B552" s="11">
        <v>45628</v>
      </c>
      <c r="C552" s="5" t="s">
        <v>12</v>
      </c>
      <c r="D552" s="5" t="s">
        <v>13</v>
      </c>
      <c r="E552" s="5" t="s">
        <v>21</v>
      </c>
      <c r="F552" s="12">
        <v>146530.19</v>
      </c>
      <c r="G552" s="13">
        <v>172114.06</v>
      </c>
    </row>
    <row r="553" spans="1:7" x14ac:dyDescent="0.3">
      <c r="A553" s="10">
        <v>5552</v>
      </c>
      <c r="B553" s="11">
        <v>45612</v>
      </c>
      <c r="C553" s="5" t="s">
        <v>12</v>
      </c>
      <c r="D553" s="5" t="s">
        <v>25</v>
      </c>
      <c r="E553" s="5" t="s">
        <v>19</v>
      </c>
      <c r="F553" s="12">
        <v>98789.05</v>
      </c>
      <c r="G553" s="13">
        <v>86297.8</v>
      </c>
    </row>
    <row r="554" spans="1:7" x14ac:dyDescent="0.3">
      <c r="A554" s="10">
        <v>5553</v>
      </c>
      <c r="B554" s="11">
        <v>45286</v>
      </c>
      <c r="C554" s="5" t="s">
        <v>7</v>
      </c>
      <c r="D554" s="5" t="s">
        <v>30</v>
      </c>
      <c r="E554" s="5" t="s">
        <v>27</v>
      </c>
      <c r="F554" s="12">
        <v>51645.24</v>
      </c>
      <c r="G554" s="13">
        <v>55755.79</v>
      </c>
    </row>
    <row r="555" spans="1:7" x14ac:dyDescent="0.3">
      <c r="A555" s="10">
        <v>5554</v>
      </c>
      <c r="B555" s="11">
        <v>45288</v>
      </c>
      <c r="C555" s="5" t="s">
        <v>7</v>
      </c>
      <c r="D555" s="5" t="s">
        <v>26</v>
      </c>
      <c r="E555" s="5" t="s">
        <v>14</v>
      </c>
      <c r="F555" s="12">
        <v>46206.21</v>
      </c>
      <c r="G555" s="13">
        <v>43145.14</v>
      </c>
    </row>
    <row r="556" spans="1:7" x14ac:dyDescent="0.3">
      <c r="A556" s="10">
        <v>5555</v>
      </c>
      <c r="B556" s="11">
        <v>45208</v>
      </c>
      <c r="C556" s="5" t="s">
        <v>12</v>
      </c>
      <c r="D556" s="5" t="s">
        <v>13</v>
      </c>
      <c r="E556" s="5" t="s">
        <v>15</v>
      </c>
      <c r="F556" s="12">
        <v>397032.47</v>
      </c>
      <c r="G556" s="13">
        <v>492547.37</v>
      </c>
    </row>
    <row r="557" spans="1:7" x14ac:dyDescent="0.3">
      <c r="A557" s="10">
        <v>5556</v>
      </c>
      <c r="B557" s="11">
        <v>45420</v>
      </c>
      <c r="C557" s="5" t="s">
        <v>7</v>
      </c>
      <c r="D557" s="5" t="s">
        <v>8</v>
      </c>
      <c r="E557" s="5" t="s">
        <v>9</v>
      </c>
      <c r="F557" s="12">
        <v>20201.25</v>
      </c>
      <c r="G557" s="13">
        <v>20289.810000000001</v>
      </c>
    </row>
    <row r="558" spans="1:7" x14ac:dyDescent="0.3">
      <c r="A558" s="10">
        <v>5557</v>
      </c>
      <c r="B558" s="11">
        <v>45221</v>
      </c>
      <c r="C558" s="5" t="s">
        <v>7</v>
      </c>
      <c r="D558" s="5" t="s">
        <v>30</v>
      </c>
      <c r="E558" s="5" t="s">
        <v>19</v>
      </c>
      <c r="F558" s="12">
        <v>89195.66</v>
      </c>
      <c r="G558" s="13">
        <v>104088.73</v>
      </c>
    </row>
    <row r="559" spans="1:7" x14ac:dyDescent="0.3">
      <c r="A559" s="10">
        <v>5558</v>
      </c>
      <c r="B559" s="11">
        <v>45257</v>
      </c>
      <c r="C559" s="5" t="s">
        <v>7</v>
      </c>
      <c r="D559" s="5" t="s">
        <v>28</v>
      </c>
      <c r="E559" s="5" t="s">
        <v>15</v>
      </c>
      <c r="F559" s="12">
        <v>238630.97</v>
      </c>
      <c r="G559" s="13">
        <v>283257.25</v>
      </c>
    </row>
    <row r="560" spans="1:7" x14ac:dyDescent="0.3">
      <c r="A560" s="10">
        <v>5559</v>
      </c>
      <c r="B560" s="11">
        <v>45079</v>
      </c>
      <c r="C560" s="5" t="s">
        <v>7</v>
      </c>
      <c r="D560" s="5" t="s">
        <v>20</v>
      </c>
      <c r="E560" s="5" t="s">
        <v>27</v>
      </c>
      <c r="F560" s="12">
        <v>21059.57</v>
      </c>
      <c r="G560" s="13">
        <v>24570.53</v>
      </c>
    </row>
    <row r="561" spans="1:7" x14ac:dyDescent="0.3">
      <c r="A561" s="10">
        <v>5560</v>
      </c>
      <c r="B561" s="11">
        <v>45389</v>
      </c>
      <c r="C561" s="5" t="s">
        <v>7</v>
      </c>
      <c r="D561" s="5" t="s">
        <v>24</v>
      </c>
      <c r="E561" s="5" t="s">
        <v>15</v>
      </c>
      <c r="F561" s="12">
        <v>171808.49</v>
      </c>
      <c r="G561" s="13">
        <v>154975.71</v>
      </c>
    </row>
    <row r="562" spans="1:7" x14ac:dyDescent="0.3">
      <c r="A562" s="10">
        <v>5561</v>
      </c>
      <c r="B562" s="11">
        <v>44983</v>
      </c>
      <c r="C562" s="5" t="s">
        <v>12</v>
      </c>
      <c r="D562" s="5" t="s">
        <v>18</v>
      </c>
      <c r="E562" s="5" t="s">
        <v>9</v>
      </c>
      <c r="F562" s="12">
        <v>207575.15</v>
      </c>
      <c r="G562" s="13">
        <v>230456.39</v>
      </c>
    </row>
    <row r="563" spans="1:7" x14ac:dyDescent="0.3">
      <c r="A563" s="10">
        <v>5562</v>
      </c>
      <c r="B563" s="11">
        <v>45162</v>
      </c>
      <c r="C563" s="5" t="s">
        <v>7</v>
      </c>
      <c r="D563" s="5" t="s">
        <v>29</v>
      </c>
      <c r="E563" s="5" t="s">
        <v>14</v>
      </c>
      <c r="F563" s="12">
        <v>44437.86</v>
      </c>
      <c r="G563" s="13">
        <v>43865.87</v>
      </c>
    </row>
    <row r="564" spans="1:7" x14ac:dyDescent="0.3">
      <c r="A564" s="10">
        <v>5563</v>
      </c>
      <c r="B564" s="11">
        <v>44989</v>
      </c>
      <c r="C564" s="5" t="s">
        <v>7</v>
      </c>
      <c r="D564" s="5" t="s">
        <v>10</v>
      </c>
      <c r="E564" s="5" t="s">
        <v>21</v>
      </c>
      <c r="F564" s="12">
        <v>24612.02</v>
      </c>
      <c r="G564" s="13">
        <v>28250.86</v>
      </c>
    </row>
    <row r="565" spans="1:7" x14ac:dyDescent="0.3">
      <c r="A565" s="10">
        <v>5564</v>
      </c>
      <c r="B565" s="11">
        <v>45022</v>
      </c>
      <c r="C565" s="5" t="s">
        <v>12</v>
      </c>
      <c r="D565" s="5" t="s">
        <v>18</v>
      </c>
      <c r="E565" s="5" t="s">
        <v>21</v>
      </c>
      <c r="F565" s="12">
        <v>475358.49</v>
      </c>
      <c r="G565" s="13">
        <v>408823.24</v>
      </c>
    </row>
    <row r="566" spans="1:7" x14ac:dyDescent="0.3">
      <c r="A566" s="10">
        <v>5565</v>
      </c>
      <c r="B566" s="11">
        <v>45129</v>
      </c>
      <c r="C566" s="5" t="s">
        <v>7</v>
      </c>
      <c r="D566" s="5" t="s">
        <v>20</v>
      </c>
      <c r="E566" s="5" t="s">
        <v>27</v>
      </c>
      <c r="F566" s="12">
        <v>22478.05</v>
      </c>
      <c r="G566" s="13">
        <v>20099</v>
      </c>
    </row>
    <row r="567" spans="1:7" x14ac:dyDescent="0.3">
      <c r="A567" s="10">
        <v>5566</v>
      </c>
      <c r="B567" s="11">
        <v>45525</v>
      </c>
      <c r="C567" s="5" t="s">
        <v>7</v>
      </c>
      <c r="D567" s="5" t="s">
        <v>24</v>
      </c>
      <c r="E567" s="5" t="s">
        <v>11</v>
      </c>
      <c r="F567" s="12">
        <v>127655.94</v>
      </c>
      <c r="G567" s="13">
        <v>128332.22</v>
      </c>
    </row>
    <row r="568" spans="1:7" x14ac:dyDescent="0.3">
      <c r="A568" s="10">
        <v>5567</v>
      </c>
      <c r="B568" s="11">
        <v>45061</v>
      </c>
      <c r="C568" s="5" t="s">
        <v>7</v>
      </c>
      <c r="D568" s="5" t="s">
        <v>24</v>
      </c>
      <c r="E568" s="5" t="s">
        <v>14</v>
      </c>
      <c r="F568" s="12">
        <v>43795.25</v>
      </c>
      <c r="G568" s="13">
        <v>51610.5</v>
      </c>
    </row>
    <row r="569" spans="1:7" x14ac:dyDescent="0.3">
      <c r="A569" s="10">
        <v>5568</v>
      </c>
      <c r="B569" s="11">
        <v>45081</v>
      </c>
      <c r="C569" s="5" t="s">
        <v>7</v>
      </c>
      <c r="D569" s="5" t="s">
        <v>26</v>
      </c>
      <c r="E569" s="5" t="s">
        <v>15</v>
      </c>
      <c r="F569" s="12">
        <v>34747.78</v>
      </c>
      <c r="G569" s="13">
        <v>34095.86</v>
      </c>
    </row>
    <row r="570" spans="1:7" x14ac:dyDescent="0.3">
      <c r="A570" s="10">
        <v>5569</v>
      </c>
      <c r="B570" s="11">
        <v>45086</v>
      </c>
      <c r="C570" s="5" t="s">
        <v>12</v>
      </c>
      <c r="D570" s="5" t="s">
        <v>25</v>
      </c>
      <c r="E570" s="5" t="s">
        <v>11</v>
      </c>
      <c r="F570" s="12">
        <v>83277.62</v>
      </c>
      <c r="G570" s="13">
        <v>101156.45</v>
      </c>
    </row>
    <row r="571" spans="1:7" x14ac:dyDescent="0.3">
      <c r="A571" s="10">
        <v>5570</v>
      </c>
      <c r="B571" s="11">
        <v>45310</v>
      </c>
      <c r="C571" s="5" t="s">
        <v>7</v>
      </c>
      <c r="D571" s="5" t="s">
        <v>16</v>
      </c>
      <c r="E571" s="5" t="s">
        <v>27</v>
      </c>
      <c r="F571" s="12">
        <v>139980.01</v>
      </c>
      <c r="G571" s="13">
        <v>142318.28</v>
      </c>
    </row>
    <row r="572" spans="1:7" x14ac:dyDescent="0.3">
      <c r="A572" s="10">
        <v>5571</v>
      </c>
      <c r="B572" s="11">
        <v>45440</v>
      </c>
      <c r="C572" s="5" t="s">
        <v>7</v>
      </c>
      <c r="D572" s="5" t="s">
        <v>28</v>
      </c>
      <c r="E572" s="5" t="s">
        <v>21</v>
      </c>
      <c r="F572" s="12">
        <v>317787.27</v>
      </c>
      <c r="G572" s="13">
        <v>339236.1</v>
      </c>
    </row>
    <row r="573" spans="1:7" x14ac:dyDescent="0.3">
      <c r="A573" s="10">
        <v>5572</v>
      </c>
      <c r="B573" s="11">
        <v>45308</v>
      </c>
      <c r="C573" s="5" t="s">
        <v>7</v>
      </c>
      <c r="D573" s="5" t="s">
        <v>26</v>
      </c>
      <c r="E573" s="5" t="s">
        <v>9</v>
      </c>
      <c r="F573" s="12">
        <v>61007.9</v>
      </c>
      <c r="G573" s="13">
        <v>71067.070000000007</v>
      </c>
    </row>
    <row r="574" spans="1:7" x14ac:dyDescent="0.3">
      <c r="A574" s="10">
        <v>5573</v>
      </c>
      <c r="B574" s="11">
        <v>45418</v>
      </c>
      <c r="C574" s="5" t="s">
        <v>7</v>
      </c>
      <c r="D574" s="5" t="s">
        <v>10</v>
      </c>
      <c r="E574" s="5" t="s">
        <v>11</v>
      </c>
      <c r="F574" s="12">
        <v>116482.9</v>
      </c>
      <c r="G574" s="13">
        <v>132545.09</v>
      </c>
    </row>
    <row r="575" spans="1:7" x14ac:dyDescent="0.3">
      <c r="A575" s="10">
        <v>5574</v>
      </c>
      <c r="B575" s="11">
        <v>44963</v>
      </c>
      <c r="C575" s="5" t="s">
        <v>7</v>
      </c>
      <c r="D575" s="5" t="s">
        <v>22</v>
      </c>
      <c r="E575" s="5" t="s">
        <v>14</v>
      </c>
      <c r="F575" s="12">
        <v>16277.75</v>
      </c>
      <c r="G575" s="13">
        <v>18836.330000000002</v>
      </c>
    </row>
    <row r="576" spans="1:7" x14ac:dyDescent="0.3">
      <c r="A576" s="10">
        <v>5575</v>
      </c>
      <c r="B576" s="11">
        <v>45600</v>
      </c>
      <c r="C576" s="5" t="s">
        <v>7</v>
      </c>
      <c r="D576" s="5" t="s">
        <v>28</v>
      </c>
      <c r="E576" s="5" t="s">
        <v>19</v>
      </c>
      <c r="F576" s="12">
        <v>294359.48</v>
      </c>
      <c r="G576" s="13">
        <v>270802.09000000003</v>
      </c>
    </row>
    <row r="577" spans="1:7" x14ac:dyDescent="0.3">
      <c r="A577" s="10">
        <v>5576</v>
      </c>
      <c r="B577" s="11">
        <v>45218</v>
      </c>
      <c r="C577" s="5" t="s">
        <v>7</v>
      </c>
      <c r="D577" s="5" t="s">
        <v>26</v>
      </c>
      <c r="E577" s="5" t="s">
        <v>9</v>
      </c>
      <c r="F577" s="12">
        <v>57899.839999999997</v>
      </c>
      <c r="G577" s="13">
        <v>68411.44</v>
      </c>
    </row>
    <row r="578" spans="1:7" x14ac:dyDescent="0.3">
      <c r="A578" s="10">
        <v>5577</v>
      </c>
      <c r="B578" s="11">
        <v>45037</v>
      </c>
      <c r="C578" s="5" t="s">
        <v>7</v>
      </c>
      <c r="D578" s="5" t="s">
        <v>29</v>
      </c>
      <c r="E578" s="5" t="s">
        <v>15</v>
      </c>
      <c r="F578" s="12">
        <v>27398.66</v>
      </c>
      <c r="G578" s="13">
        <v>27696.6</v>
      </c>
    </row>
    <row r="579" spans="1:7" x14ac:dyDescent="0.3">
      <c r="A579" s="10">
        <v>5578</v>
      </c>
      <c r="B579" s="11">
        <v>45331</v>
      </c>
      <c r="C579" s="5" t="s">
        <v>7</v>
      </c>
      <c r="D579" s="5" t="s">
        <v>26</v>
      </c>
      <c r="E579" s="5" t="s">
        <v>21</v>
      </c>
      <c r="F579" s="12">
        <v>72125.67</v>
      </c>
      <c r="G579" s="13">
        <v>79038.3</v>
      </c>
    </row>
    <row r="580" spans="1:7" x14ac:dyDescent="0.3">
      <c r="A580" s="10">
        <v>5579</v>
      </c>
      <c r="B580" s="11">
        <v>45475</v>
      </c>
      <c r="C580" s="5" t="s">
        <v>7</v>
      </c>
      <c r="D580" s="5" t="s">
        <v>10</v>
      </c>
      <c r="E580" s="5" t="s">
        <v>17</v>
      </c>
      <c r="F580" s="12">
        <v>135868.9</v>
      </c>
      <c r="G580" s="13">
        <v>130370.17</v>
      </c>
    </row>
    <row r="581" spans="1:7" x14ac:dyDescent="0.3">
      <c r="A581" s="10">
        <v>5580</v>
      </c>
      <c r="B581" s="11">
        <v>45472</v>
      </c>
      <c r="C581" s="5" t="s">
        <v>7</v>
      </c>
      <c r="D581" s="5" t="s">
        <v>24</v>
      </c>
      <c r="E581" s="5" t="s">
        <v>14</v>
      </c>
      <c r="F581" s="12">
        <v>161370.35</v>
      </c>
      <c r="G581" s="13">
        <v>165729.76</v>
      </c>
    </row>
    <row r="582" spans="1:7" x14ac:dyDescent="0.3">
      <c r="A582" s="10">
        <v>5581</v>
      </c>
      <c r="B582" s="11">
        <v>45235</v>
      </c>
      <c r="C582" s="5" t="s">
        <v>12</v>
      </c>
      <c r="D582" s="5" t="s">
        <v>25</v>
      </c>
      <c r="E582" s="5" t="s">
        <v>21</v>
      </c>
      <c r="F582" s="12">
        <v>111961.71</v>
      </c>
      <c r="G582" s="13">
        <v>101417.95</v>
      </c>
    </row>
    <row r="583" spans="1:7" x14ac:dyDescent="0.3">
      <c r="A583" s="10">
        <v>5582</v>
      </c>
      <c r="B583" s="11">
        <v>45499</v>
      </c>
      <c r="C583" s="5" t="s">
        <v>7</v>
      </c>
      <c r="D583" s="5" t="s">
        <v>10</v>
      </c>
      <c r="E583" s="5" t="s">
        <v>19</v>
      </c>
      <c r="F583" s="12">
        <v>84134.47</v>
      </c>
      <c r="G583" s="13">
        <v>98847.1</v>
      </c>
    </row>
    <row r="584" spans="1:7" x14ac:dyDescent="0.3">
      <c r="A584" s="10">
        <v>5583</v>
      </c>
      <c r="B584" s="11">
        <v>45171</v>
      </c>
      <c r="C584" s="5" t="s">
        <v>12</v>
      </c>
      <c r="D584" s="5" t="s">
        <v>18</v>
      </c>
      <c r="E584" s="5" t="s">
        <v>21</v>
      </c>
      <c r="F584" s="12">
        <v>492183.62</v>
      </c>
      <c r="G584" s="13">
        <v>606602.11</v>
      </c>
    </row>
    <row r="585" spans="1:7" x14ac:dyDescent="0.3">
      <c r="A585" s="10">
        <v>5584</v>
      </c>
      <c r="B585" s="11">
        <v>45263</v>
      </c>
      <c r="C585" s="5" t="s">
        <v>12</v>
      </c>
      <c r="D585" s="5" t="s">
        <v>18</v>
      </c>
      <c r="E585" s="5" t="s">
        <v>11</v>
      </c>
      <c r="F585" s="12">
        <v>174511.32</v>
      </c>
      <c r="G585" s="13">
        <v>200109.57</v>
      </c>
    </row>
    <row r="586" spans="1:7" x14ac:dyDescent="0.3">
      <c r="A586" s="10">
        <v>5585</v>
      </c>
      <c r="B586" s="11">
        <v>44971</v>
      </c>
      <c r="C586" s="5" t="s">
        <v>7</v>
      </c>
      <c r="D586" s="5" t="s">
        <v>29</v>
      </c>
      <c r="E586" s="5" t="s">
        <v>19</v>
      </c>
      <c r="F586" s="12">
        <v>31527.38</v>
      </c>
      <c r="G586" s="13">
        <v>28349.18</v>
      </c>
    </row>
    <row r="587" spans="1:7" x14ac:dyDescent="0.3">
      <c r="A587" s="10">
        <v>5586</v>
      </c>
      <c r="B587" s="11">
        <v>45172</v>
      </c>
      <c r="C587" s="5" t="s">
        <v>7</v>
      </c>
      <c r="D587" s="5" t="s">
        <v>28</v>
      </c>
      <c r="E587" s="5" t="s">
        <v>9</v>
      </c>
      <c r="F587" s="12">
        <v>423156.53</v>
      </c>
      <c r="G587" s="13">
        <v>446762.52</v>
      </c>
    </row>
    <row r="588" spans="1:7" x14ac:dyDescent="0.3">
      <c r="A588" s="10">
        <v>5587</v>
      </c>
      <c r="B588" s="11">
        <v>45371</v>
      </c>
      <c r="C588" s="5" t="s">
        <v>7</v>
      </c>
      <c r="D588" s="5" t="s">
        <v>22</v>
      </c>
      <c r="E588" s="5" t="s">
        <v>17</v>
      </c>
      <c r="F588" s="12">
        <v>283269.39</v>
      </c>
      <c r="G588" s="13">
        <v>348575.81</v>
      </c>
    </row>
    <row r="589" spans="1:7" x14ac:dyDescent="0.3">
      <c r="A589" s="10">
        <v>5588</v>
      </c>
      <c r="B589" s="11">
        <v>45470</v>
      </c>
      <c r="C589" s="5" t="s">
        <v>7</v>
      </c>
      <c r="D589" s="5" t="s">
        <v>10</v>
      </c>
      <c r="E589" s="5" t="s">
        <v>27</v>
      </c>
      <c r="F589" s="12">
        <v>73024.320000000007</v>
      </c>
      <c r="G589" s="13">
        <v>70518.19</v>
      </c>
    </row>
    <row r="590" spans="1:7" x14ac:dyDescent="0.3">
      <c r="A590" s="10">
        <v>5589</v>
      </c>
      <c r="B590" s="11">
        <v>45127</v>
      </c>
      <c r="C590" s="5" t="s">
        <v>7</v>
      </c>
      <c r="D590" s="5" t="s">
        <v>20</v>
      </c>
      <c r="E590" s="5" t="s">
        <v>14</v>
      </c>
      <c r="F590" s="12">
        <v>22730.47</v>
      </c>
      <c r="G590" s="13">
        <v>19481.36</v>
      </c>
    </row>
    <row r="591" spans="1:7" x14ac:dyDescent="0.3">
      <c r="A591" s="10">
        <v>5590</v>
      </c>
      <c r="B591" s="11">
        <v>44959</v>
      </c>
      <c r="C591" s="5" t="s">
        <v>7</v>
      </c>
      <c r="D591" s="5" t="s">
        <v>30</v>
      </c>
      <c r="E591" s="5" t="s">
        <v>21</v>
      </c>
      <c r="F591" s="12">
        <v>27152.46</v>
      </c>
      <c r="G591" s="13">
        <v>30688.31</v>
      </c>
    </row>
    <row r="592" spans="1:7" x14ac:dyDescent="0.3">
      <c r="A592" s="10">
        <v>5591</v>
      </c>
      <c r="B592" s="11">
        <v>45473</v>
      </c>
      <c r="C592" s="5" t="s">
        <v>12</v>
      </c>
      <c r="D592" s="5" t="s">
        <v>25</v>
      </c>
      <c r="E592" s="5" t="s">
        <v>21</v>
      </c>
      <c r="F592" s="12">
        <v>206996.42</v>
      </c>
      <c r="G592" s="13">
        <v>234791.18</v>
      </c>
    </row>
    <row r="593" spans="1:7" x14ac:dyDescent="0.3">
      <c r="A593" s="10">
        <v>5592</v>
      </c>
      <c r="B593" s="11">
        <v>45388</v>
      </c>
      <c r="C593" s="5" t="s">
        <v>7</v>
      </c>
      <c r="D593" s="5" t="s">
        <v>22</v>
      </c>
      <c r="E593" s="5" t="s">
        <v>21</v>
      </c>
      <c r="F593" s="12">
        <v>42781.23</v>
      </c>
      <c r="G593" s="13">
        <v>48134.95</v>
      </c>
    </row>
    <row r="594" spans="1:7" x14ac:dyDescent="0.3">
      <c r="A594" s="10">
        <v>5593</v>
      </c>
      <c r="B594" s="11">
        <v>45400</v>
      </c>
      <c r="C594" s="5" t="s">
        <v>7</v>
      </c>
      <c r="D594" s="5" t="s">
        <v>22</v>
      </c>
      <c r="E594" s="5" t="s">
        <v>27</v>
      </c>
      <c r="F594" s="12">
        <v>199745.03</v>
      </c>
      <c r="G594" s="13">
        <v>248494.24</v>
      </c>
    </row>
    <row r="595" spans="1:7" x14ac:dyDescent="0.3">
      <c r="A595" s="10">
        <v>5594</v>
      </c>
      <c r="B595" s="11">
        <v>45580</v>
      </c>
      <c r="C595" s="5" t="s">
        <v>7</v>
      </c>
      <c r="D595" s="5" t="s">
        <v>16</v>
      </c>
      <c r="E595" s="5" t="s">
        <v>14</v>
      </c>
      <c r="F595" s="12">
        <v>143961.68</v>
      </c>
      <c r="G595" s="13">
        <v>155873.49</v>
      </c>
    </row>
    <row r="596" spans="1:7" x14ac:dyDescent="0.3">
      <c r="A596" s="10">
        <v>5595</v>
      </c>
      <c r="B596" s="11">
        <v>45498</v>
      </c>
      <c r="C596" s="5" t="s">
        <v>7</v>
      </c>
      <c r="D596" s="5" t="s">
        <v>26</v>
      </c>
      <c r="E596" s="5" t="s">
        <v>21</v>
      </c>
      <c r="F596" s="12">
        <v>70812.990000000005</v>
      </c>
      <c r="G596" s="13">
        <v>75428.91</v>
      </c>
    </row>
    <row r="597" spans="1:7" x14ac:dyDescent="0.3">
      <c r="A597" s="10">
        <v>5596</v>
      </c>
      <c r="B597" s="11">
        <v>45069</v>
      </c>
      <c r="C597" s="5" t="s">
        <v>7</v>
      </c>
      <c r="D597" s="5" t="s">
        <v>29</v>
      </c>
      <c r="E597" s="5" t="s">
        <v>9</v>
      </c>
      <c r="F597" s="12">
        <v>6404.6</v>
      </c>
      <c r="G597" s="13">
        <v>7335.92</v>
      </c>
    </row>
    <row r="598" spans="1:7" x14ac:dyDescent="0.3">
      <c r="A598" s="10">
        <v>5597</v>
      </c>
      <c r="B598" s="11">
        <v>45187</v>
      </c>
      <c r="C598" s="5" t="s">
        <v>12</v>
      </c>
      <c r="D598" s="5" t="s">
        <v>18</v>
      </c>
      <c r="E598" s="5" t="s">
        <v>17</v>
      </c>
      <c r="F598" s="12">
        <v>156824.89000000001</v>
      </c>
      <c r="G598" s="13">
        <v>163028.22</v>
      </c>
    </row>
    <row r="599" spans="1:7" x14ac:dyDescent="0.3">
      <c r="A599" s="10">
        <v>5598</v>
      </c>
      <c r="B599" s="11">
        <v>45113</v>
      </c>
      <c r="C599" s="5" t="s">
        <v>7</v>
      </c>
      <c r="D599" s="5" t="s">
        <v>29</v>
      </c>
      <c r="E599" s="5" t="s">
        <v>19</v>
      </c>
      <c r="F599" s="12">
        <v>26365.78</v>
      </c>
      <c r="G599" s="13">
        <v>26270.7</v>
      </c>
    </row>
    <row r="600" spans="1:7" x14ac:dyDescent="0.3">
      <c r="A600" s="10">
        <v>5599</v>
      </c>
      <c r="B600" s="11">
        <v>45431</v>
      </c>
      <c r="C600" s="5" t="s">
        <v>12</v>
      </c>
      <c r="D600" s="5" t="s">
        <v>18</v>
      </c>
      <c r="E600" s="5" t="s">
        <v>9</v>
      </c>
      <c r="F600" s="12">
        <v>130134.09</v>
      </c>
      <c r="G600" s="13">
        <v>151799.82</v>
      </c>
    </row>
    <row r="601" spans="1:7" x14ac:dyDescent="0.3">
      <c r="A601" s="10">
        <v>5600</v>
      </c>
      <c r="B601" s="11">
        <v>45376</v>
      </c>
      <c r="C601" s="5" t="s">
        <v>12</v>
      </c>
      <c r="D601" s="5" t="s">
        <v>25</v>
      </c>
      <c r="E601" s="5" t="s">
        <v>9</v>
      </c>
      <c r="F601" s="12">
        <v>474340.26</v>
      </c>
      <c r="G601" s="13">
        <v>494213.78</v>
      </c>
    </row>
    <row r="602" spans="1:7" x14ac:dyDescent="0.3">
      <c r="A602" s="10">
        <v>5601</v>
      </c>
      <c r="B602" s="11">
        <v>45204</v>
      </c>
      <c r="C602" s="5" t="s">
        <v>7</v>
      </c>
      <c r="D602" s="5" t="s">
        <v>29</v>
      </c>
      <c r="E602" s="5" t="s">
        <v>9</v>
      </c>
      <c r="F602" s="12">
        <v>51520.02</v>
      </c>
      <c r="G602" s="13">
        <v>44883.74</v>
      </c>
    </row>
    <row r="603" spans="1:7" x14ac:dyDescent="0.3">
      <c r="A603" s="10">
        <v>5602</v>
      </c>
      <c r="B603" s="11">
        <v>45011</v>
      </c>
      <c r="C603" s="5" t="s">
        <v>12</v>
      </c>
      <c r="D603" s="5" t="s">
        <v>25</v>
      </c>
      <c r="E603" s="5" t="s">
        <v>17</v>
      </c>
      <c r="F603" s="12">
        <v>485434.46</v>
      </c>
      <c r="G603" s="13">
        <v>559395.06000000006</v>
      </c>
    </row>
    <row r="604" spans="1:7" x14ac:dyDescent="0.3">
      <c r="A604" s="10">
        <v>5603</v>
      </c>
      <c r="B604" s="11">
        <v>45284</v>
      </c>
      <c r="C604" s="5" t="s">
        <v>7</v>
      </c>
      <c r="D604" s="5" t="s">
        <v>8</v>
      </c>
      <c r="E604" s="5" t="s">
        <v>21</v>
      </c>
      <c r="F604" s="12">
        <v>4873.08</v>
      </c>
      <c r="G604" s="13">
        <v>4333.3999999999996</v>
      </c>
    </row>
    <row r="605" spans="1:7" x14ac:dyDescent="0.3">
      <c r="A605" s="10">
        <v>5604</v>
      </c>
      <c r="B605" s="11">
        <v>45197</v>
      </c>
      <c r="C605" s="5" t="s">
        <v>7</v>
      </c>
      <c r="D605" s="5" t="s">
        <v>16</v>
      </c>
      <c r="E605" s="5" t="s">
        <v>9</v>
      </c>
      <c r="F605" s="12">
        <v>62225.3</v>
      </c>
      <c r="G605" s="13">
        <v>60026.55</v>
      </c>
    </row>
    <row r="606" spans="1:7" x14ac:dyDescent="0.3">
      <c r="A606" s="10">
        <v>5605</v>
      </c>
      <c r="B606" s="11">
        <v>45451</v>
      </c>
      <c r="C606" s="5" t="s">
        <v>7</v>
      </c>
      <c r="D606" s="5" t="s">
        <v>24</v>
      </c>
      <c r="E606" s="5" t="s">
        <v>11</v>
      </c>
      <c r="F606" s="12">
        <v>157117.04999999999</v>
      </c>
      <c r="G606" s="13">
        <v>165020.62</v>
      </c>
    </row>
    <row r="607" spans="1:7" x14ac:dyDescent="0.3">
      <c r="A607" s="10">
        <v>5606</v>
      </c>
      <c r="B607" s="11">
        <v>45446</v>
      </c>
      <c r="C607" s="5" t="s">
        <v>12</v>
      </c>
      <c r="D607" s="5" t="s">
        <v>25</v>
      </c>
      <c r="E607" s="5" t="s">
        <v>15</v>
      </c>
      <c r="F607" s="12">
        <v>492895.51</v>
      </c>
      <c r="G607" s="13">
        <v>580619.66</v>
      </c>
    </row>
    <row r="608" spans="1:7" x14ac:dyDescent="0.3">
      <c r="A608" s="10">
        <v>5607</v>
      </c>
      <c r="B608" s="11">
        <v>45294</v>
      </c>
      <c r="C608" s="5" t="s">
        <v>12</v>
      </c>
      <c r="D608" s="5" t="s">
        <v>13</v>
      </c>
      <c r="E608" s="5" t="s">
        <v>11</v>
      </c>
      <c r="F608" s="12">
        <v>152191.64000000001</v>
      </c>
      <c r="G608" s="13">
        <v>171836.72</v>
      </c>
    </row>
    <row r="609" spans="1:7" x14ac:dyDescent="0.3">
      <c r="A609" s="10">
        <v>5608</v>
      </c>
      <c r="B609" s="11">
        <v>45338</v>
      </c>
      <c r="C609" s="5" t="s">
        <v>7</v>
      </c>
      <c r="D609" s="5" t="s">
        <v>30</v>
      </c>
      <c r="E609" s="5" t="s">
        <v>27</v>
      </c>
      <c r="F609" s="12">
        <v>52004.33</v>
      </c>
      <c r="G609" s="13">
        <v>46573.5</v>
      </c>
    </row>
    <row r="610" spans="1:7" x14ac:dyDescent="0.3">
      <c r="A610" s="10">
        <v>5609</v>
      </c>
      <c r="B610" s="11">
        <v>45575</v>
      </c>
      <c r="C610" s="5" t="s">
        <v>7</v>
      </c>
      <c r="D610" s="5" t="s">
        <v>29</v>
      </c>
      <c r="E610" s="5" t="s">
        <v>9</v>
      </c>
      <c r="F610" s="12">
        <v>42145.56</v>
      </c>
      <c r="G610" s="13">
        <v>48110.26</v>
      </c>
    </row>
    <row r="611" spans="1:7" x14ac:dyDescent="0.3">
      <c r="A611" s="10">
        <v>5610</v>
      </c>
      <c r="B611" s="11">
        <v>45174</v>
      </c>
      <c r="C611" s="5" t="s">
        <v>12</v>
      </c>
      <c r="D611" s="5" t="s">
        <v>25</v>
      </c>
      <c r="E611" s="5" t="s">
        <v>14</v>
      </c>
      <c r="F611" s="12">
        <v>132952.92000000001</v>
      </c>
      <c r="G611" s="13">
        <v>115939.91</v>
      </c>
    </row>
    <row r="612" spans="1:7" x14ac:dyDescent="0.3">
      <c r="A612" s="10">
        <v>5611</v>
      </c>
      <c r="B612" s="11">
        <v>45218</v>
      </c>
      <c r="C612" s="5" t="s">
        <v>7</v>
      </c>
      <c r="D612" s="5" t="s">
        <v>24</v>
      </c>
      <c r="E612" s="5" t="s">
        <v>19</v>
      </c>
      <c r="F612" s="12">
        <v>29189.72</v>
      </c>
      <c r="G612" s="13">
        <v>34034.199999999997</v>
      </c>
    </row>
    <row r="613" spans="1:7" x14ac:dyDescent="0.3">
      <c r="A613" s="10">
        <v>5612</v>
      </c>
      <c r="B613" s="11">
        <v>44946</v>
      </c>
      <c r="C613" s="5" t="s">
        <v>7</v>
      </c>
      <c r="D613" s="5" t="s">
        <v>22</v>
      </c>
      <c r="E613" s="5" t="s">
        <v>17</v>
      </c>
      <c r="F613" s="12">
        <v>69165.59</v>
      </c>
      <c r="G613" s="13">
        <v>79275.42</v>
      </c>
    </row>
    <row r="614" spans="1:7" x14ac:dyDescent="0.3">
      <c r="A614" s="10">
        <v>5613</v>
      </c>
      <c r="B614" s="11">
        <v>45024</v>
      </c>
      <c r="C614" s="5" t="s">
        <v>7</v>
      </c>
      <c r="D614" s="5" t="s">
        <v>20</v>
      </c>
      <c r="E614" s="5" t="s">
        <v>21</v>
      </c>
      <c r="F614" s="12">
        <v>15014.12</v>
      </c>
      <c r="G614" s="13">
        <v>16584.14</v>
      </c>
    </row>
    <row r="615" spans="1:7" x14ac:dyDescent="0.3">
      <c r="A615" s="10">
        <v>5614</v>
      </c>
      <c r="B615" s="11">
        <v>45533</v>
      </c>
      <c r="C615" s="5" t="s">
        <v>12</v>
      </c>
      <c r="D615" s="5" t="s">
        <v>25</v>
      </c>
      <c r="E615" s="5" t="s">
        <v>27</v>
      </c>
      <c r="F615" s="12">
        <v>241395.26</v>
      </c>
      <c r="G615" s="13">
        <v>223725.53</v>
      </c>
    </row>
    <row r="616" spans="1:7" x14ac:dyDescent="0.3">
      <c r="A616" s="10">
        <v>5615</v>
      </c>
      <c r="B616" s="11">
        <v>45307</v>
      </c>
      <c r="C616" s="5" t="s">
        <v>7</v>
      </c>
      <c r="D616" s="5" t="s">
        <v>20</v>
      </c>
      <c r="E616" s="5" t="s">
        <v>11</v>
      </c>
      <c r="F616" s="12">
        <v>28761.43</v>
      </c>
      <c r="G616" s="13">
        <v>33438.629999999997</v>
      </c>
    </row>
    <row r="617" spans="1:7" x14ac:dyDescent="0.3">
      <c r="A617" s="10">
        <v>5616</v>
      </c>
      <c r="B617" s="11">
        <v>45070</v>
      </c>
      <c r="C617" s="5" t="s">
        <v>12</v>
      </c>
      <c r="D617" s="5" t="s">
        <v>23</v>
      </c>
      <c r="E617" s="5" t="s">
        <v>14</v>
      </c>
      <c r="F617" s="12">
        <v>326935.59000000003</v>
      </c>
      <c r="G617" s="13">
        <v>370381.77</v>
      </c>
    </row>
    <row r="618" spans="1:7" x14ac:dyDescent="0.3">
      <c r="A618" s="10">
        <v>5617</v>
      </c>
      <c r="B618" s="11">
        <v>45381</v>
      </c>
      <c r="C618" s="5" t="s">
        <v>7</v>
      </c>
      <c r="D618" s="5" t="s">
        <v>30</v>
      </c>
      <c r="E618" s="5" t="s">
        <v>19</v>
      </c>
      <c r="F618" s="12">
        <v>117403.92</v>
      </c>
      <c r="G618" s="13">
        <v>140808.48000000001</v>
      </c>
    </row>
    <row r="619" spans="1:7" x14ac:dyDescent="0.3">
      <c r="A619" s="10">
        <v>5618</v>
      </c>
      <c r="B619" s="11">
        <v>45605</v>
      </c>
      <c r="C619" s="5" t="s">
        <v>7</v>
      </c>
      <c r="D619" s="5" t="s">
        <v>16</v>
      </c>
      <c r="E619" s="5" t="s">
        <v>11</v>
      </c>
      <c r="F619" s="12">
        <v>113375.62</v>
      </c>
      <c r="G619" s="13">
        <v>141550.75</v>
      </c>
    </row>
    <row r="620" spans="1:7" x14ac:dyDescent="0.3">
      <c r="A620" s="10">
        <v>5619</v>
      </c>
      <c r="B620" s="11">
        <v>45106</v>
      </c>
      <c r="C620" s="5" t="s">
        <v>7</v>
      </c>
      <c r="D620" s="5" t="s">
        <v>26</v>
      </c>
      <c r="E620" s="5" t="s">
        <v>11</v>
      </c>
      <c r="F620" s="12">
        <v>59787.83</v>
      </c>
      <c r="G620" s="13">
        <v>50910.01</v>
      </c>
    </row>
    <row r="621" spans="1:7" x14ac:dyDescent="0.3">
      <c r="A621" s="10">
        <v>5620</v>
      </c>
      <c r="B621" s="11">
        <v>45014</v>
      </c>
      <c r="C621" s="5" t="s">
        <v>7</v>
      </c>
      <c r="D621" s="5" t="s">
        <v>8</v>
      </c>
      <c r="E621" s="5" t="s">
        <v>21</v>
      </c>
      <c r="F621" s="12">
        <v>14992.41</v>
      </c>
      <c r="G621" s="13">
        <v>17398.939999999999</v>
      </c>
    </row>
    <row r="622" spans="1:7" x14ac:dyDescent="0.3">
      <c r="A622" s="10">
        <v>5621</v>
      </c>
      <c r="B622" s="11">
        <v>45112</v>
      </c>
      <c r="C622" s="5" t="s">
        <v>12</v>
      </c>
      <c r="D622" s="5" t="s">
        <v>13</v>
      </c>
      <c r="E622" s="5" t="s">
        <v>9</v>
      </c>
      <c r="F622" s="12">
        <v>32987.589999999997</v>
      </c>
      <c r="G622" s="13">
        <v>31553.64</v>
      </c>
    </row>
    <row r="623" spans="1:7" x14ac:dyDescent="0.3">
      <c r="A623" s="10">
        <v>5622</v>
      </c>
      <c r="B623" s="11">
        <v>45208</v>
      </c>
      <c r="C623" s="5" t="s">
        <v>7</v>
      </c>
      <c r="D623" s="5" t="s">
        <v>29</v>
      </c>
      <c r="E623" s="5" t="s">
        <v>19</v>
      </c>
      <c r="F623" s="12">
        <v>42608.54</v>
      </c>
      <c r="G623" s="13">
        <v>38779.050000000003</v>
      </c>
    </row>
    <row r="624" spans="1:7" x14ac:dyDescent="0.3">
      <c r="A624" s="10">
        <v>5623</v>
      </c>
      <c r="B624" s="11">
        <v>45199</v>
      </c>
      <c r="C624" s="5" t="s">
        <v>7</v>
      </c>
      <c r="D624" s="5" t="s">
        <v>8</v>
      </c>
      <c r="E624" s="5" t="s">
        <v>9</v>
      </c>
      <c r="F624" s="12">
        <v>3082.05</v>
      </c>
      <c r="G624" s="13">
        <v>3393.67</v>
      </c>
    </row>
    <row r="625" spans="1:7" x14ac:dyDescent="0.3">
      <c r="A625" s="10">
        <v>5624</v>
      </c>
      <c r="B625" s="11">
        <v>45273</v>
      </c>
      <c r="C625" s="5" t="s">
        <v>7</v>
      </c>
      <c r="D625" s="5" t="s">
        <v>22</v>
      </c>
      <c r="E625" s="5" t="s">
        <v>15</v>
      </c>
      <c r="F625" s="12">
        <v>34998.870000000003</v>
      </c>
      <c r="G625" s="13">
        <v>40108.550000000003</v>
      </c>
    </row>
    <row r="626" spans="1:7" x14ac:dyDescent="0.3">
      <c r="A626" s="10">
        <v>5625</v>
      </c>
      <c r="B626" s="11">
        <v>44993</v>
      </c>
      <c r="C626" s="5" t="s">
        <v>7</v>
      </c>
      <c r="D626" s="5" t="s">
        <v>30</v>
      </c>
      <c r="E626" s="5" t="s">
        <v>21</v>
      </c>
      <c r="F626" s="12">
        <v>33614.42</v>
      </c>
      <c r="G626" s="13">
        <v>33832.47</v>
      </c>
    </row>
    <row r="627" spans="1:7" x14ac:dyDescent="0.3">
      <c r="A627" s="10">
        <v>5626</v>
      </c>
      <c r="B627" s="11">
        <v>45388</v>
      </c>
      <c r="C627" s="5" t="s">
        <v>12</v>
      </c>
      <c r="D627" s="5" t="s">
        <v>23</v>
      </c>
      <c r="E627" s="5" t="s">
        <v>14</v>
      </c>
      <c r="F627" s="12">
        <v>396831.81</v>
      </c>
      <c r="G627" s="13">
        <v>458268.52</v>
      </c>
    </row>
    <row r="628" spans="1:7" x14ac:dyDescent="0.3">
      <c r="A628" s="10">
        <v>5627</v>
      </c>
      <c r="B628" s="11">
        <v>45026</v>
      </c>
      <c r="C628" s="5" t="s">
        <v>7</v>
      </c>
      <c r="D628" s="5" t="s">
        <v>28</v>
      </c>
      <c r="E628" s="5" t="s">
        <v>19</v>
      </c>
      <c r="F628" s="12">
        <v>150688.23000000001</v>
      </c>
      <c r="G628" s="13">
        <v>149437.20000000001</v>
      </c>
    </row>
    <row r="629" spans="1:7" x14ac:dyDescent="0.3">
      <c r="A629" s="10">
        <v>5628</v>
      </c>
      <c r="B629" s="11">
        <v>45366</v>
      </c>
      <c r="C629" s="5" t="s">
        <v>7</v>
      </c>
      <c r="D629" s="5" t="s">
        <v>10</v>
      </c>
      <c r="E629" s="5" t="s">
        <v>15</v>
      </c>
      <c r="F629" s="12">
        <v>149678.26999999999</v>
      </c>
      <c r="G629" s="13">
        <v>165259.28</v>
      </c>
    </row>
    <row r="630" spans="1:7" x14ac:dyDescent="0.3">
      <c r="A630" s="10">
        <v>5629</v>
      </c>
      <c r="B630" s="11">
        <v>45359</v>
      </c>
      <c r="C630" s="5" t="s">
        <v>7</v>
      </c>
      <c r="D630" s="5" t="s">
        <v>30</v>
      </c>
      <c r="E630" s="5" t="s">
        <v>15</v>
      </c>
      <c r="F630" s="12">
        <v>81150.38</v>
      </c>
      <c r="G630" s="13">
        <v>79543.22</v>
      </c>
    </row>
    <row r="631" spans="1:7" x14ac:dyDescent="0.3">
      <c r="A631" s="10">
        <v>5630</v>
      </c>
      <c r="B631" s="11">
        <v>45245</v>
      </c>
      <c r="C631" s="5" t="s">
        <v>12</v>
      </c>
      <c r="D631" s="5" t="s">
        <v>13</v>
      </c>
      <c r="E631" s="5" t="s">
        <v>14</v>
      </c>
      <c r="F631" s="12">
        <v>266803.88</v>
      </c>
      <c r="G631" s="13">
        <v>269113.53999999998</v>
      </c>
    </row>
    <row r="632" spans="1:7" x14ac:dyDescent="0.3">
      <c r="A632" s="10">
        <v>5631</v>
      </c>
      <c r="B632" s="11">
        <v>45521</v>
      </c>
      <c r="C632" s="5" t="s">
        <v>7</v>
      </c>
      <c r="D632" s="5" t="s">
        <v>22</v>
      </c>
      <c r="E632" s="5" t="s">
        <v>17</v>
      </c>
      <c r="F632" s="12">
        <v>167903.09</v>
      </c>
      <c r="G632" s="13">
        <v>191728.18</v>
      </c>
    </row>
    <row r="633" spans="1:7" x14ac:dyDescent="0.3">
      <c r="A633" s="10">
        <v>5632</v>
      </c>
      <c r="B633" s="11">
        <v>45247</v>
      </c>
      <c r="C633" s="5" t="s">
        <v>7</v>
      </c>
      <c r="D633" s="5" t="s">
        <v>28</v>
      </c>
      <c r="E633" s="5" t="s">
        <v>17</v>
      </c>
      <c r="F633" s="12">
        <v>298054.34000000003</v>
      </c>
      <c r="G633" s="13">
        <v>340371.44</v>
      </c>
    </row>
    <row r="634" spans="1:7" x14ac:dyDescent="0.3">
      <c r="A634" s="10">
        <v>5633</v>
      </c>
      <c r="B634" s="11">
        <v>45137</v>
      </c>
      <c r="C634" s="5" t="s">
        <v>7</v>
      </c>
      <c r="D634" s="5" t="s">
        <v>29</v>
      </c>
      <c r="E634" s="5" t="s">
        <v>21</v>
      </c>
      <c r="F634" s="12">
        <v>30604.959999999999</v>
      </c>
      <c r="G634" s="13">
        <v>31792.78</v>
      </c>
    </row>
    <row r="635" spans="1:7" x14ac:dyDescent="0.3">
      <c r="A635" s="10">
        <v>5634</v>
      </c>
      <c r="B635" s="11">
        <v>45588</v>
      </c>
      <c r="C635" s="5" t="s">
        <v>7</v>
      </c>
      <c r="D635" s="5" t="s">
        <v>16</v>
      </c>
      <c r="E635" s="5" t="s">
        <v>27</v>
      </c>
      <c r="F635" s="12">
        <v>126300.46</v>
      </c>
      <c r="G635" s="13">
        <v>148344.21</v>
      </c>
    </row>
    <row r="636" spans="1:7" x14ac:dyDescent="0.3">
      <c r="A636" s="10">
        <v>5635</v>
      </c>
      <c r="B636" s="11">
        <v>45639</v>
      </c>
      <c r="C636" s="5" t="s">
        <v>7</v>
      </c>
      <c r="D636" s="5" t="s">
        <v>16</v>
      </c>
      <c r="E636" s="5" t="s">
        <v>27</v>
      </c>
      <c r="F636" s="12">
        <v>60966.97</v>
      </c>
      <c r="G636" s="13">
        <v>67256.399999999994</v>
      </c>
    </row>
    <row r="637" spans="1:7" x14ac:dyDescent="0.3">
      <c r="A637" s="10">
        <v>5636</v>
      </c>
      <c r="B637" s="11">
        <v>45484</v>
      </c>
      <c r="C637" s="5" t="s">
        <v>7</v>
      </c>
      <c r="D637" s="5" t="s">
        <v>24</v>
      </c>
      <c r="E637" s="5" t="s">
        <v>14</v>
      </c>
      <c r="F637" s="12">
        <v>110196.9</v>
      </c>
      <c r="G637" s="13">
        <v>106026.45</v>
      </c>
    </row>
    <row r="638" spans="1:7" x14ac:dyDescent="0.3">
      <c r="A638" s="10">
        <v>5637</v>
      </c>
      <c r="B638" s="11">
        <v>45218</v>
      </c>
      <c r="C638" s="5" t="s">
        <v>12</v>
      </c>
      <c r="D638" s="5" t="s">
        <v>18</v>
      </c>
      <c r="E638" s="5" t="s">
        <v>15</v>
      </c>
      <c r="F638" s="12">
        <v>290983.75</v>
      </c>
      <c r="G638" s="13">
        <v>350550.79</v>
      </c>
    </row>
    <row r="639" spans="1:7" x14ac:dyDescent="0.3">
      <c r="A639" s="10">
        <v>5638</v>
      </c>
      <c r="B639" s="11">
        <v>45608</v>
      </c>
      <c r="C639" s="5" t="s">
        <v>7</v>
      </c>
      <c r="D639" s="5" t="s">
        <v>26</v>
      </c>
      <c r="E639" s="5" t="s">
        <v>9</v>
      </c>
      <c r="F639" s="12">
        <v>6634.64</v>
      </c>
      <c r="G639" s="13">
        <v>7810.86</v>
      </c>
    </row>
    <row r="640" spans="1:7" x14ac:dyDescent="0.3">
      <c r="A640" s="10">
        <v>5639</v>
      </c>
      <c r="B640" s="11">
        <v>45587</v>
      </c>
      <c r="C640" s="5" t="s">
        <v>7</v>
      </c>
      <c r="D640" s="5" t="s">
        <v>26</v>
      </c>
      <c r="E640" s="5" t="s">
        <v>21</v>
      </c>
      <c r="F640" s="12">
        <v>41589.800000000003</v>
      </c>
      <c r="G640" s="13">
        <v>43385.34</v>
      </c>
    </row>
    <row r="641" spans="1:7" x14ac:dyDescent="0.3">
      <c r="A641" s="10">
        <v>5640</v>
      </c>
      <c r="B641" s="11">
        <v>45319</v>
      </c>
      <c r="C641" s="5" t="s">
        <v>7</v>
      </c>
      <c r="D641" s="5" t="s">
        <v>28</v>
      </c>
      <c r="E641" s="5" t="s">
        <v>17</v>
      </c>
      <c r="F641" s="12">
        <v>568616.02</v>
      </c>
      <c r="G641" s="13">
        <v>489239.11</v>
      </c>
    </row>
    <row r="642" spans="1:7" x14ac:dyDescent="0.3">
      <c r="A642" s="10">
        <v>5641</v>
      </c>
      <c r="B642" s="11">
        <v>45429</v>
      </c>
      <c r="C642" s="5" t="s">
        <v>12</v>
      </c>
      <c r="D642" s="5" t="s">
        <v>13</v>
      </c>
      <c r="E642" s="5" t="s">
        <v>19</v>
      </c>
      <c r="F642" s="12">
        <v>257253.61</v>
      </c>
      <c r="G642" s="13">
        <v>297103.21000000002</v>
      </c>
    </row>
    <row r="643" spans="1:7" x14ac:dyDescent="0.3">
      <c r="A643" s="10">
        <v>5642</v>
      </c>
      <c r="B643" s="11">
        <v>45347</v>
      </c>
      <c r="C643" s="5" t="s">
        <v>7</v>
      </c>
      <c r="D643" s="5" t="s">
        <v>29</v>
      </c>
      <c r="E643" s="5" t="s">
        <v>19</v>
      </c>
      <c r="F643" s="12">
        <v>51606.51</v>
      </c>
      <c r="G643" s="13">
        <v>49702.36</v>
      </c>
    </row>
    <row r="644" spans="1:7" x14ac:dyDescent="0.3">
      <c r="A644" s="10">
        <v>5643</v>
      </c>
      <c r="B644" s="11">
        <v>45577</v>
      </c>
      <c r="C644" s="5" t="s">
        <v>7</v>
      </c>
      <c r="D644" s="5" t="s">
        <v>8</v>
      </c>
      <c r="E644" s="5" t="s">
        <v>27</v>
      </c>
      <c r="F644" s="12">
        <v>22747.78</v>
      </c>
      <c r="G644" s="13">
        <v>21056.13</v>
      </c>
    </row>
    <row r="645" spans="1:7" x14ac:dyDescent="0.3">
      <c r="A645" s="10">
        <v>5644</v>
      </c>
      <c r="B645" s="11">
        <v>45464</v>
      </c>
      <c r="C645" s="5" t="s">
        <v>7</v>
      </c>
      <c r="D645" s="5" t="s">
        <v>22</v>
      </c>
      <c r="E645" s="5" t="s">
        <v>27</v>
      </c>
      <c r="F645" s="12">
        <v>33855.589999999997</v>
      </c>
      <c r="G645" s="13">
        <v>38691.67</v>
      </c>
    </row>
    <row r="646" spans="1:7" x14ac:dyDescent="0.3">
      <c r="A646" s="10">
        <v>5645</v>
      </c>
      <c r="B646" s="11">
        <v>45208</v>
      </c>
      <c r="C646" s="5" t="s">
        <v>12</v>
      </c>
      <c r="D646" s="5" t="s">
        <v>13</v>
      </c>
      <c r="E646" s="5" t="s">
        <v>9</v>
      </c>
      <c r="F646" s="12">
        <v>194071.08</v>
      </c>
      <c r="G646" s="13">
        <v>236833.88</v>
      </c>
    </row>
    <row r="647" spans="1:7" x14ac:dyDescent="0.3">
      <c r="A647" s="10">
        <v>5646</v>
      </c>
      <c r="B647" s="11">
        <v>45162</v>
      </c>
      <c r="C647" s="5" t="s">
        <v>12</v>
      </c>
      <c r="D647" s="5" t="s">
        <v>23</v>
      </c>
      <c r="E647" s="5" t="s">
        <v>19</v>
      </c>
      <c r="F647" s="12">
        <v>486801.06</v>
      </c>
      <c r="G647" s="13">
        <v>535268.71</v>
      </c>
    </row>
    <row r="648" spans="1:7" x14ac:dyDescent="0.3">
      <c r="A648" s="10">
        <v>5647</v>
      </c>
      <c r="B648" s="11">
        <v>45507</v>
      </c>
      <c r="C648" s="5" t="s">
        <v>7</v>
      </c>
      <c r="D648" s="5" t="s">
        <v>20</v>
      </c>
      <c r="E648" s="5" t="s">
        <v>17</v>
      </c>
      <c r="F648" s="12">
        <v>5188.53</v>
      </c>
      <c r="G648" s="13">
        <v>5365.55</v>
      </c>
    </row>
    <row r="649" spans="1:7" x14ac:dyDescent="0.3">
      <c r="A649" s="10">
        <v>5648</v>
      </c>
      <c r="B649" s="11">
        <v>45214</v>
      </c>
      <c r="C649" s="5" t="s">
        <v>12</v>
      </c>
      <c r="D649" s="5" t="s">
        <v>23</v>
      </c>
      <c r="E649" s="5" t="s">
        <v>27</v>
      </c>
      <c r="F649" s="12">
        <v>74559.81</v>
      </c>
      <c r="G649" s="13">
        <v>84584.53</v>
      </c>
    </row>
    <row r="650" spans="1:7" x14ac:dyDescent="0.3">
      <c r="A650" s="10">
        <v>5649</v>
      </c>
      <c r="B650" s="11">
        <v>45087</v>
      </c>
      <c r="C650" s="5" t="s">
        <v>12</v>
      </c>
      <c r="D650" s="5" t="s">
        <v>18</v>
      </c>
      <c r="E650" s="5" t="s">
        <v>9</v>
      </c>
      <c r="F650" s="12">
        <v>64768.13</v>
      </c>
      <c r="G650" s="13">
        <v>77483.63</v>
      </c>
    </row>
    <row r="651" spans="1:7" x14ac:dyDescent="0.3">
      <c r="A651" s="10">
        <v>5650</v>
      </c>
      <c r="B651" s="11">
        <v>45529</v>
      </c>
      <c r="C651" s="5" t="s">
        <v>7</v>
      </c>
      <c r="D651" s="5" t="s">
        <v>26</v>
      </c>
      <c r="E651" s="5" t="s">
        <v>14</v>
      </c>
      <c r="F651" s="12">
        <v>35130.769999999997</v>
      </c>
      <c r="G651" s="13">
        <v>40921.040000000001</v>
      </c>
    </row>
    <row r="652" spans="1:7" x14ac:dyDescent="0.3">
      <c r="A652" s="10">
        <v>5651</v>
      </c>
      <c r="B652" s="11">
        <v>45645</v>
      </c>
      <c r="C652" s="5" t="s">
        <v>7</v>
      </c>
      <c r="D652" s="5" t="s">
        <v>24</v>
      </c>
      <c r="E652" s="5" t="s">
        <v>27</v>
      </c>
      <c r="F652" s="12">
        <v>75846.75</v>
      </c>
      <c r="G652" s="13">
        <v>85532.63</v>
      </c>
    </row>
    <row r="653" spans="1:7" x14ac:dyDescent="0.3">
      <c r="A653" s="10">
        <v>5652</v>
      </c>
      <c r="B653" s="11">
        <v>45449</v>
      </c>
      <c r="C653" s="5" t="s">
        <v>12</v>
      </c>
      <c r="D653" s="5" t="s">
        <v>25</v>
      </c>
      <c r="E653" s="5" t="s">
        <v>19</v>
      </c>
      <c r="F653" s="12">
        <v>62697.7</v>
      </c>
      <c r="G653" s="13">
        <v>65913.95</v>
      </c>
    </row>
    <row r="654" spans="1:7" x14ac:dyDescent="0.3">
      <c r="A654" s="10">
        <v>5653</v>
      </c>
      <c r="B654" s="11">
        <v>45633</v>
      </c>
      <c r="C654" s="5" t="s">
        <v>7</v>
      </c>
      <c r="D654" s="5" t="s">
        <v>29</v>
      </c>
      <c r="E654" s="5" t="s">
        <v>15</v>
      </c>
      <c r="F654" s="12">
        <v>19299.11</v>
      </c>
      <c r="G654" s="13">
        <v>17556.07</v>
      </c>
    </row>
    <row r="655" spans="1:7" x14ac:dyDescent="0.3">
      <c r="A655" s="10">
        <v>5654</v>
      </c>
      <c r="B655" s="11">
        <v>45530</v>
      </c>
      <c r="C655" s="5" t="s">
        <v>7</v>
      </c>
      <c r="D655" s="5" t="s">
        <v>26</v>
      </c>
      <c r="E655" s="5" t="s">
        <v>17</v>
      </c>
      <c r="F655" s="12">
        <v>3484.29</v>
      </c>
      <c r="G655" s="13">
        <v>3238.19</v>
      </c>
    </row>
    <row r="656" spans="1:7" x14ac:dyDescent="0.3">
      <c r="A656" s="10">
        <v>5655</v>
      </c>
      <c r="B656" s="11">
        <v>45493</v>
      </c>
      <c r="C656" s="5" t="s">
        <v>7</v>
      </c>
      <c r="D656" s="5" t="s">
        <v>28</v>
      </c>
      <c r="E656" s="5" t="s">
        <v>15</v>
      </c>
      <c r="F656" s="12">
        <v>509438.71</v>
      </c>
      <c r="G656" s="13">
        <v>513192.72</v>
      </c>
    </row>
    <row r="657" spans="1:7" x14ac:dyDescent="0.3">
      <c r="A657" s="10">
        <v>5656</v>
      </c>
      <c r="B657" s="11">
        <v>45548</v>
      </c>
      <c r="C657" s="5" t="s">
        <v>7</v>
      </c>
      <c r="D657" s="5" t="s">
        <v>28</v>
      </c>
      <c r="E657" s="5" t="s">
        <v>27</v>
      </c>
      <c r="F657" s="12">
        <v>124232.86</v>
      </c>
      <c r="G657" s="13">
        <v>126595.6</v>
      </c>
    </row>
    <row r="658" spans="1:7" x14ac:dyDescent="0.3">
      <c r="A658" s="10">
        <v>5657</v>
      </c>
      <c r="B658" s="11">
        <v>45484</v>
      </c>
      <c r="C658" s="5" t="s">
        <v>7</v>
      </c>
      <c r="D658" s="5" t="s">
        <v>30</v>
      </c>
      <c r="E658" s="5" t="s">
        <v>17</v>
      </c>
      <c r="F658" s="12">
        <v>87408.17</v>
      </c>
      <c r="G658" s="13">
        <v>97179.23</v>
      </c>
    </row>
    <row r="659" spans="1:7" x14ac:dyDescent="0.3">
      <c r="A659" s="10">
        <v>5658</v>
      </c>
      <c r="B659" s="11">
        <v>45064</v>
      </c>
      <c r="C659" s="5" t="s">
        <v>7</v>
      </c>
      <c r="D659" s="5" t="s">
        <v>10</v>
      </c>
      <c r="E659" s="5" t="s">
        <v>17</v>
      </c>
      <c r="F659" s="12">
        <v>97841.4</v>
      </c>
      <c r="G659" s="13">
        <v>102243.87</v>
      </c>
    </row>
    <row r="660" spans="1:7" x14ac:dyDescent="0.3">
      <c r="A660" s="10">
        <v>5659</v>
      </c>
      <c r="B660" s="11">
        <v>45266</v>
      </c>
      <c r="C660" s="5" t="s">
        <v>7</v>
      </c>
      <c r="D660" s="5" t="s">
        <v>28</v>
      </c>
      <c r="E660" s="5" t="s">
        <v>19</v>
      </c>
      <c r="F660" s="12">
        <v>553592</v>
      </c>
      <c r="G660" s="13">
        <v>489232.49</v>
      </c>
    </row>
    <row r="661" spans="1:7" x14ac:dyDescent="0.3">
      <c r="A661" s="10">
        <v>5660</v>
      </c>
      <c r="B661" s="11">
        <v>44946</v>
      </c>
      <c r="C661" s="5" t="s">
        <v>12</v>
      </c>
      <c r="D661" s="5" t="s">
        <v>18</v>
      </c>
      <c r="E661" s="5" t="s">
        <v>17</v>
      </c>
      <c r="F661" s="12">
        <v>359940.23</v>
      </c>
      <c r="G661" s="13">
        <v>418397.63</v>
      </c>
    </row>
    <row r="662" spans="1:7" x14ac:dyDescent="0.3">
      <c r="A662" s="10">
        <v>5661</v>
      </c>
      <c r="B662" s="11">
        <v>45134</v>
      </c>
      <c r="C662" s="5" t="s">
        <v>12</v>
      </c>
      <c r="D662" s="5" t="s">
        <v>25</v>
      </c>
      <c r="E662" s="5" t="s">
        <v>19</v>
      </c>
      <c r="F662" s="12">
        <v>50267.76</v>
      </c>
      <c r="G662" s="13">
        <v>43726.81</v>
      </c>
    </row>
    <row r="663" spans="1:7" x14ac:dyDescent="0.3">
      <c r="A663" s="10">
        <v>5662</v>
      </c>
      <c r="B663" s="11">
        <v>45262</v>
      </c>
      <c r="C663" s="5" t="s">
        <v>7</v>
      </c>
      <c r="D663" s="5" t="s">
        <v>20</v>
      </c>
      <c r="E663" s="5" t="s">
        <v>15</v>
      </c>
      <c r="F663" s="12">
        <v>5561.34</v>
      </c>
      <c r="G663" s="13">
        <v>5271.96</v>
      </c>
    </row>
    <row r="664" spans="1:7" x14ac:dyDescent="0.3">
      <c r="A664" s="10">
        <v>5663</v>
      </c>
      <c r="B664" s="11">
        <v>44952</v>
      </c>
      <c r="C664" s="5" t="s">
        <v>12</v>
      </c>
      <c r="D664" s="5" t="s">
        <v>18</v>
      </c>
      <c r="E664" s="5" t="s">
        <v>9</v>
      </c>
      <c r="F664" s="12">
        <v>177376.44</v>
      </c>
      <c r="G664" s="13">
        <v>155331.20000000001</v>
      </c>
    </row>
    <row r="665" spans="1:7" x14ac:dyDescent="0.3">
      <c r="A665" s="10">
        <v>5664</v>
      </c>
      <c r="B665" s="11">
        <v>45491</v>
      </c>
      <c r="C665" s="5" t="s">
        <v>12</v>
      </c>
      <c r="D665" s="5" t="s">
        <v>13</v>
      </c>
      <c r="E665" s="5" t="s">
        <v>27</v>
      </c>
      <c r="F665" s="12">
        <v>426369.93</v>
      </c>
      <c r="G665" s="13">
        <v>380577.72</v>
      </c>
    </row>
    <row r="666" spans="1:7" x14ac:dyDescent="0.3">
      <c r="A666" s="10">
        <v>5665</v>
      </c>
      <c r="B666" s="11">
        <v>45247</v>
      </c>
      <c r="C666" s="5" t="s">
        <v>7</v>
      </c>
      <c r="D666" s="5" t="s">
        <v>26</v>
      </c>
      <c r="E666" s="5" t="s">
        <v>21</v>
      </c>
      <c r="F666" s="12">
        <v>51002.74</v>
      </c>
      <c r="G666" s="13">
        <v>54679.17</v>
      </c>
    </row>
    <row r="667" spans="1:7" x14ac:dyDescent="0.3">
      <c r="A667" s="10">
        <v>5666</v>
      </c>
      <c r="B667" s="11">
        <v>45186</v>
      </c>
      <c r="C667" s="5" t="s">
        <v>7</v>
      </c>
      <c r="D667" s="5" t="s">
        <v>28</v>
      </c>
      <c r="E667" s="5" t="s">
        <v>27</v>
      </c>
      <c r="F667" s="12">
        <v>453179.39</v>
      </c>
      <c r="G667" s="13">
        <v>396590.05</v>
      </c>
    </row>
    <row r="668" spans="1:7" x14ac:dyDescent="0.3">
      <c r="A668" s="10">
        <v>5667</v>
      </c>
      <c r="B668" s="11">
        <v>45157</v>
      </c>
      <c r="C668" s="5" t="s">
        <v>12</v>
      </c>
      <c r="D668" s="5" t="s">
        <v>18</v>
      </c>
      <c r="E668" s="5" t="s">
        <v>27</v>
      </c>
      <c r="F668" s="12">
        <v>310090.90999999997</v>
      </c>
      <c r="G668" s="13">
        <v>349574.36</v>
      </c>
    </row>
    <row r="669" spans="1:7" x14ac:dyDescent="0.3">
      <c r="A669" s="10">
        <v>5668</v>
      </c>
      <c r="B669" s="11">
        <v>45292</v>
      </c>
      <c r="C669" s="5" t="s">
        <v>7</v>
      </c>
      <c r="D669" s="5" t="s">
        <v>24</v>
      </c>
      <c r="E669" s="5" t="s">
        <v>21</v>
      </c>
      <c r="F669" s="12">
        <v>85223.79</v>
      </c>
      <c r="G669" s="13">
        <v>104582</v>
      </c>
    </row>
    <row r="670" spans="1:7" x14ac:dyDescent="0.3">
      <c r="A670" s="10">
        <v>5669</v>
      </c>
      <c r="B670" s="11">
        <v>45155</v>
      </c>
      <c r="C670" s="5" t="s">
        <v>12</v>
      </c>
      <c r="D670" s="5" t="s">
        <v>13</v>
      </c>
      <c r="E670" s="5" t="s">
        <v>17</v>
      </c>
      <c r="F670" s="12">
        <v>130330.7</v>
      </c>
      <c r="G670" s="13">
        <v>115088.98</v>
      </c>
    </row>
    <row r="671" spans="1:7" x14ac:dyDescent="0.3">
      <c r="A671" s="10">
        <v>5670</v>
      </c>
      <c r="B671" s="11">
        <v>45265</v>
      </c>
      <c r="C671" s="5" t="s">
        <v>7</v>
      </c>
      <c r="D671" s="5" t="s">
        <v>30</v>
      </c>
      <c r="E671" s="5" t="s">
        <v>11</v>
      </c>
      <c r="F671" s="12">
        <v>59824.85</v>
      </c>
      <c r="G671" s="13">
        <v>52602.81</v>
      </c>
    </row>
    <row r="672" spans="1:7" x14ac:dyDescent="0.3">
      <c r="A672" s="10">
        <v>5671</v>
      </c>
      <c r="B672" s="11">
        <v>45016</v>
      </c>
      <c r="C672" s="5" t="s">
        <v>7</v>
      </c>
      <c r="D672" s="5" t="s">
        <v>22</v>
      </c>
      <c r="E672" s="5" t="s">
        <v>15</v>
      </c>
      <c r="F672" s="12">
        <v>198770.94</v>
      </c>
      <c r="G672" s="13">
        <v>170439.31</v>
      </c>
    </row>
    <row r="673" spans="1:7" x14ac:dyDescent="0.3">
      <c r="A673" s="10">
        <v>5672</v>
      </c>
      <c r="B673" s="11">
        <v>45077</v>
      </c>
      <c r="C673" s="5" t="s">
        <v>7</v>
      </c>
      <c r="D673" s="5" t="s">
        <v>30</v>
      </c>
      <c r="E673" s="5" t="s">
        <v>11</v>
      </c>
      <c r="F673" s="12">
        <v>108104.57</v>
      </c>
      <c r="G673" s="13">
        <v>111946.13</v>
      </c>
    </row>
    <row r="674" spans="1:7" x14ac:dyDescent="0.3">
      <c r="A674" s="10">
        <v>5673</v>
      </c>
      <c r="B674" s="11">
        <v>45508</v>
      </c>
      <c r="C674" s="5" t="s">
        <v>12</v>
      </c>
      <c r="D674" s="5" t="s">
        <v>23</v>
      </c>
      <c r="E674" s="5" t="s">
        <v>11</v>
      </c>
      <c r="F674" s="12">
        <v>88977.2</v>
      </c>
      <c r="G674" s="13">
        <v>105318.82</v>
      </c>
    </row>
    <row r="675" spans="1:7" x14ac:dyDescent="0.3">
      <c r="A675" s="10">
        <v>5674</v>
      </c>
      <c r="B675" s="11">
        <v>45342</v>
      </c>
      <c r="C675" s="5" t="s">
        <v>7</v>
      </c>
      <c r="D675" s="5" t="s">
        <v>22</v>
      </c>
      <c r="E675" s="5" t="s">
        <v>9</v>
      </c>
      <c r="F675" s="12">
        <v>37353.279999999999</v>
      </c>
      <c r="G675" s="13">
        <v>33062.83</v>
      </c>
    </row>
    <row r="676" spans="1:7" x14ac:dyDescent="0.3">
      <c r="A676" s="10">
        <v>5675</v>
      </c>
      <c r="B676" s="11">
        <v>45144</v>
      </c>
      <c r="C676" s="5" t="s">
        <v>7</v>
      </c>
      <c r="D676" s="5" t="s">
        <v>8</v>
      </c>
      <c r="E676" s="5" t="s">
        <v>15</v>
      </c>
      <c r="F676" s="12">
        <v>21314.34</v>
      </c>
      <c r="G676" s="13">
        <v>25766.04</v>
      </c>
    </row>
    <row r="677" spans="1:7" x14ac:dyDescent="0.3">
      <c r="A677" s="10">
        <v>5676</v>
      </c>
      <c r="B677" s="11">
        <v>45027</v>
      </c>
      <c r="C677" s="5" t="s">
        <v>7</v>
      </c>
      <c r="D677" s="5" t="s">
        <v>29</v>
      </c>
      <c r="E677" s="5" t="s">
        <v>19</v>
      </c>
      <c r="F677" s="12">
        <v>21445.02</v>
      </c>
      <c r="G677" s="13">
        <v>19514.900000000001</v>
      </c>
    </row>
    <row r="678" spans="1:7" x14ac:dyDescent="0.3">
      <c r="A678" s="10">
        <v>5677</v>
      </c>
      <c r="B678" s="11">
        <v>45562</v>
      </c>
      <c r="C678" s="5" t="s">
        <v>12</v>
      </c>
      <c r="D678" s="5" t="s">
        <v>18</v>
      </c>
      <c r="E678" s="5" t="s">
        <v>17</v>
      </c>
      <c r="F678" s="12">
        <v>29151.49</v>
      </c>
      <c r="G678" s="13">
        <v>27317.87</v>
      </c>
    </row>
    <row r="679" spans="1:7" x14ac:dyDescent="0.3">
      <c r="A679" s="10">
        <v>5678</v>
      </c>
      <c r="B679" s="11">
        <v>45546</v>
      </c>
      <c r="C679" s="5" t="s">
        <v>12</v>
      </c>
      <c r="D679" s="5" t="s">
        <v>25</v>
      </c>
      <c r="E679" s="5" t="s">
        <v>17</v>
      </c>
      <c r="F679" s="12">
        <v>388469.04</v>
      </c>
      <c r="G679" s="13">
        <v>353705.67</v>
      </c>
    </row>
    <row r="680" spans="1:7" x14ac:dyDescent="0.3">
      <c r="A680" s="10">
        <v>5679</v>
      </c>
      <c r="B680" s="11">
        <v>45613</v>
      </c>
      <c r="C680" s="5" t="s">
        <v>7</v>
      </c>
      <c r="D680" s="5" t="s">
        <v>26</v>
      </c>
      <c r="E680" s="5" t="s">
        <v>9</v>
      </c>
      <c r="F680" s="12">
        <v>77963.86</v>
      </c>
      <c r="G680" s="13">
        <v>91002.38</v>
      </c>
    </row>
    <row r="681" spans="1:7" x14ac:dyDescent="0.3">
      <c r="A681" s="10">
        <v>5680</v>
      </c>
      <c r="B681" s="11">
        <v>45519</v>
      </c>
      <c r="C681" s="5" t="s">
        <v>7</v>
      </c>
      <c r="D681" s="5" t="s">
        <v>28</v>
      </c>
      <c r="E681" s="5" t="s">
        <v>9</v>
      </c>
      <c r="F681" s="12">
        <v>368356.95</v>
      </c>
      <c r="G681" s="13">
        <v>318344.61</v>
      </c>
    </row>
    <row r="682" spans="1:7" x14ac:dyDescent="0.3">
      <c r="A682" s="10">
        <v>5681</v>
      </c>
      <c r="B682" s="11">
        <v>45260</v>
      </c>
      <c r="C682" s="5" t="s">
        <v>12</v>
      </c>
      <c r="D682" s="5" t="s">
        <v>25</v>
      </c>
      <c r="E682" s="5" t="s">
        <v>14</v>
      </c>
      <c r="F682" s="12">
        <v>424800.08</v>
      </c>
      <c r="G682" s="13">
        <v>470432.06</v>
      </c>
    </row>
    <row r="683" spans="1:7" x14ac:dyDescent="0.3">
      <c r="A683" s="10">
        <v>5682</v>
      </c>
      <c r="B683" s="11">
        <v>45016</v>
      </c>
      <c r="C683" s="5" t="s">
        <v>7</v>
      </c>
      <c r="D683" s="5" t="s">
        <v>16</v>
      </c>
      <c r="E683" s="5" t="s">
        <v>17</v>
      </c>
      <c r="F683" s="12">
        <v>142461.60999999999</v>
      </c>
      <c r="G683" s="13">
        <v>121125.7</v>
      </c>
    </row>
    <row r="684" spans="1:7" x14ac:dyDescent="0.3">
      <c r="A684" s="10">
        <v>5683</v>
      </c>
      <c r="B684" s="11">
        <v>45546</v>
      </c>
      <c r="C684" s="5" t="s">
        <v>7</v>
      </c>
      <c r="D684" s="5" t="s">
        <v>30</v>
      </c>
      <c r="E684" s="5" t="s">
        <v>9</v>
      </c>
      <c r="F684" s="12">
        <v>10782.36</v>
      </c>
      <c r="G684" s="13">
        <v>11201.33</v>
      </c>
    </row>
    <row r="685" spans="1:7" x14ac:dyDescent="0.3">
      <c r="A685" s="10">
        <v>5684</v>
      </c>
      <c r="B685" s="11">
        <v>45116</v>
      </c>
      <c r="C685" s="5" t="s">
        <v>7</v>
      </c>
      <c r="D685" s="5" t="s">
        <v>24</v>
      </c>
      <c r="E685" s="5" t="s">
        <v>15</v>
      </c>
      <c r="F685" s="12">
        <v>99708.63</v>
      </c>
      <c r="G685" s="13">
        <v>94131.15</v>
      </c>
    </row>
    <row r="686" spans="1:7" x14ac:dyDescent="0.3">
      <c r="A686" s="10">
        <v>5685</v>
      </c>
      <c r="B686" s="11">
        <v>45211</v>
      </c>
      <c r="C686" s="5" t="s">
        <v>12</v>
      </c>
      <c r="D686" s="5" t="s">
        <v>18</v>
      </c>
      <c r="E686" s="5" t="s">
        <v>14</v>
      </c>
      <c r="F686" s="12">
        <v>485748.53</v>
      </c>
      <c r="G686" s="13">
        <v>507967.63</v>
      </c>
    </row>
    <row r="687" spans="1:7" x14ac:dyDescent="0.3">
      <c r="A687" s="10">
        <v>5686</v>
      </c>
      <c r="B687" s="11">
        <v>44949</v>
      </c>
      <c r="C687" s="5" t="s">
        <v>12</v>
      </c>
      <c r="D687" s="5" t="s">
        <v>25</v>
      </c>
      <c r="E687" s="5" t="s">
        <v>21</v>
      </c>
      <c r="F687" s="12">
        <v>289668.18</v>
      </c>
      <c r="G687" s="13">
        <v>301997.65999999997</v>
      </c>
    </row>
    <row r="688" spans="1:7" x14ac:dyDescent="0.3">
      <c r="A688" s="10">
        <v>5687</v>
      </c>
      <c r="B688" s="11">
        <v>44952</v>
      </c>
      <c r="C688" s="5" t="s">
        <v>12</v>
      </c>
      <c r="D688" s="5" t="s">
        <v>18</v>
      </c>
      <c r="E688" s="5" t="s">
        <v>19</v>
      </c>
      <c r="F688" s="12">
        <v>187197.02</v>
      </c>
      <c r="G688" s="13">
        <v>213879.73</v>
      </c>
    </row>
    <row r="689" spans="1:7" x14ac:dyDescent="0.3">
      <c r="A689" s="10">
        <v>5688</v>
      </c>
      <c r="B689" s="11">
        <v>45382</v>
      </c>
      <c r="C689" s="5" t="s">
        <v>7</v>
      </c>
      <c r="D689" s="5" t="s">
        <v>24</v>
      </c>
      <c r="E689" s="5" t="s">
        <v>15</v>
      </c>
      <c r="F689" s="12">
        <v>159808.07999999999</v>
      </c>
      <c r="G689" s="13">
        <v>188441.71</v>
      </c>
    </row>
    <row r="690" spans="1:7" x14ac:dyDescent="0.3">
      <c r="A690" s="10">
        <v>5689</v>
      </c>
      <c r="B690" s="11">
        <v>45291</v>
      </c>
      <c r="C690" s="5" t="s">
        <v>7</v>
      </c>
      <c r="D690" s="5" t="s">
        <v>29</v>
      </c>
      <c r="E690" s="5" t="s">
        <v>14</v>
      </c>
      <c r="F690" s="12">
        <v>27731.15</v>
      </c>
      <c r="G690" s="13">
        <v>30044.720000000001</v>
      </c>
    </row>
    <row r="691" spans="1:7" x14ac:dyDescent="0.3">
      <c r="A691" s="10">
        <v>5690</v>
      </c>
      <c r="B691" s="11">
        <v>45605</v>
      </c>
      <c r="C691" s="5" t="s">
        <v>7</v>
      </c>
      <c r="D691" s="5" t="s">
        <v>24</v>
      </c>
      <c r="E691" s="5" t="s">
        <v>15</v>
      </c>
      <c r="F691" s="12">
        <v>14113.3</v>
      </c>
      <c r="G691" s="13">
        <v>15059.67</v>
      </c>
    </row>
    <row r="692" spans="1:7" x14ac:dyDescent="0.3">
      <c r="A692" s="10">
        <v>5691</v>
      </c>
      <c r="B692" s="11">
        <v>45254</v>
      </c>
      <c r="C692" s="5" t="s">
        <v>7</v>
      </c>
      <c r="D692" s="5" t="s">
        <v>22</v>
      </c>
      <c r="E692" s="5" t="s">
        <v>17</v>
      </c>
      <c r="F692" s="12">
        <v>168547.3</v>
      </c>
      <c r="G692" s="13">
        <v>165512.20000000001</v>
      </c>
    </row>
    <row r="693" spans="1:7" x14ac:dyDescent="0.3">
      <c r="A693" s="10">
        <v>5692</v>
      </c>
      <c r="B693" s="11">
        <v>45058</v>
      </c>
      <c r="C693" s="5" t="s">
        <v>7</v>
      </c>
      <c r="D693" s="5" t="s">
        <v>8</v>
      </c>
      <c r="E693" s="5" t="s">
        <v>27</v>
      </c>
      <c r="F693" s="12">
        <v>22330.2</v>
      </c>
      <c r="G693" s="13">
        <v>21451.99</v>
      </c>
    </row>
    <row r="694" spans="1:7" x14ac:dyDescent="0.3">
      <c r="A694" s="10">
        <v>5693</v>
      </c>
      <c r="B694" s="11">
        <v>45578</v>
      </c>
      <c r="C694" s="5" t="s">
        <v>7</v>
      </c>
      <c r="D694" s="5" t="s">
        <v>22</v>
      </c>
      <c r="E694" s="5" t="s">
        <v>15</v>
      </c>
      <c r="F694" s="12">
        <v>299707.02</v>
      </c>
      <c r="G694" s="13">
        <v>298724.07</v>
      </c>
    </row>
    <row r="695" spans="1:7" x14ac:dyDescent="0.3">
      <c r="A695" s="10">
        <v>5694</v>
      </c>
      <c r="B695" s="11">
        <v>45306</v>
      </c>
      <c r="C695" s="5" t="s">
        <v>7</v>
      </c>
      <c r="D695" s="5" t="s">
        <v>8</v>
      </c>
      <c r="E695" s="5" t="s">
        <v>27</v>
      </c>
      <c r="F695" s="12">
        <v>3728.09</v>
      </c>
      <c r="G695" s="13">
        <v>4227.3</v>
      </c>
    </row>
    <row r="696" spans="1:7" x14ac:dyDescent="0.3">
      <c r="A696" s="10">
        <v>5695</v>
      </c>
      <c r="B696" s="11">
        <v>45543</v>
      </c>
      <c r="C696" s="5" t="s">
        <v>7</v>
      </c>
      <c r="D696" s="5" t="s">
        <v>20</v>
      </c>
      <c r="E696" s="5" t="s">
        <v>21</v>
      </c>
      <c r="F696" s="12">
        <v>29567.47</v>
      </c>
      <c r="G696" s="13">
        <v>25829.48</v>
      </c>
    </row>
    <row r="697" spans="1:7" x14ac:dyDescent="0.3">
      <c r="A697" s="10">
        <v>5696</v>
      </c>
      <c r="B697" s="11">
        <v>45162</v>
      </c>
      <c r="C697" s="5" t="s">
        <v>12</v>
      </c>
      <c r="D697" s="5" t="s">
        <v>23</v>
      </c>
      <c r="E697" s="5" t="s">
        <v>15</v>
      </c>
      <c r="F697" s="12">
        <v>371753.54</v>
      </c>
      <c r="G697" s="13">
        <v>448771.89</v>
      </c>
    </row>
    <row r="698" spans="1:7" x14ac:dyDescent="0.3">
      <c r="A698" s="10">
        <v>5697</v>
      </c>
      <c r="B698" s="11">
        <v>44961</v>
      </c>
      <c r="C698" s="5" t="s">
        <v>7</v>
      </c>
      <c r="D698" s="5" t="s">
        <v>28</v>
      </c>
      <c r="E698" s="5" t="s">
        <v>21</v>
      </c>
      <c r="F698" s="12">
        <v>178737.06</v>
      </c>
      <c r="G698" s="13">
        <v>204737.2</v>
      </c>
    </row>
    <row r="699" spans="1:7" x14ac:dyDescent="0.3">
      <c r="A699" s="10">
        <v>5698</v>
      </c>
      <c r="B699" s="11">
        <v>45501</v>
      </c>
      <c r="C699" s="5" t="s">
        <v>12</v>
      </c>
      <c r="D699" s="5" t="s">
        <v>18</v>
      </c>
      <c r="E699" s="5" t="s">
        <v>21</v>
      </c>
      <c r="F699" s="12">
        <v>280854.25</v>
      </c>
      <c r="G699" s="13">
        <v>297756.21000000002</v>
      </c>
    </row>
    <row r="700" spans="1:7" x14ac:dyDescent="0.3">
      <c r="A700" s="10">
        <v>5699</v>
      </c>
      <c r="B700" s="11">
        <v>45487</v>
      </c>
      <c r="C700" s="5" t="s">
        <v>12</v>
      </c>
      <c r="D700" s="5" t="s">
        <v>25</v>
      </c>
      <c r="E700" s="5" t="s">
        <v>17</v>
      </c>
      <c r="F700" s="12">
        <v>253894.06</v>
      </c>
      <c r="G700" s="13">
        <v>243303.56</v>
      </c>
    </row>
    <row r="701" spans="1:7" x14ac:dyDescent="0.3">
      <c r="A701" s="14">
        <v>5700</v>
      </c>
      <c r="B701" s="15">
        <v>45459</v>
      </c>
      <c r="C701" s="16" t="s">
        <v>12</v>
      </c>
      <c r="D701" s="16" t="s">
        <v>18</v>
      </c>
      <c r="E701" s="16" t="s">
        <v>9</v>
      </c>
      <c r="F701" s="17">
        <v>381967.87</v>
      </c>
      <c r="G701" s="18">
        <v>325881.45</v>
      </c>
    </row>
  </sheetData>
  <conditionalFormatting sqref="A2:G701">
    <cfRule type="expression" dxfId="0" priority="1">
      <formula xml:space="preserve"> AND($C2="expense",$F2&gt;$G2)</formula>
    </cfRule>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Finance_Data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kavya papneja</cp:lastModifiedBy>
  <dcterms:created xsi:type="dcterms:W3CDTF">2026-08-16T13:00:51Z</dcterms:created>
  <dcterms:modified xsi:type="dcterms:W3CDTF">2026-08-17T06:44:22Z</dcterms:modified>
</cp:coreProperties>
</file>